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zdjCode\adjCOADD\utilities\upload_data\Data\"/>
    </mc:Choice>
  </mc:AlternateContent>
  <xr:revisionPtr revIDLastSave="0" documentId="13_ncr:1_{17F0B6EB-483D-4B5C-BF26-BB3FEAE4E6B6}" xr6:coauthVersionLast="47" xr6:coauthVersionMax="47" xr10:uidLastSave="{00000000-0000-0000-0000-000000000000}"/>
  <bookViews>
    <workbookView xWindow="47970" yWindow="1050" windowWidth="26370" windowHeight="17355" activeTab="3" xr2:uid="{00000000-000D-0000-FFFF-FFFF00000000}"/>
  </bookViews>
  <sheets>
    <sheet name="User" sheetId="1" r:id="rId1"/>
    <sheet name="Group" sheetId="3" r:id="rId2"/>
    <sheet name="Organisation" sheetId="4" r:id="rId3"/>
    <sheet name="oraPROJECT" sheetId="5" r:id="rId4"/>
  </sheets>
  <definedNames>
    <definedName name="_xlnm._FilterDatabase" localSheetId="1" hidden="1">Group!$B$1:$U$415</definedName>
    <definedName name="_xlnm._FilterDatabase" localSheetId="3" hidden="1">oraPROJECT!$A$1:$N$1042</definedName>
    <definedName name="_xlnm._FilterDatabase" localSheetId="2" hidden="1">Organisation!$A$1:$G$328</definedName>
    <definedName name="_xlnm._FilterDatabase" localSheetId="0" hidden="1">User!$A$1:$T$838</definedName>
    <definedName name="_xlnm.Extract" localSheetId="3">oraPROJECT!#REF!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44" i="5" l="1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43" i="5"/>
  <c r="F232" i="4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2" i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2" i="3"/>
  <c r="G3" i="3"/>
  <c r="H3" i="3" s="1"/>
  <c r="G4" i="3"/>
  <c r="H4" i="3" s="1"/>
  <c r="G5" i="3"/>
  <c r="H5" i="3" s="1"/>
  <c r="G6" i="3"/>
  <c r="H6" i="3" s="1"/>
  <c r="G7" i="3"/>
  <c r="H7" i="3" s="1"/>
  <c r="G8" i="3"/>
  <c r="H8" i="3" s="1"/>
  <c r="G9" i="3"/>
  <c r="H9" i="3" s="1"/>
  <c r="G10" i="3"/>
  <c r="H10" i="3" s="1"/>
  <c r="G11" i="3"/>
  <c r="H11" i="3" s="1"/>
  <c r="G12" i="3"/>
  <c r="H12" i="3" s="1"/>
  <c r="G13" i="3"/>
  <c r="H13" i="3" s="1"/>
  <c r="G14" i="3"/>
  <c r="H14" i="3" s="1"/>
  <c r="G15" i="3"/>
  <c r="H15" i="3" s="1"/>
  <c r="G16" i="3"/>
  <c r="H16" i="3" s="1"/>
  <c r="G17" i="3"/>
  <c r="H17" i="3" s="1"/>
  <c r="G18" i="3"/>
  <c r="H18" i="3" s="1"/>
  <c r="G19" i="3"/>
  <c r="H19" i="3" s="1"/>
  <c r="G20" i="3"/>
  <c r="H20" i="3" s="1"/>
  <c r="G21" i="3"/>
  <c r="H21" i="3" s="1"/>
  <c r="G22" i="3"/>
  <c r="H22" i="3" s="1"/>
  <c r="G23" i="3"/>
  <c r="H23" i="3" s="1"/>
  <c r="G24" i="3"/>
  <c r="H24" i="3" s="1"/>
  <c r="G25" i="3"/>
  <c r="H25" i="3" s="1"/>
  <c r="G26" i="3"/>
  <c r="H26" i="3" s="1"/>
  <c r="G27" i="3"/>
  <c r="H27" i="3" s="1"/>
  <c r="G28" i="3"/>
  <c r="H28" i="3" s="1"/>
  <c r="G29" i="3"/>
  <c r="H29" i="3" s="1"/>
  <c r="G30" i="3"/>
  <c r="H30" i="3" s="1"/>
  <c r="G31" i="3"/>
  <c r="H31" i="3" s="1"/>
  <c r="G32" i="3"/>
  <c r="H32" i="3" s="1"/>
  <c r="G33" i="3"/>
  <c r="H33" i="3" s="1"/>
  <c r="G34" i="3"/>
  <c r="H34" i="3" s="1"/>
  <c r="G35" i="3"/>
  <c r="H35" i="3" s="1"/>
  <c r="G36" i="3"/>
  <c r="H36" i="3" s="1"/>
  <c r="G37" i="3"/>
  <c r="H37" i="3" s="1"/>
  <c r="G38" i="3"/>
  <c r="H38" i="3" s="1"/>
  <c r="G39" i="3"/>
  <c r="H39" i="3" s="1"/>
  <c r="G40" i="3"/>
  <c r="H40" i="3" s="1"/>
  <c r="G41" i="3"/>
  <c r="H41" i="3" s="1"/>
  <c r="G42" i="3"/>
  <c r="H42" i="3" s="1"/>
  <c r="G43" i="3"/>
  <c r="H43" i="3" s="1"/>
  <c r="G44" i="3"/>
  <c r="H44" i="3" s="1"/>
  <c r="G45" i="3"/>
  <c r="H45" i="3" s="1"/>
  <c r="G46" i="3"/>
  <c r="H46" i="3" s="1"/>
  <c r="G47" i="3"/>
  <c r="H47" i="3" s="1"/>
  <c r="G48" i="3"/>
  <c r="H48" i="3" s="1"/>
  <c r="G49" i="3"/>
  <c r="H49" i="3" s="1"/>
  <c r="G50" i="3"/>
  <c r="H50" i="3" s="1"/>
  <c r="G51" i="3"/>
  <c r="H51" i="3" s="1"/>
  <c r="G52" i="3"/>
  <c r="H52" i="3" s="1"/>
  <c r="G53" i="3"/>
  <c r="H53" i="3" s="1"/>
  <c r="G54" i="3"/>
  <c r="H54" i="3" s="1"/>
  <c r="G55" i="3"/>
  <c r="H55" i="3" s="1"/>
  <c r="G56" i="3"/>
  <c r="H56" i="3" s="1"/>
  <c r="G57" i="3"/>
  <c r="H57" i="3" s="1"/>
  <c r="G58" i="3"/>
  <c r="H58" i="3" s="1"/>
  <c r="G59" i="3"/>
  <c r="H59" i="3" s="1"/>
  <c r="G60" i="3"/>
  <c r="H60" i="3" s="1"/>
  <c r="G61" i="3"/>
  <c r="H61" i="3" s="1"/>
  <c r="G62" i="3"/>
  <c r="H62" i="3" s="1"/>
  <c r="G63" i="3"/>
  <c r="H63" i="3" s="1"/>
  <c r="G64" i="3"/>
  <c r="H64" i="3" s="1"/>
  <c r="G65" i="3"/>
  <c r="H65" i="3" s="1"/>
  <c r="G66" i="3"/>
  <c r="H66" i="3" s="1"/>
  <c r="G67" i="3"/>
  <c r="H67" i="3" s="1"/>
  <c r="G68" i="3"/>
  <c r="H68" i="3" s="1"/>
  <c r="G69" i="3"/>
  <c r="H69" i="3" s="1"/>
  <c r="G70" i="3"/>
  <c r="H70" i="3" s="1"/>
  <c r="G71" i="3"/>
  <c r="H71" i="3" s="1"/>
  <c r="G72" i="3"/>
  <c r="H72" i="3" s="1"/>
  <c r="G73" i="3"/>
  <c r="H73" i="3" s="1"/>
  <c r="G74" i="3"/>
  <c r="H74" i="3" s="1"/>
  <c r="G75" i="3"/>
  <c r="H75" i="3" s="1"/>
  <c r="G76" i="3"/>
  <c r="H76" i="3" s="1"/>
  <c r="G77" i="3"/>
  <c r="H77" i="3" s="1"/>
  <c r="G78" i="3"/>
  <c r="H78" i="3" s="1"/>
  <c r="G79" i="3"/>
  <c r="H79" i="3" s="1"/>
  <c r="G80" i="3"/>
  <c r="H80" i="3" s="1"/>
  <c r="G81" i="3"/>
  <c r="H81" i="3" s="1"/>
  <c r="G82" i="3"/>
  <c r="H82" i="3" s="1"/>
  <c r="G83" i="3"/>
  <c r="H83" i="3" s="1"/>
  <c r="G84" i="3"/>
  <c r="H84" i="3" s="1"/>
  <c r="G85" i="3"/>
  <c r="H85" i="3" s="1"/>
  <c r="G86" i="3"/>
  <c r="H86" i="3" s="1"/>
  <c r="G87" i="3"/>
  <c r="H87" i="3" s="1"/>
  <c r="G88" i="3"/>
  <c r="H88" i="3" s="1"/>
  <c r="G89" i="3"/>
  <c r="H89" i="3" s="1"/>
  <c r="G90" i="3"/>
  <c r="H90" i="3" s="1"/>
  <c r="G91" i="3"/>
  <c r="H91" i="3" s="1"/>
  <c r="G92" i="3"/>
  <c r="H92" i="3" s="1"/>
  <c r="G93" i="3"/>
  <c r="H93" i="3" s="1"/>
  <c r="G94" i="3"/>
  <c r="H94" i="3" s="1"/>
  <c r="G95" i="3"/>
  <c r="H95" i="3" s="1"/>
  <c r="G96" i="3"/>
  <c r="H96" i="3" s="1"/>
  <c r="G97" i="3"/>
  <c r="H97" i="3" s="1"/>
  <c r="G98" i="3"/>
  <c r="H98" i="3" s="1"/>
  <c r="G99" i="3"/>
  <c r="H99" i="3" s="1"/>
  <c r="G100" i="3"/>
  <c r="H100" i="3" s="1"/>
  <c r="G101" i="3"/>
  <c r="H101" i="3" s="1"/>
  <c r="G102" i="3"/>
  <c r="H102" i="3" s="1"/>
  <c r="G103" i="3"/>
  <c r="H103" i="3" s="1"/>
  <c r="G104" i="3"/>
  <c r="H104" i="3" s="1"/>
  <c r="G105" i="3"/>
  <c r="H105" i="3" s="1"/>
  <c r="G106" i="3"/>
  <c r="H106" i="3" s="1"/>
  <c r="G107" i="3"/>
  <c r="H107" i="3" s="1"/>
  <c r="G108" i="3"/>
  <c r="H108" i="3" s="1"/>
  <c r="G109" i="3"/>
  <c r="H109" i="3" s="1"/>
  <c r="G110" i="3"/>
  <c r="H110" i="3" s="1"/>
  <c r="G111" i="3"/>
  <c r="H111" i="3" s="1"/>
  <c r="G112" i="3"/>
  <c r="H112" i="3" s="1"/>
  <c r="G113" i="3"/>
  <c r="H113" i="3" s="1"/>
  <c r="G114" i="3"/>
  <c r="H114" i="3" s="1"/>
  <c r="G115" i="3"/>
  <c r="H115" i="3" s="1"/>
  <c r="G116" i="3"/>
  <c r="H116" i="3" s="1"/>
  <c r="G117" i="3"/>
  <c r="H117" i="3" s="1"/>
  <c r="G118" i="3"/>
  <c r="H118" i="3" s="1"/>
  <c r="G119" i="3"/>
  <c r="H119" i="3" s="1"/>
  <c r="G120" i="3"/>
  <c r="H120" i="3" s="1"/>
  <c r="G121" i="3"/>
  <c r="H121" i="3" s="1"/>
  <c r="G122" i="3"/>
  <c r="H122" i="3" s="1"/>
  <c r="G123" i="3"/>
  <c r="H123" i="3" s="1"/>
  <c r="G124" i="3"/>
  <c r="H124" i="3" s="1"/>
  <c r="G125" i="3"/>
  <c r="H125" i="3" s="1"/>
  <c r="G126" i="3"/>
  <c r="H126" i="3" s="1"/>
  <c r="G127" i="3"/>
  <c r="H127" i="3" s="1"/>
  <c r="G128" i="3"/>
  <c r="H128" i="3" s="1"/>
  <c r="G129" i="3"/>
  <c r="H129" i="3" s="1"/>
  <c r="G130" i="3"/>
  <c r="H130" i="3" s="1"/>
  <c r="G131" i="3"/>
  <c r="H131" i="3" s="1"/>
  <c r="G132" i="3"/>
  <c r="H132" i="3" s="1"/>
  <c r="G133" i="3"/>
  <c r="H133" i="3" s="1"/>
  <c r="G134" i="3"/>
  <c r="H134" i="3" s="1"/>
  <c r="G135" i="3"/>
  <c r="H135" i="3" s="1"/>
  <c r="G136" i="3"/>
  <c r="H136" i="3" s="1"/>
  <c r="G137" i="3"/>
  <c r="H137" i="3" s="1"/>
  <c r="G138" i="3"/>
  <c r="H138" i="3" s="1"/>
  <c r="G139" i="3"/>
  <c r="H139" i="3" s="1"/>
  <c r="G140" i="3"/>
  <c r="H140" i="3" s="1"/>
  <c r="G141" i="3"/>
  <c r="H141" i="3" s="1"/>
  <c r="G142" i="3"/>
  <c r="H142" i="3" s="1"/>
  <c r="G143" i="3"/>
  <c r="H143" i="3" s="1"/>
  <c r="G144" i="3"/>
  <c r="H144" i="3" s="1"/>
  <c r="G145" i="3"/>
  <c r="H145" i="3" s="1"/>
  <c r="G146" i="3"/>
  <c r="H146" i="3" s="1"/>
  <c r="G147" i="3"/>
  <c r="H147" i="3" s="1"/>
  <c r="G148" i="3"/>
  <c r="H148" i="3" s="1"/>
  <c r="G149" i="3"/>
  <c r="H149" i="3" s="1"/>
  <c r="G150" i="3"/>
  <c r="H150" i="3" s="1"/>
  <c r="G151" i="3"/>
  <c r="H151" i="3" s="1"/>
  <c r="G152" i="3"/>
  <c r="H152" i="3" s="1"/>
  <c r="G153" i="3"/>
  <c r="H153" i="3" s="1"/>
  <c r="G154" i="3"/>
  <c r="H154" i="3" s="1"/>
  <c r="G155" i="3"/>
  <c r="H155" i="3" s="1"/>
  <c r="G156" i="3"/>
  <c r="H156" i="3" s="1"/>
  <c r="G157" i="3"/>
  <c r="H157" i="3" s="1"/>
  <c r="G158" i="3"/>
  <c r="H158" i="3" s="1"/>
  <c r="G159" i="3"/>
  <c r="H159" i="3" s="1"/>
  <c r="G160" i="3"/>
  <c r="H160" i="3" s="1"/>
  <c r="G161" i="3"/>
  <c r="H161" i="3" s="1"/>
  <c r="G162" i="3"/>
  <c r="H162" i="3" s="1"/>
  <c r="G163" i="3"/>
  <c r="H163" i="3" s="1"/>
  <c r="G164" i="3"/>
  <c r="H164" i="3" s="1"/>
  <c r="G165" i="3"/>
  <c r="H165" i="3" s="1"/>
  <c r="G166" i="3"/>
  <c r="H166" i="3" s="1"/>
  <c r="G167" i="3"/>
  <c r="H167" i="3" s="1"/>
  <c r="G168" i="3"/>
  <c r="H168" i="3" s="1"/>
  <c r="G169" i="3"/>
  <c r="H169" i="3" s="1"/>
  <c r="G170" i="3"/>
  <c r="H170" i="3" s="1"/>
  <c r="G171" i="3"/>
  <c r="H171" i="3" s="1"/>
  <c r="G172" i="3"/>
  <c r="H172" i="3" s="1"/>
  <c r="G173" i="3"/>
  <c r="H173" i="3" s="1"/>
  <c r="G174" i="3"/>
  <c r="H174" i="3" s="1"/>
  <c r="G175" i="3"/>
  <c r="H175" i="3" s="1"/>
  <c r="G176" i="3"/>
  <c r="H176" i="3" s="1"/>
  <c r="G177" i="3"/>
  <c r="H177" i="3" s="1"/>
  <c r="G178" i="3"/>
  <c r="H178" i="3" s="1"/>
  <c r="G179" i="3"/>
  <c r="H179" i="3" s="1"/>
  <c r="G180" i="3"/>
  <c r="H180" i="3" s="1"/>
  <c r="G181" i="3"/>
  <c r="H181" i="3" s="1"/>
  <c r="G182" i="3"/>
  <c r="H182" i="3" s="1"/>
  <c r="G183" i="3"/>
  <c r="H183" i="3" s="1"/>
  <c r="G184" i="3"/>
  <c r="H184" i="3" s="1"/>
  <c r="G185" i="3"/>
  <c r="H185" i="3" s="1"/>
  <c r="G186" i="3"/>
  <c r="H186" i="3" s="1"/>
  <c r="G187" i="3"/>
  <c r="H187" i="3" s="1"/>
  <c r="G188" i="3"/>
  <c r="H188" i="3" s="1"/>
  <c r="G189" i="3"/>
  <c r="H189" i="3" s="1"/>
  <c r="G190" i="3"/>
  <c r="H190" i="3" s="1"/>
  <c r="G191" i="3"/>
  <c r="H191" i="3" s="1"/>
  <c r="G192" i="3"/>
  <c r="H192" i="3" s="1"/>
  <c r="G193" i="3"/>
  <c r="H193" i="3" s="1"/>
  <c r="G194" i="3"/>
  <c r="H194" i="3" s="1"/>
  <c r="G195" i="3"/>
  <c r="H195" i="3" s="1"/>
  <c r="G196" i="3"/>
  <c r="H196" i="3" s="1"/>
  <c r="G197" i="3"/>
  <c r="H197" i="3" s="1"/>
  <c r="G198" i="3"/>
  <c r="H198" i="3" s="1"/>
  <c r="G199" i="3"/>
  <c r="H199" i="3" s="1"/>
  <c r="G200" i="3"/>
  <c r="H200" i="3" s="1"/>
  <c r="G201" i="3"/>
  <c r="H201" i="3" s="1"/>
  <c r="G202" i="3"/>
  <c r="H202" i="3" s="1"/>
  <c r="G203" i="3"/>
  <c r="H203" i="3" s="1"/>
  <c r="G204" i="3"/>
  <c r="H204" i="3" s="1"/>
  <c r="G205" i="3"/>
  <c r="H205" i="3" s="1"/>
  <c r="G206" i="3"/>
  <c r="H206" i="3" s="1"/>
  <c r="G207" i="3"/>
  <c r="H207" i="3" s="1"/>
  <c r="G208" i="3"/>
  <c r="H208" i="3" s="1"/>
  <c r="G209" i="3"/>
  <c r="H209" i="3" s="1"/>
  <c r="G210" i="3"/>
  <c r="H210" i="3" s="1"/>
  <c r="G211" i="3"/>
  <c r="H211" i="3" s="1"/>
  <c r="G212" i="3"/>
  <c r="H212" i="3" s="1"/>
  <c r="G213" i="3"/>
  <c r="H213" i="3" s="1"/>
  <c r="G214" i="3"/>
  <c r="H214" i="3" s="1"/>
  <c r="G215" i="3"/>
  <c r="H215" i="3" s="1"/>
  <c r="G216" i="3"/>
  <c r="H216" i="3" s="1"/>
  <c r="G217" i="3"/>
  <c r="H217" i="3" s="1"/>
  <c r="G218" i="3"/>
  <c r="H218" i="3" s="1"/>
  <c r="G219" i="3"/>
  <c r="H219" i="3" s="1"/>
  <c r="G220" i="3"/>
  <c r="H220" i="3" s="1"/>
  <c r="G221" i="3"/>
  <c r="H221" i="3" s="1"/>
  <c r="G222" i="3"/>
  <c r="H222" i="3" s="1"/>
  <c r="G223" i="3"/>
  <c r="H223" i="3" s="1"/>
  <c r="G224" i="3"/>
  <c r="H224" i="3" s="1"/>
  <c r="G225" i="3"/>
  <c r="H225" i="3" s="1"/>
  <c r="G226" i="3"/>
  <c r="H226" i="3" s="1"/>
  <c r="G227" i="3"/>
  <c r="H227" i="3" s="1"/>
  <c r="G228" i="3"/>
  <c r="H228" i="3" s="1"/>
  <c r="G229" i="3"/>
  <c r="H229" i="3" s="1"/>
  <c r="G230" i="3"/>
  <c r="H230" i="3" s="1"/>
  <c r="G231" i="3"/>
  <c r="H231" i="3" s="1"/>
  <c r="G232" i="3"/>
  <c r="H232" i="3" s="1"/>
  <c r="G233" i="3"/>
  <c r="H233" i="3" s="1"/>
  <c r="G234" i="3"/>
  <c r="H234" i="3" s="1"/>
  <c r="G235" i="3"/>
  <c r="H235" i="3" s="1"/>
  <c r="G236" i="3"/>
  <c r="H236" i="3" s="1"/>
  <c r="G237" i="3"/>
  <c r="H237" i="3" s="1"/>
  <c r="G238" i="3"/>
  <c r="H238" i="3" s="1"/>
  <c r="G239" i="3"/>
  <c r="H239" i="3" s="1"/>
  <c r="G240" i="3"/>
  <c r="H240" i="3" s="1"/>
  <c r="G241" i="3"/>
  <c r="H241" i="3" s="1"/>
  <c r="G242" i="3"/>
  <c r="H242" i="3" s="1"/>
  <c r="G243" i="3"/>
  <c r="H243" i="3" s="1"/>
  <c r="G244" i="3"/>
  <c r="H244" i="3" s="1"/>
  <c r="G245" i="3"/>
  <c r="H245" i="3" s="1"/>
  <c r="G246" i="3"/>
  <c r="H246" i="3" s="1"/>
  <c r="G247" i="3"/>
  <c r="H247" i="3" s="1"/>
  <c r="G248" i="3"/>
  <c r="H248" i="3" s="1"/>
  <c r="G249" i="3"/>
  <c r="H249" i="3" s="1"/>
  <c r="G250" i="3"/>
  <c r="H250" i="3" s="1"/>
  <c r="G251" i="3"/>
  <c r="H251" i="3" s="1"/>
  <c r="G252" i="3"/>
  <c r="H252" i="3" s="1"/>
  <c r="G253" i="3"/>
  <c r="H253" i="3" s="1"/>
  <c r="G254" i="3"/>
  <c r="H254" i="3" s="1"/>
  <c r="G255" i="3"/>
  <c r="H255" i="3" s="1"/>
  <c r="G256" i="3"/>
  <c r="H256" i="3" s="1"/>
  <c r="G257" i="3"/>
  <c r="H257" i="3" s="1"/>
  <c r="G258" i="3"/>
  <c r="H258" i="3" s="1"/>
  <c r="G259" i="3"/>
  <c r="H259" i="3" s="1"/>
  <c r="G260" i="3"/>
  <c r="H260" i="3" s="1"/>
  <c r="G261" i="3"/>
  <c r="H261" i="3" s="1"/>
  <c r="G262" i="3"/>
  <c r="H262" i="3" s="1"/>
  <c r="G263" i="3"/>
  <c r="H263" i="3" s="1"/>
  <c r="G264" i="3"/>
  <c r="H264" i="3" s="1"/>
  <c r="G265" i="3"/>
  <c r="H265" i="3" s="1"/>
  <c r="G266" i="3"/>
  <c r="H266" i="3" s="1"/>
  <c r="G267" i="3"/>
  <c r="H267" i="3" s="1"/>
  <c r="G268" i="3"/>
  <c r="H268" i="3" s="1"/>
  <c r="G269" i="3"/>
  <c r="H269" i="3" s="1"/>
  <c r="G270" i="3"/>
  <c r="H270" i="3" s="1"/>
  <c r="G271" i="3"/>
  <c r="H271" i="3" s="1"/>
  <c r="G272" i="3"/>
  <c r="H272" i="3" s="1"/>
  <c r="G273" i="3"/>
  <c r="H273" i="3" s="1"/>
  <c r="G274" i="3"/>
  <c r="H274" i="3" s="1"/>
  <c r="G275" i="3"/>
  <c r="H275" i="3" s="1"/>
  <c r="G276" i="3"/>
  <c r="H276" i="3" s="1"/>
  <c r="G277" i="3"/>
  <c r="H277" i="3" s="1"/>
  <c r="G278" i="3"/>
  <c r="H278" i="3" s="1"/>
  <c r="G279" i="3"/>
  <c r="H279" i="3" s="1"/>
  <c r="G280" i="3"/>
  <c r="H280" i="3" s="1"/>
  <c r="G281" i="3"/>
  <c r="H281" i="3" s="1"/>
  <c r="G282" i="3"/>
  <c r="H282" i="3" s="1"/>
  <c r="G283" i="3"/>
  <c r="H283" i="3" s="1"/>
  <c r="G284" i="3"/>
  <c r="H284" i="3" s="1"/>
  <c r="G285" i="3"/>
  <c r="H285" i="3" s="1"/>
  <c r="G286" i="3"/>
  <c r="H286" i="3" s="1"/>
  <c r="G287" i="3"/>
  <c r="H287" i="3" s="1"/>
  <c r="G288" i="3"/>
  <c r="H288" i="3" s="1"/>
  <c r="G289" i="3"/>
  <c r="H289" i="3" s="1"/>
  <c r="G290" i="3"/>
  <c r="H290" i="3" s="1"/>
  <c r="G291" i="3"/>
  <c r="H291" i="3" s="1"/>
  <c r="G292" i="3"/>
  <c r="H292" i="3" s="1"/>
  <c r="G293" i="3"/>
  <c r="H293" i="3" s="1"/>
  <c r="G294" i="3"/>
  <c r="H294" i="3" s="1"/>
  <c r="G295" i="3"/>
  <c r="H295" i="3" s="1"/>
  <c r="G296" i="3"/>
  <c r="H296" i="3" s="1"/>
  <c r="G297" i="3"/>
  <c r="H297" i="3" s="1"/>
  <c r="G298" i="3"/>
  <c r="H298" i="3" s="1"/>
  <c r="G299" i="3"/>
  <c r="H299" i="3" s="1"/>
  <c r="G300" i="3"/>
  <c r="H300" i="3" s="1"/>
  <c r="G301" i="3"/>
  <c r="H301" i="3" s="1"/>
  <c r="G302" i="3"/>
  <c r="H302" i="3" s="1"/>
  <c r="G303" i="3"/>
  <c r="H303" i="3" s="1"/>
  <c r="G304" i="3"/>
  <c r="H304" i="3" s="1"/>
  <c r="G305" i="3"/>
  <c r="H305" i="3" s="1"/>
  <c r="G306" i="3"/>
  <c r="H306" i="3" s="1"/>
  <c r="G307" i="3"/>
  <c r="H307" i="3" s="1"/>
  <c r="G308" i="3"/>
  <c r="H308" i="3" s="1"/>
  <c r="G309" i="3"/>
  <c r="H309" i="3" s="1"/>
  <c r="G310" i="3"/>
  <c r="H310" i="3" s="1"/>
  <c r="G311" i="3"/>
  <c r="H311" i="3" s="1"/>
  <c r="G312" i="3"/>
  <c r="H312" i="3" s="1"/>
  <c r="G313" i="3"/>
  <c r="H313" i="3" s="1"/>
  <c r="G314" i="3"/>
  <c r="H314" i="3" s="1"/>
  <c r="G315" i="3"/>
  <c r="H315" i="3" s="1"/>
  <c r="G316" i="3"/>
  <c r="H316" i="3" s="1"/>
  <c r="G317" i="3"/>
  <c r="H317" i="3" s="1"/>
  <c r="G318" i="3"/>
  <c r="H318" i="3" s="1"/>
  <c r="G319" i="3"/>
  <c r="H319" i="3" s="1"/>
  <c r="G320" i="3"/>
  <c r="H320" i="3" s="1"/>
  <c r="G321" i="3"/>
  <c r="H321" i="3" s="1"/>
  <c r="G322" i="3"/>
  <c r="H322" i="3" s="1"/>
  <c r="G323" i="3"/>
  <c r="H323" i="3" s="1"/>
  <c r="G324" i="3"/>
  <c r="H324" i="3" s="1"/>
  <c r="G325" i="3"/>
  <c r="H325" i="3" s="1"/>
  <c r="G326" i="3"/>
  <c r="H326" i="3" s="1"/>
  <c r="G327" i="3"/>
  <c r="H327" i="3" s="1"/>
  <c r="G328" i="3"/>
  <c r="H328" i="3" s="1"/>
  <c r="G329" i="3"/>
  <c r="H329" i="3" s="1"/>
  <c r="G330" i="3"/>
  <c r="H330" i="3" s="1"/>
  <c r="G331" i="3"/>
  <c r="H331" i="3" s="1"/>
  <c r="G332" i="3"/>
  <c r="H332" i="3" s="1"/>
  <c r="G333" i="3"/>
  <c r="H333" i="3" s="1"/>
  <c r="G334" i="3"/>
  <c r="H334" i="3" s="1"/>
  <c r="G335" i="3"/>
  <c r="H335" i="3" s="1"/>
  <c r="G336" i="3"/>
  <c r="H336" i="3" s="1"/>
  <c r="G337" i="3"/>
  <c r="H337" i="3" s="1"/>
  <c r="G338" i="3"/>
  <c r="H338" i="3" s="1"/>
  <c r="G339" i="3"/>
  <c r="H339" i="3" s="1"/>
  <c r="G340" i="3"/>
  <c r="H340" i="3" s="1"/>
  <c r="G341" i="3"/>
  <c r="H341" i="3" s="1"/>
  <c r="G342" i="3"/>
  <c r="H342" i="3" s="1"/>
  <c r="G343" i="3"/>
  <c r="H343" i="3" s="1"/>
  <c r="G344" i="3"/>
  <c r="H344" i="3" s="1"/>
  <c r="G345" i="3"/>
  <c r="H345" i="3" s="1"/>
  <c r="G346" i="3"/>
  <c r="H346" i="3" s="1"/>
  <c r="G347" i="3"/>
  <c r="H347" i="3" s="1"/>
  <c r="G348" i="3"/>
  <c r="H348" i="3" s="1"/>
  <c r="G349" i="3"/>
  <c r="H349" i="3" s="1"/>
  <c r="G350" i="3"/>
  <c r="H350" i="3" s="1"/>
  <c r="G351" i="3"/>
  <c r="H351" i="3" s="1"/>
  <c r="G352" i="3"/>
  <c r="H352" i="3" s="1"/>
  <c r="G353" i="3"/>
  <c r="H353" i="3" s="1"/>
  <c r="G354" i="3"/>
  <c r="H354" i="3" s="1"/>
  <c r="G355" i="3"/>
  <c r="H355" i="3" s="1"/>
  <c r="G356" i="3"/>
  <c r="H356" i="3" s="1"/>
  <c r="G357" i="3"/>
  <c r="H357" i="3" s="1"/>
  <c r="G358" i="3"/>
  <c r="H358" i="3" s="1"/>
  <c r="G359" i="3"/>
  <c r="H359" i="3" s="1"/>
  <c r="G360" i="3"/>
  <c r="H360" i="3" s="1"/>
  <c r="G361" i="3"/>
  <c r="H361" i="3" s="1"/>
  <c r="G362" i="3"/>
  <c r="H362" i="3" s="1"/>
  <c r="G363" i="3"/>
  <c r="H363" i="3" s="1"/>
  <c r="G364" i="3"/>
  <c r="H364" i="3" s="1"/>
  <c r="G365" i="3"/>
  <c r="H365" i="3" s="1"/>
  <c r="G366" i="3"/>
  <c r="H366" i="3" s="1"/>
  <c r="G367" i="3"/>
  <c r="H367" i="3" s="1"/>
  <c r="G368" i="3"/>
  <c r="H368" i="3" s="1"/>
  <c r="G369" i="3"/>
  <c r="H369" i="3" s="1"/>
  <c r="G370" i="3"/>
  <c r="H370" i="3" s="1"/>
  <c r="G371" i="3"/>
  <c r="H371" i="3" s="1"/>
  <c r="G372" i="3"/>
  <c r="H372" i="3" s="1"/>
  <c r="G373" i="3"/>
  <c r="H373" i="3" s="1"/>
  <c r="G374" i="3"/>
  <c r="H374" i="3" s="1"/>
  <c r="G375" i="3"/>
  <c r="H375" i="3" s="1"/>
  <c r="G376" i="3"/>
  <c r="H376" i="3" s="1"/>
  <c r="G377" i="3"/>
  <c r="H377" i="3" s="1"/>
  <c r="G378" i="3"/>
  <c r="H378" i="3" s="1"/>
  <c r="G379" i="3"/>
  <c r="H379" i="3" s="1"/>
  <c r="G380" i="3"/>
  <c r="H380" i="3" s="1"/>
  <c r="G381" i="3"/>
  <c r="H381" i="3" s="1"/>
  <c r="G382" i="3"/>
  <c r="H382" i="3" s="1"/>
  <c r="G383" i="3"/>
  <c r="H383" i="3" s="1"/>
  <c r="G384" i="3"/>
  <c r="H384" i="3" s="1"/>
  <c r="G385" i="3"/>
  <c r="H385" i="3" s="1"/>
  <c r="G386" i="3"/>
  <c r="H386" i="3" s="1"/>
  <c r="G387" i="3"/>
  <c r="H387" i="3" s="1"/>
  <c r="G388" i="3"/>
  <c r="H388" i="3" s="1"/>
  <c r="G389" i="3"/>
  <c r="H389" i="3" s="1"/>
  <c r="G390" i="3"/>
  <c r="H390" i="3" s="1"/>
  <c r="G391" i="3"/>
  <c r="H391" i="3" s="1"/>
  <c r="G392" i="3"/>
  <c r="H392" i="3" s="1"/>
  <c r="G393" i="3"/>
  <c r="H393" i="3" s="1"/>
  <c r="G394" i="3"/>
  <c r="H394" i="3" s="1"/>
  <c r="G395" i="3"/>
  <c r="H395" i="3" s="1"/>
  <c r="G396" i="3"/>
  <c r="H396" i="3" s="1"/>
  <c r="G397" i="3"/>
  <c r="H397" i="3" s="1"/>
  <c r="G398" i="3"/>
  <c r="H398" i="3" s="1"/>
  <c r="G399" i="3"/>
  <c r="H399" i="3" s="1"/>
  <c r="G400" i="3"/>
  <c r="H400" i="3" s="1"/>
  <c r="G401" i="3"/>
  <c r="H401" i="3" s="1"/>
  <c r="G402" i="3"/>
  <c r="H402" i="3" s="1"/>
  <c r="G403" i="3"/>
  <c r="H403" i="3" s="1"/>
  <c r="G404" i="3"/>
  <c r="H404" i="3" s="1"/>
  <c r="G405" i="3"/>
  <c r="H405" i="3" s="1"/>
  <c r="G406" i="3"/>
  <c r="H406" i="3" s="1"/>
  <c r="G407" i="3"/>
  <c r="H407" i="3" s="1"/>
  <c r="G408" i="3"/>
  <c r="H408" i="3" s="1"/>
  <c r="G409" i="3"/>
  <c r="H409" i="3" s="1"/>
  <c r="G410" i="3"/>
  <c r="H410" i="3" s="1"/>
  <c r="G411" i="3"/>
  <c r="H411" i="3" s="1"/>
  <c r="G412" i="3"/>
  <c r="H412" i="3" s="1"/>
  <c r="G413" i="3"/>
  <c r="H413" i="3" s="1"/>
  <c r="G414" i="3"/>
  <c r="H414" i="3" s="1"/>
  <c r="G415" i="3"/>
  <c r="H415" i="3" s="1"/>
  <c r="G2" i="3"/>
  <c r="H2" i="3" s="1"/>
  <c r="B145" i="4"/>
  <c r="B97" i="4"/>
  <c r="B17" i="4"/>
  <c r="B33" i="4"/>
  <c r="B232" i="4"/>
  <c r="B321" i="4"/>
  <c r="B322" i="4"/>
  <c r="B323" i="4"/>
  <c r="B324" i="4"/>
  <c r="B325" i="4"/>
  <c r="B326" i="4"/>
  <c r="B327" i="4"/>
  <c r="B328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270" i="4"/>
  <c r="F406" i="3"/>
  <c r="F407" i="3"/>
  <c r="F408" i="3"/>
  <c r="F409" i="3"/>
  <c r="F410" i="3"/>
  <c r="F411" i="3"/>
  <c r="F412" i="3"/>
  <c r="F413" i="3"/>
  <c r="F414" i="3"/>
  <c r="F415" i="3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838" i="1"/>
  <c r="T92" i="3"/>
  <c r="T404" i="3"/>
  <c r="T403" i="3"/>
  <c r="T402" i="3"/>
  <c r="T401" i="3"/>
  <c r="T400" i="3"/>
  <c r="T399" i="3"/>
  <c r="T398" i="3"/>
  <c r="T397" i="3"/>
  <c r="T396" i="3"/>
  <c r="T395" i="3"/>
  <c r="T394" i="3"/>
  <c r="T393" i="3"/>
  <c r="T392" i="3"/>
  <c r="T391" i="3"/>
  <c r="T390" i="3"/>
  <c r="T389" i="3"/>
  <c r="T388" i="3"/>
  <c r="T387" i="3"/>
  <c r="T386" i="3"/>
  <c r="T385" i="3"/>
  <c r="T384" i="3"/>
  <c r="T383" i="3"/>
  <c r="T382" i="3"/>
  <c r="T381" i="3"/>
  <c r="T380" i="3"/>
  <c r="T379" i="3"/>
  <c r="T378" i="3"/>
  <c r="T377" i="3"/>
  <c r="T376" i="3"/>
  <c r="T375" i="3"/>
  <c r="T374" i="3"/>
  <c r="T373" i="3"/>
  <c r="T372" i="3"/>
  <c r="T371" i="3"/>
  <c r="T370" i="3"/>
  <c r="T369" i="3"/>
  <c r="T368" i="3"/>
  <c r="T367" i="3"/>
  <c r="T366" i="3"/>
  <c r="T365" i="3"/>
  <c r="T364" i="3"/>
  <c r="T363" i="3"/>
  <c r="T362" i="3"/>
  <c r="T361" i="3"/>
  <c r="T360" i="3"/>
  <c r="T359" i="3"/>
  <c r="T358" i="3"/>
  <c r="T357" i="3"/>
  <c r="T356" i="3"/>
  <c r="T355" i="3"/>
  <c r="T354" i="3"/>
  <c r="T353" i="3"/>
  <c r="T352" i="3"/>
  <c r="T351" i="3"/>
  <c r="T350" i="3"/>
  <c r="T349" i="3"/>
  <c r="T348" i="3"/>
  <c r="T347" i="3"/>
  <c r="T346" i="3"/>
  <c r="T345" i="3"/>
  <c r="T344" i="3"/>
  <c r="T343" i="3"/>
  <c r="T342" i="3"/>
  <c r="T341" i="3"/>
  <c r="T340" i="3"/>
  <c r="T339" i="3"/>
  <c r="T338" i="3"/>
  <c r="T337" i="3"/>
  <c r="T336" i="3"/>
  <c r="T335" i="3"/>
  <c r="T334" i="3"/>
  <c r="T333" i="3"/>
  <c r="T332" i="3"/>
  <c r="T331" i="3"/>
  <c r="T330" i="3"/>
  <c r="T329" i="3"/>
  <c r="T328" i="3"/>
  <c r="T327" i="3"/>
  <c r="T326" i="3"/>
  <c r="T325" i="3"/>
  <c r="T324" i="3"/>
  <c r="T323" i="3"/>
  <c r="T322" i="3"/>
  <c r="T321" i="3"/>
  <c r="T320" i="3"/>
  <c r="T319" i="3"/>
  <c r="T318" i="3"/>
  <c r="T317" i="3"/>
  <c r="T316" i="3"/>
  <c r="T315" i="3"/>
  <c r="T314" i="3"/>
  <c r="T313" i="3"/>
  <c r="T312" i="3"/>
  <c r="T311" i="3"/>
  <c r="T310" i="3"/>
  <c r="T309" i="3"/>
  <c r="T308" i="3"/>
  <c r="T307" i="3"/>
  <c r="T306" i="3"/>
  <c r="T305" i="3"/>
  <c r="T304" i="3"/>
  <c r="T303" i="3"/>
  <c r="T302" i="3"/>
  <c r="T301" i="3"/>
  <c r="T300" i="3"/>
  <c r="T299" i="3"/>
  <c r="T298" i="3"/>
  <c r="T297" i="3"/>
  <c r="T296" i="3"/>
  <c r="T295" i="3"/>
  <c r="T294" i="3"/>
  <c r="T293" i="3"/>
  <c r="T292" i="3"/>
  <c r="T291" i="3"/>
  <c r="T290" i="3"/>
  <c r="T289" i="3"/>
  <c r="T288" i="3"/>
  <c r="T287" i="3"/>
  <c r="T286" i="3"/>
  <c r="T285" i="3"/>
  <c r="T284" i="3"/>
  <c r="T283" i="3"/>
  <c r="T282" i="3"/>
  <c r="T281" i="3"/>
  <c r="T280" i="3"/>
  <c r="T279" i="3"/>
  <c r="T278" i="3"/>
  <c r="T277" i="3"/>
  <c r="T276" i="3"/>
  <c r="T275" i="3"/>
  <c r="T274" i="3"/>
  <c r="T273" i="3"/>
  <c r="T272" i="3"/>
  <c r="T271" i="3"/>
  <c r="T270" i="3"/>
  <c r="T269" i="3"/>
  <c r="T268" i="3"/>
  <c r="T267" i="3"/>
  <c r="T266" i="3"/>
  <c r="T265" i="3"/>
  <c r="T264" i="3"/>
  <c r="T263" i="3"/>
  <c r="T262" i="3"/>
  <c r="T261" i="3"/>
  <c r="T260" i="3"/>
  <c r="T259" i="3"/>
  <c r="T258" i="3"/>
  <c r="T257" i="3"/>
  <c r="T256" i="3"/>
  <c r="T255" i="3"/>
  <c r="T254" i="3"/>
  <c r="T253" i="3"/>
  <c r="T252" i="3"/>
  <c r="T251" i="3"/>
  <c r="T250" i="3"/>
  <c r="T249" i="3"/>
  <c r="T248" i="3"/>
  <c r="T247" i="3"/>
  <c r="T246" i="3"/>
  <c r="T245" i="3"/>
  <c r="T244" i="3"/>
  <c r="T243" i="3"/>
  <c r="T242" i="3"/>
  <c r="T241" i="3"/>
  <c r="T240" i="3"/>
  <c r="T239" i="3"/>
  <c r="T238" i="3"/>
  <c r="T237" i="3"/>
  <c r="T236" i="3"/>
  <c r="T235" i="3"/>
  <c r="T234" i="3"/>
  <c r="T233" i="3"/>
  <c r="T232" i="3"/>
  <c r="T231" i="3"/>
  <c r="T230" i="3"/>
  <c r="T229" i="3"/>
  <c r="T228" i="3"/>
  <c r="T227" i="3"/>
  <c r="T226" i="3"/>
  <c r="T225" i="3"/>
  <c r="T224" i="3"/>
  <c r="T223" i="3"/>
  <c r="T222" i="3"/>
  <c r="T221" i="3"/>
  <c r="T220" i="3"/>
  <c r="T219" i="3"/>
  <c r="T218" i="3"/>
  <c r="T217" i="3"/>
  <c r="T216" i="3"/>
  <c r="T215" i="3"/>
  <c r="T214" i="3"/>
  <c r="T213" i="3"/>
  <c r="T212" i="3"/>
  <c r="T211" i="3"/>
  <c r="T210" i="3"/>
  <c r="T209" i="3"/>
  <c r="T208" i="3"/>
  <c r="T207" i="3"/>
  <c r="T206" i="3"/>
  <c r="T205" i="3"/>
  <c r="T204" i="3"/>
  <c r="T203" i="3"/>
  <c r="T202" i="3"/>
  <c r="T201" i="3"/>
  <c r="T200" i="3"/>
  <c r="T199" i="3"/>
  <c r="T198" i="3"/>
  <c r="T197" i="3"/>
  <c r="T196" i="3"/>
  <c r="T195" i="3"/>
  <c r="T194" i="3"/>
  <c r="T193" i="3"/>
  <c r="T192" i="3"/>
  <c r="T191" i="3"/>
  <c r="T190" i="3"/>
  <c r="T189" i="3"/>
  <c r="T188" i="3"/>
  <c r="T187" i="3"/>
  <c r="T186" i="3"/>
  <c r="T185" i="3"/>
  <c r="T184" i="3"/>
  <c r="T183" i="3"/>
  <c r="T182" i="3"/>
  <c r="T181" i="3"/>
  <c r="T180" i="3"/>
  <c r="T179" i="3"/>
  <c r="T178" i="3"/>
  <c r="T177" i="3"/>
  <c r="T176" i="3"/>
  <c r="T175" i="3"/>
  <c r="T174" i="3"/>
  <c r="T173" i="3"/>
  <c r="T172" i="3"/>
  <c r="T171" i="3"/>
  <c r="T170" i="3"/>
  <c r="T169" i="3"/>
  <c r="T168" i="3"/>
  <c r="T167" i="3"/>
  <c r="T166" i="3"/>
  <c r="T165" i="3"/>
  <c r="T164" i="3"/>
  <c r="T163" i="3"/>
  <c r="T162" i="3"/>
  <c r="T161" i="3"/>
  <c r="T160" i="3"/>
  <c r="T159" i="3"/>
  <c r="T158" i="3"/>
  <c r="T157" i="3"/>
  <c r="T156" i="3"/>
  <c r="T155" i="3"/>
  <c r="T154" i="3"/>
  <c r="T153" i="3"/>
  <c r="T152" i="3"/>
  <c r="T151" i="3"/>
  <c r="T150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405" i="3"/>
  <c r="T3" i="3"/>
  <c r="T2" i="3"/>
  <c r="S404" i="3"/>
  <c r="S403" i="3"/>
  <c r="S402" i="3"/>
  <c r="S401" i="3"/>
  <c r="S400" i="3"/>
  <c r="S399" i="3"/>
  <c r="S398" i="3"/>
  <c r="S397" i="3"/>
  <c r="S396" i="3"/>
  <c r="S395" i="3"/>
  <c r="S394" i="3"/>
  <c r="S393" i="3"/>
  <c r="S392" i="3"/>
  <c r="S391" i="3"/>
  <c r="S390" i="3"/>
  <c r="S389" i="3"/>
  <c r="S388" i="3"/>
  <c r="S387" i="3"/>
  <c r="S386" i="3"/>
  <c r="S385" i="3"/>
  <c r="S384" i="3"/>
  <c r="S383" i="3"/>
  <c r="S382" i="3"/>
  <c r="S381" i="3"/>
  <c r="S380" i="3"/>
  <c r="S379" i="3"/>
  <c r="S378" i="3"/>
  <c r="S377" i="3"/>
  <c r="S376" i="3"/>
  <c r="S375" i="3"/>
  <c r="S374" i="3"/>
  <c r="S373" i="3"/>
  <c r="S372" i="3"/>
  <c r="S371" i="3"/>
  <c r="S370" i="3"/>
  <c r="S369" i="3"/>
  <c r="S368" i="3"/>
  <c r="S367" i="3"/>
  <c r="S366" i="3"/>
  <c r="S365" i="3"/>
  <c r="S364" i="3"/>
  <c r="S363" i="3"/>
  <c r="S362" i="3"/>
  <c r="S361" i="3"/>
  <c r="S360" i="3"/>
  <c r="S359" i="3"/>
  <c r="S358" i="3"/>
  <c r="S357" i="3"/>
  <c r="S356" i="3"/>
  <c r="S355" i="3"/>
  <c r="S354" i="3"/>
  <c r="S353" i="3"/>
  <c r="S352" i="3"/>
  <c r="S351" i="3"/>
  <c r="S350" i="3"/>
  <c r="S349" i="3"/>
  <c r="S348" i="3"/>
  <c r="S347" i="3"/>
  <c r="S346" i="3"/>
  <c r="S345" i="3"/>
  <c r="S344" i="3"/>
  <c r="S343" i="3"/>
  <c r="S342" i="3"/>
  <c r="S341" i="3"/>
  <c r="S340" i="3"/>
  <c r="S339" i="3"/>
  <c r="S338" i="3"/>
  <c r="S337" i="3"/>
  <c r="S336" i="3"/>
  <c r="S335" i="3"/>
  <c r="S334" i="3"/>
  <c r="S333" i="3"/>
  <c r="S332" i="3"/>
  <c r="S331" i="3"/>
  <c r="S330" i="3"/>
  <c r="S329" i="3"/>
  <c r="S328" i="3"/>
  <c r="S327" i="3"/>
  <c r="S326" i="3"/>
  <c r="S325" i="3"/>
  <c r="S324" i="3"/>
  <c r="S323" i="3"/>
  <c r="S322" i="3"/>
  <c r="S321" i="3"/>
  <c r="S320" i="3"/>
  <c r="S319" i="3"/>
  <c r="S318" i="3"/>
  <c r="S317" i="3"/>
  <c r="S316" i="3"/>
  <c r="S315" i="3"/>
  <c r="S314" i="3"/>
  <c r="S313" i="3"/>
  <c r="S312" i="3"/>
  <c r="S311" i="3"/>
  <c r="S310" i="3"/>
  <c r="S309" i="3"/>
  <c r="S308" i="3"/>
  <c r="S307" i="3"/>
  <c r="S306" i="3"/>
  <c r="S305" i="3"/>
  <c r="S304" i="3"/>
  <c r="S303" i="3"/>
  <c r="S302" i="3"/>
  <c r="S301" i="3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405" i="3"/>
  <c r="S3" i="3"/>
  <c r="S2" i="3"/>
  <c r="F295" i="3"/>
  <c r="U36" i="1"/>
  <c r="U278" i="1"/>
  <c r="U363" i="1"/>
  <c r="U106" i="1"/>
  <c r="U538" i="1"/>
  <c r="U672" i="1"/>
  <c r="U774" i="1"/>
  <c r="U237" i="1"/>
  <c r="U394" i="1"/>
  <c r="U97" i="1"/>
  <c r="U414" i="1"/>
  <c r="U387" i="1"/>
  <c r="U308" i="1"/>
  <c r="U510" i="1"/>
  <c r="U472" i="1"/>
  <c r="U357" i="1"/>
  <c r="U578" i="1"/>
  <c r="U103" i="1"/>
  <c r="U794" i="1"/>
  <c r="U570" i="1"/>
  <c r="U320" i="1"/>
  <c r="U89" i="1"/>
  <c r="U38" i="1"/>
  <c r="U152" i="1"/>
  <c r="U701" i="1"/>
  <c r="U93" i="1"/>
  <c r="U182" i="1"/>
  <c r="U659" i="1"/>
  <c r="U274" i="1"/>
  <c r="U268" i="1"/>
  <c r="U56" i="1"/>
  <c r="U551" i="1"/>
  <c r="U644" i="1"/>
  <c r="U566" i="1"/>
  <c r="U619" i="1"/>
  <c r="U332" i="1"/>
  <c r="U719" i="1"/>
  <c r="U731" i="1"/>
  <c r="U789" i="1"/>
  <c r="U325" i="1"/>
  <c r="U92" i="1"/>
  <c r="U706" i="1"/>
  <c r="U541" i="1"/>
  <c r="U365" i="1"/>
  <c r="U502" i="1"/>
  <c r="U805" i="1"/>
  <c r="U165" i="1"/>
  <c r="U797" i="1"/>
  <c r="U461" i="1"/>
  <c r="U661" i="1"/>
  <c r="U338" i="1"/>
  <c r="U153" i="1"/>
  <c r="U737" i="1"/>
  <c r="U763" i="1"/>
  <c r="U16" i="1"/>
  <c r="U281" i="1"/>
  <c r="U204" i="1"/>
  <c r="U108" i="1"/>
  <c r="U136" i="1"/>
  <c r="U159" i="1"/>
  <c r="U742" i="1"/>
  <c r="U367" i="1"/>
  <c r="U557" i="1"/>
  <c r="U110" i="1"/>
  <c r="U128" i="1"/>
  <c r="U197" i="1"/>
  <c r="U616" i="1"/>
  <c r="U58" i="1"/>
  <c r="U86" i="1"/>
  <c r="U703" i="1"/>
  <c r="U453" i="1"/>
  <c r="U552" i="1"/>
  <c r="U448" i="1"/>
  <c r="U85" i="1"/>
  <c r="U264" i="1"/>
  <c r="U476" i="1"/>
  <c r="U266" i="1"/>
  <c r="U373" i="1"/>
  <c r="U699" i="1"/>
  <c r="U188" i="1"/>
  <c r="U310" i="1"/>
  <c r="U95" i="1"/>
  <c r="U213" i="1"/>
  <c r="U790" i="1"/>
  <c r="U677" i="1"/>
  <c r="U43" i="1"/>
  <c r="U389" i="1"/>
  <c r="U782" i="1"/>
  <c r="U69" i="1"/>
  <c r="U514" i="1"/>
  <c r="U524" i="1"/>
  <c r="U622" i="1"/>
  <c r="U579" i="1"/>
  <c r="U604" i="1"/>
  <c r="U293" i="1"/>
  <c r="U517" i="1"/>
  <c r="U716" i="1"/>
  <c r="U804" i="1"/>
  <c r="U631" i="1"/>
  <c r="U739" i="1"/>
  <c r="U465" i="1"/>
  <c r="U421" i="1"/>
  <c r="U9" i="1"/>
  <c r="U477" i="1"/>
  <c r="U21" i="1"/>
  <c r="U35" i="1"/>
  <c r="U6" i="1"/>
  <c r="U114" i="1"/>
  <c r="U164" i="1"/>
  <c r="U499" i="1"/>
  <c r="U512" i="1"/>
  <c r="U520" i="1"/>
  <c r="U600" i="1"/>
  <c r="U454" i="1"/>
  <c r="U447" i="1"/>
  <c r="U263" i="1"/>
  <c r="U241" i="1"/>
  <c r="U73" i="1"/>
  <c r="U216" i="1"/>
  <c r="U158" i="1"/>
  <c r="U180" i="1"/>
  <c r="U419" i="1"/>
  <c r="U546" i="1"/>
  <c r="U337" i="1"/>
  <c r="U635" i="1"/>
  <c r="U682" i="1"/>
  <c r="U28" i="1"/>
  <c r="U271" i="1"/>
  <c r="U277" i="1"/>
  <c r="U810" i="1"/>
  <c r="U329" i="1"/>
  <c r="U3" i="1"/>
  <c r="U288" i="1"/>
  <c r="U221" i="1"/>
  <c r="U295" i="1"/>
  <c r="U348" i="1"/>
  <c r="U428" i="1"/>
  <c r="U493" i="1"/>
  <c r="U609" i="1"/>
  <c r="U776" i="1"/>
  <c r="U406" i="1"/>
  <c r="U638" i="1"/>
  <c r="U42" i="1"/>
  <c r="U382" i="1"/>
  <c r="U475" i="1"/>
  <c r="U712" i="1"/>
  <c r="U748" i="1"/>
  <c r="U37" i="1"/>
  <c r="U63" i="1"/>
  <c r="U606" i="1"/>
  <c r="U815" i="1"/>
  <c r="U508" i="1"/>
  <c r="U753" i="1"/>
  <c r="U457" i="1"/>
  <c r="U497" i="1"/>
  <c r="U395" i="1"/>
  <c r="U234" i="1"/>
  <c r="U113" i="1"/>
  <c r="U275" i="1"/>
  <c r="U412" i="1"/>
  <c r="U442" i="1"/>
  <c r="U23" i="1"/>
  <c r="U255" i="1"/>
  <c r="U714" i="1"/>
  <c r="U445" i="1"/>
  <c r="U280" i="1"/>
  <c r="U192" i="1"/>
  <c r="U399" i="1"/>
  <c r="U416" i="1"/>
  <c r="U602" i="1"/>
  <c r="U223" i="1"/>
  <c r="U148" i="1"/>
  <c r="U595" i="1"/>
  <c r="U134" i="1"/>
  <c r="U132" i="1"/>
  <c r="U147" i="1"/>
  <c r="U105" i="1"/>
  <c r="U413" i="1"/>
  <c r="U695" i="1"/>
  <c r="U744" i="1"/>
  <c r="U208" i="1"/>
  <c r="U361" i="1"/>
  <c r="U88" i="1"/>
  <c r="U302" i="1"/>
  <c r="U171" i="1"/>
  <c r="U243" i="1"/>
  <c r="U343" i="1"/>
  <c r="U693" i="1"/>
  <c r="U768" i="1"/>
  <c r="U145" i="1"/>
  <c r="U404" i="1"/>
  <c r="U364" i="1"/>
  <c r="U226" i="1"/>
  <c r="U547" i="1"/>
  <c r="U379" i="1"/>
  <c r="U111" i="1"/>
  <c r="U100" i="1"/>
  <c r="U286" i="1"/>
  <c r="U154" i="1"/>
  <c r="U709" i="1"/>
  <c r="U194" i="1"/>
  <c r="U582" i="1"/>
  <c r="U96" i="1"/>
  <c r="U218" i="1"/>
  <c r="U381" i="1"/>
  <c r="U505" i="1"/>
  <c r="U167" i="1"/>
  <c r="U24" i="1"/>
  <c r="U178" i="1"/>
  <c r="U249" i="1"/>
  <c r="U683" i="1"/>
  <c r="U531" i="1"/>
  <c r="U130" i="1"/>
  <c r="U146" i="1"/>
  <c r="U62" i="1"/>
  <c r="U540" i="1"/>
  <c r="U46" i="1"/>
  <c r="U425" i="1"/>
  <c r="U339" i="1"/>
  <c r="U44" i="1"/>
  <c r="U697" i="1"/>
  <c r="U491" i="1"/>
  <c r="U565" i="1"/>
  <c r="U40" i="1"/>
  <c r="U219" i="1"/>
  <c r="U670" i="1"/>
  <c r="U71" i="1"/>
  <c r="U562" i="1"/>
  <c r="U629" i="1"/>
  <c r="U684" i="1"/>
  <c r="U435" i="1"/>
  <c r="U48" i="1"/>
  <c r="U32" i="1"/>
  <c r="U641" i="1"/>
  <c r="U322" i="1"/>
  <c r="U104" i="1"/>
  <c r="U733" i="1"/>
  <c r="U7" i="1"/>
  <c r="U328" i="1"/>
  <c r="U345" i="1"/>
  <c r="U751" i="1"/>
  <c r="U576" i="1"/>
  <c r="U468" i="1"/>
  <c r="U369" i="1"/>
  <c r="U784" i="1"/>
  <c r="U624" i="1"/>
  <c r="U118" i="1"/>
  <c r="U181" i="1"/>
  <c r="U312" i="1"/>
  <c r="U792" i="1"/>
  <c r="U438" i="1"/>
  <c r="U141" i="1"/>
  <c r="U318" i="1"/>
  <c r="U239" i="1"/>
  <c r="U291" i="1"/>
  <c r="U533" i="1"/>
  <c r="U68" i="1"/>
  <c r="U786" i="1"/>
  <c r="U440" i="1"/>
  <c r="U116" i="1"/>
  <c r="U679" i="1"/>
  <c r="U29" i="1"/>
  <c r="U207" i="1"/>
  <c r="U297" i="1"/>
  <c r="U710" i="1"/>
  <c r="U555" i="1"/>
  <c r="U173" i="1"/>
  <c r="U401" i="1"/>
  <c r="U61" i="1"/>
  <c r="U120" i="1"/>
  <c r="U123" i="1"/>
  <c r="U39" i="1"/>
  <c r="U131" i="1"/>
  <c r="U341" i="1"/>
  <c r="U537" i="1"/>
  <c r="U526" i="1"/>
  <c r="U690" i="1"/>
  <c r="U198" i="1"/>
  <c r="U762" i="1"/>
  <c r="U183" i="1"/>
  <c r="U392" i="1"/>
  <c r="U390" i="1"/>
  <c r="U664" i="1"/>
  <c r="U808" i="1"/>
  <c r="U698" i="1"/>
  <c r="U450" i="1"/>
  <c r="U569" i="1"/>
  <c r="U741" i="1"/>
  <c r="U489" i="1"/>
  <c r="U691" i="1"/>
  <c r="U769" i="1"/>
  <c r="U172" i="1"/>
  <c r="U647" i="1"/>
  <c r="U163" i="1"/>
  <c r="U430" i="1"/>
  <c r="U273" i="1"/>
  <c r="U370" i="1"/>
  <c r="U528" i="1"/>
  <c r="U335" i="1"/>
  <c r="U327" i="1"/>
  <c r="U598" i="1"/>
  <c r="U284" i="1"/>
  <c r="U305" i="1"/>
  <c r="U101" i="1"/>
  <c r="U637" i="1"/>
  <c r="U143" i="1"/>
  <c r="U771" i="1"/>
  <c r="U299" i="1"/>
  <c r="U300" i="1"/>
  <c r="U138" i="1"/>
  <c r="U77" i="1"/>
  <c r="U64" i="1"/>
  <c r="U500" i="1"/>
  <c r="U377" i="1"/>
  <c r="U752" i="1"/>
  <c r="U801" i="1"/>
  <c r="U261" i="1"/>
  <c r="U680" i="1"/>
  <c r="U122" i="1"/>
  <c r="U678" i="1"/>
  <c r="U245" i="1"/>
  <c r="U25" i="1"/>
  <c r="U53" i="1"/>
  <c r="U426" i="1"/>
  <c r="U140" i="1"/>
  <c r="U232" i="1"/>
  <c r="U227" i="1"/>
  <c r="U229" i="1"/>
  <c r="U156" i="1"/>
  <c r="U51" i="1"/>
  <c r="U185" i="1"/>
  <c r="U224" i="1"/>
  <c r="U149" i="1"/>
  <c r="U252" i="1"/>
  <c r="U137" i="1"/>
  <c r="U480" i="1"/>
  <c r="U550" i="1"/>
  <c r="U522" i="1"/>
  <c r="U258" i="1"/>
  <c r="U359" i="1"/>
  <c r="U99" i="1"/>
  <c r="U727" i="1"/>
  <c r="U692" i="1"/>
  <c r="U686" i="1"/>
  <c r="U196" i="1"/>
  <c r="U17" i="1"/>
  <c r="U665" i="1"/>
  <c r="U618" i="1"/>
  <c r="U507" i="1"/>
  <c r="U151" i="1"/>
  <c r="U33" i="1"/>
  <c r="U452" i="1"/>
  <c r="U648" i="1"/>
  <c r="U18" i="1"/>
  <c r="U52" i="1"/>
  <c r="U14" i="1"/>
  <c r="U184" i="1"/>
  <c r="U423" i="1"/>
  <c r="U129" i="1"/>
  <c r="U755" i="1"/>
  <c r="U126" i="1"/>
  <c r="U407" i="1"/>
  <c r="U210" i="1"/>
  <c r="U765" i="1"/>
  <c r="U313" i="1"/>
  <c r="U479" i="1"/>
  <c r="U235" i="1"/>
  <c r="U179" i="1"/>
  <c r="U360" i="1"/>
  <c r="U585" i="1"/>
  <c r="U355" i="1"/>
  <c r="U516" i="1"/>
  <c r="U269" i="1"/>
  <c r="U31" i="1"/>
  <c r="U588" i="1"/>
  <c r="U393" i="1"/>
  <c r="U643" i="1"/>
  <c r="U70" i="1"/>
  <c r="U633" i="1"/>
  <c r="U34" i="1"/>
  <c r="U409" i="1"/>
  <c r="U779" i="1"/>
  <c r="U634" i="1"/>
  <c r="U626" i="1"/>
  <c r="U544" i="1"/>
  <c r="U65" i="1"/>
  <c r="U535" i="1"/>
  <c r="U536" i="1"/>
  <c r="U57" i="1"/>
  <c r="U199" i="1"/>
  <c r="U411" i="1"/>
  <c r="U168" i="1"/>
  <c r="U201" i="1"/>
  <c r="U386" i="1"/>
  <c r="U675" i="1"/>
  <c r="U384" i="1"/>
  <c r="U663" i="1"/>
  <c r="U375" i="1"/>
  <c r="U673" i="1"/>
  <c r="U326" i="1"/>
  <c r="U650" i="1"/>
  <c r="U807" i="1"/>
  <c r="U124" i="1"/>
  <c r="U176" i="1"/>
  <c r="F403" i="3"/>
  <c r="F401" i="3"/>
  <c r="F391" i="3"/>
  <c r="F390" i="3"/>
  <c r="F383" i="3"/>
  <c r="F370" i="3"/>
  <c r="F367" i="3"/>
  <c r="F366" i="3"/>
  <c r="F353" i="3"/>
  <c r="F340" i="3"/>
  <c r="F335" i="3"/>
  <c r="F331" i="3"/>
  <c r="F324" i="3"/>
  <c r="F293" i="3"/>
  <c r="F271" i="3"/>
  <c r="F270" i="3"/>
  <c r="F264" i="3"/>
  <c r="F262" i="3"/>
  <c r="F248" i="3"/>
  <c r="F238" i="3"/>
  <c r="F220" i="3"/>
  <c r="F198" i="3"/>
  <c r="F187" i="3"/>
  <c r="F115" i="3"/>
  <c r="F112" i="3"/>
  <c r="F98" i="3"/>
  <c r="F80" i="3"/>
  <c r="F60" i="3"/>
  <c r="F59" i="3"/>
  <c r="F41" i="3"/>
  <c r="F32" i="3"/>
  <c r="F29" i="3"/>
  <c r="F10" i="3"/>
  <c r="F6" i="3"/>
  <c r="F3" i="3"/>
  <c r="F405" i="3"/>
  <c r="F4" i="3"/>
  <c r="F5" i="3"/>
  <c r="F7" i="3"/>
  <c r="F8" i="3"/>
  <c r="F9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30" i="3"/>
  <c r="F31" i="3"/>
  <c r="F33" i="3"/>
  <c r="F34" i="3"/>
  <c r="F35" i="3"/>
  <c r="F36" i="3"/>
  <c r="F37" i="3"/>
  <c r="F38" i="3"/>
  <c r="F39" i="3"/>
  <c r="F40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3" i="3"/>
  <c r="F114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8" i="3"/>
  <c r="F189" i="3"/>
  <c r="F190" i="3"/>
  <c r="F191" i="3"/>
  <c r="F192" i="3"/>
  <c r="F193" i="3"/>
  <c r="F194" i="3"/>
  <c r="F195" i="3"/>
  <c r="F196" i="3"/>
  <c r="F197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9" i="3"/>
  <c r="F240" i="3"/>
  <c r="F241" i="3"/>
  <c r="F242" i="3"/>
  <c r="F243" i="3"/>
  <c r="F244" i="3"/>
  <c r="F245" i="3"/>
  <c r="F246" i="3"/>
  <c r="F247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3" i="3"/>
  <c r="F265" i="3"/>
  <c r="F266" i="3"/>
  <c r="F267" i="3"/>
  <c r="F268" i="3"/>
  <c r="F269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4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5" i="3"/>
  <c r="F326" i="3"/>
  <c r="F327" i="3"/>
  <c r="F328" i="3"/>
  <c r="F329" i="3"/>
  <c r="F330" i="3"/>
  <c r="F332" i="3"/>
  <c r="F333" i="3"/>
  <c r="F334" i="3"/>
  <c r="F336" i="3"/>
  <c r="F337" i="3"/>
  <c r="F338" i="3"/>
  <c r="F339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8" i="3"/>
  <c r="F369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4" i="3"/>
  <c r="F385" i="3"/>
  <c r="F386" i="3"/>
  <c r="F387" i="3"/>
  <c r="F388" i="3"/>
  <c r="F389" i="3"/>
  <c r="F392" i="3"/>
  <c r="F393" i="3"/>
  <c r="F394" i="3"/>
  <c r="F395" i="3"/>
  <c r="F396" i="3"/>
  <c r="F397" i="3"/>
  <c r="F398" i="3"/>
  <c r="F399" i="3"/>
  <c r="F400" i="3"/>
  <c r="F402" i="3"/>
  <c r="F404" i="3"/>
  <c r="F2" i="3"/>
  <c r="L548" i="1"/>
  <c r="L364" i="1"/>
  <c r="L386" i="1"/>
  <c r="L747" i="1"/>
  <c r="L385" i="1"/>
  <c r="L422" i="1"/>
  <c r="L421" i="1"/>
  <c r="L397" i="1"/>
  <c r="L663" i="1"/>
  <c r="L664" i="1"/>
  <c r="L691" i="1"/>
  <c r="L539" i="1"/>
  <c r="L538" i="1"/>
  <c r="L57" i="1"/>
  <c r="L278" i="1"/>
  <c r="L433" i="1"/>
  <c r="L375" i="1"/>
  <c r="L447" i="1"/>
  <c r="L805" i="1"/>
  <c r="L727" i="1"/>
  <c r="L745" i="1"/>
  <c r="L696" i="1"/>
  <c r="L814" i="1"/>
  <c r="L743" i="1"/>
  <c r="L655" i="1"/>
  <c r="L744" i="1"/>
  <c r="L695" i="1"/>
  <c r="L748" i="1"/>
  <c r="L742" i="1"/>
  <c r="L749" i="1"/>
  <c r="L73" i="1"/>
  <c r="L471" i="1"/>
  <c r="L472" i="1"/>
  <c r="L611" i="1"/>
  <c r="L412" i="1"/>
  <c r="L762" i="1"/>
  <c r="L800" i="1"/>
  <c r="L236" i="1"/>
  <c r="L237" i="1"/>
  <c r="L526" i="1"/>
  <c r="L527" i="1"/>
  <c r="L245" i="1"/>
  <c r="L462" i="1"/>
  <c r="L463" i="1"/>
  <c r="L244" i="1"/>
  <c r="L127" i="1"/>
  <c r="L180" i="1"/>
  <c r="L128" i="1"/>
  <c r="L482" i="1"/>
  <c r="L509" i="1"/>
  <c r="L508" i="1"/>
  <c r="L164" i="1"/>
  <c r="L450" i="1"/>
  <c r="L205" i="1"/>
  <c r="L204" i="1"/>
  <c r="L203" i="1"/>
  <c r="L85" i="1"/>
  <c r="L765" i="1"/>
  <c r="L766" i="1"/>
  <c r="L767" i="1"/>
  <c r="L13" i="1"/>
  <c r="L71" i="1"/>
  <c r="L485" i="1"/>
  <c r="L486" i="1"/>
  <c r="L483" i="1"/>
  <c r="L484" i="1"/>
  <c r="L537" i="1"/>
  <c r="L256" i="1"/>
  <c r="L243" i="1"/>
  <c r="L242" i="1"/>
  <c r="L241" i="1"/>
  <c r="L751" i="1"/>
  <c r="L728" i="1"/>
  <c r="L286" i="1"/>
  <c r="L271" i="1"/>
  <c r="L788" i="1"/>
  <c r="L768" i="1"/>
  <c r="L740" i="1"/>
  <c r="L739" i="1"/>
  <c r="L69" i="1"/>
  <c r="L338" i="1"/>
  <c r="L173" i="1"/>
  <c r="L174" i="1"/>
  <c r="L578" i="1"/>
  <c r="L645" i="1"/>
  <c r="L646" i="1"/>
  <c r="L644" i="1"/>
  <c r="L709" i="1"/>
  <c r="L44" i="1"/>
  <c r="L148" i="1"/>
  <c r="L403" i="1"/>
  <c r="L404" i="1"/>
  <c r="L425" i="1"/>
  <c r="L600" i="1"/>
  <c r="L90" i="1"/>
  <c r="L713" i="1"/>
  <c r="L28" i="1"/>
  <c r="L289" i="1"/>
  <c r="L288" i="1"/>
  <c r="L732" i="1"/>
  <c r="L731" i="1"/>
  <c r="L560" i="1"/>
  <c r="L550" i="1"/>
  <c r="L430" i="1"/>
  <c r="L431" i="1"/>
  <c r="L809" i="1"/>
  <c r="L126" i="1"/>
  <c r="L125" i="1"/>
  <c r="L784" i="1"/>
  <c r="L388" i="1"/>
  <c r="L785" i="1"/>
  <c r="L389" i="1"/>
  <c r="L772" i="1"/>
  <c r="L283" i="1"/>
  <c r="L253" i="1"/>
  <c r="L343" i="1"/>
  <c r="L344" i="1"/>
  <c r="L376" i="1"/>
  <c r="L377" i="1"/>
  <c r="L562" i="1"/>
  <c r="L563" i="1"/>
  <c r="L277" i="1"/>
  <c r="L350" i="1"/>
  <c r="L349" i="1"/>
  <c r="L305" i="1"/>
  <c r="L304" i="1"/>
  <c r="L160" i="1"/>
  <c r="L159" i="1"/>
  <c r="L124" i="1"/>
  <c r="L632" i="1"/>
  <c r="L588" i="1"/>
  <c r="L587" i="1"/>
  <c r="L591" i="1"/>
  <c r="L593" i="1"/>
  <c r="L592" i="1"/>
  <c r="L594" i="1"/>
  <c r="L590" i="1"/>
  <c r="L589" i="1"/>
  <c r="L390" i="1"/>
  <c r="L53" i="1"/>
  <c r="L77" i="1"/>
  <c r="L47" i="1"/>
  <c r="L29" i="1"/>
  <c r="L41" i="1"/>
  <c r="L104" i="1"/>
  <c r="L102" i="1"/>
  <c r="L81" i="1"/>
  <c r="L79" i="1"/>
  <c r="L216" i="1"/>
  <c r="L812" i="1"/>
  <c r="L517" i="1"/>
  <c r="L518" i="1"/>
  <c r="L66" i="1"/>
  <c r="L55" i="1"/>
  <c r="L107" i="1"/>
  <c r="L106" i="1"/>
  <c r="L442" i="1"/>
  <c r="L449" i="1"/>
  <c r="L448" i="1"/>
  <c r="L361" i="1"/>
  <c r="L470" i="1"/>
  <c r="L120" i="1"/>
  <c r="L624" i="1"/>
  <c r="L625" i="1"/>
  <c r="L700" i="1"/>
  <c r="L699" i="1"/>
  <c r="L531" i="1"/>
  <c r="L532" i="1"/>
  <c r="L346" i="1"/>
  <c r="L33" i="1"/>
  <c r="L161" i="1"/>
  <c r="L78" i="1"/>
  <c r="L693" i="1"/>
  <c r="L183" i="1"/>
  <c r="L359" i="1"/>
  <c r="L686" i="1"/>
  <c r="L687" i="1"/>
  <c r="L213" i="1"/>
  <c r="L214" i="1"/>
  <c r="L212" i="1"/>
  <c r="L541" i="1"/>
  <c r="L163" i="1"/>
  <c r="L162" i="1"/>
  <c r="L387" i="1"/>
  <c r="L324" i="1"/>
  <c r="L325" i="1"/>
  <c r="L360" i="1"/>
  <c r="L366" i="1"/>
  <c r="L428" i="1"/>
  <c r="L429" i="1"/>
  <c r="L367" i="1"/>
  <c r="L409" i="1"/>
  <c r="L408" i="1"/>
  <c r="L147" i="1"/>
  <c r="L815" i="1"/>
  <c r="L564" i="1"/>
  <c r="L764" i="1"/>
  <c r="L763" i="1"/>
  <c r="L451" i="1"/>
  <c r="L452" i="1"/>
  <c r="L549" i="1"/>
  <c r="L267" i="1"/>
  <c r="L221" i="1"/>
  <c r="L268" i="1"/>
  <c r="L64" i="1"/>
  <c r="L199" i="1"/>
  <c r="L793" i="1"/>
  <c r="L792" i="1"/>
  <c r="L200" i="1"/>
  <c r="L515" i="1"/>
  <c r="L738" i="1"/>
  <c r="L737" i="1"/>
  <c r="L263" i="1"/>
  <c r="L184" i="1"/>
  <c r="L351" i="1"/>
  <c r="L405" i="1"/>
  <c r="L119" i="1"/>
  <c r="L312" i="1"/>
  <c r="L118" i="1"/>
  <c r="L117" i="1"/>
  <c r="L702" i="1"/>
  <c r="L269" i="1"/>
  <c r="L270" i="1"/>
  <c r="L672" i="1"/>
  <c r="L285" i="1"/>
  <c r="L287" i="1"/>
  <c r="L683" i="1"/>
  <c r="L300" i="1"/>
  <c r="L301" i="1"/>
  <c r="L396" i="1"/>
  <c r="L736" i="1"/>
  <c r="L733" i="1"/>
  <c r="L395" i="1"/>
  <c r="L496" i="1"/>
  <c r="L735" i="1"/>
  <c r="L579" i="1"/>
  <c r="L156" i="1"/>
  <c r="L194" i="1"/>
  <c r="L193" i="1"/>
  <c r="L195" i="1"/>
  <c r="L446" i="1"/>
  <c r="L196" i="1"/>
  <c r="L339" i="1"/>
  <c r="L631" i="1"/>
  <c r="L701" i="1"/>
  <c r="L97" i="1"/>
  <c r="L401" i="1"/>
  <c r="L400" i="1"/>
  <c r="L552" i="1"/>
  <c r="L553" i="1"/>
  <c r="L607" i="1"/>
  <c r="L606" i="1"/>
  <c r="L608" i="1"/>
  <c r="L264" i="1"/>
  <c r="L698" i="1"/>
  <c r="L136" i="1"/>
  <c r="L461" i="1"/>
  <c r="L678" i="1"/>
  <c r="L627" i="1"/>
  <c r="L628" i="1"/>
  <c r="L782" i="1"/>
  <c r="L438" i="1"/>
  <c r="L437" i="1"/>
  <c r="L533" i="1"/>
  <c r="L773" i="1"/>
  <c r="L487" i="1"/>
  <c r="L284" i="1"/>
  <c r="L488" i="1"/>
  <c r="L568" i="1"/>
  <c r="L504" i="1"/>
  <c r="L503" i="1"/>
  <c r="L502" i="1"/>
  <c r="L123" i="1"/>
  <c r="L146" i="1"/>
  <c r="L145" i="1"/>
  <c r="L335" i="1"/>
  <c r="L336" i="1"/>
  <c r="L262" i="1"/>
  <c r="L680" i="1"/>
  <c r="L681" i="1"/>
  <c r="L807" i="1"/>
  <c r="L393" i="1"/>
  <c r="L474" i="1"/>
  <c r="L795" i="1"/>
  <c r="L444" i="1"/>
  <c r="L303" i="1"/>
  <c r="L302" i="1"/>
  <c r="L445" i="1"/>
  <c r="L475" i="1"/>
  <c r="L615" i="1"/>
  <c r="L551" i="1"/>
  <c r="L93" i="1"/>
  <c r="L794" i="1"/>
  <c r="L414" i="1"/>
  <c r="L571" i="1"/>
  <c r="L570" i="1"/>
  <c r="L650" i="1"/>
  <c r="L651" i="1"/>
  <c r="L436" i="1"/>
  <c r="L759" i="1"/>
  <c r="L519" i="1"/>
  <c r="L427" i="1"/>
  <c r="L613" i="1"/>
  <c r="L432" i="1"/>
  <c r="L291" i="1"/>
  <c r="L576" i="1"/>
  <c r="L577" i="1"/>
  <c r="L489" i="1"/>
  <c r="L490" i="1"/>
  <c r="L605" i="1"/>
  <c r="L604" i="1"/>
  <c r="L365" i="1"/>
  <c r="L87" i="1"/>
  <c r="L92" i="1"/>
  <c r="L246" i="1"/>
  <c r="L355" i="1"/>
  <c r="L554" i="1"/>
  <c r="L354" i="1"/>
  <c r="L191" i="1"/>
  <c r="L182" i="1"/>
  <c r="L172" i="1"/>
  <c r="L435" i="1"/>
  <c r="L434" i="1"/>
  <c r="L458" i="1"/>
  <c r="L456" i="1"/>
  <c r="L457" i="1"/>
  <c r="L190" i="1"/>
  <c r="L750" i="1"/>
  <c r="L187" i="1"/>
  <c r="L189" i="1"/>
  <c r="L633" i="1"/>
  <c r="L704" i="1"/>
  <c r="L143" i="1"/>
  <c r="L273" i="1"/>
  <c r="L61" i="1"/>
  <c r="L144" i="1"/>
  <c r="L142" i="1"/>
  <c r="L272" i="1"/>
  <c r="L141" i="1"/>
  <c r="L249" i="1"/>
  <c r="L248" i="1"/>
  <c r="L250" i="1"/>
  <c r="L227" i="1"/>
  <c r="L228" i="1"/>
  <c r="L670" i="1"/>
  <c r="L340" i="1"/>
  <c r="L341" i="1"/>
  <c r="L652" i="1"/>
  <c r="L153" i="1"/>
  <c r="L152" i="1"/>
  <c r="L154" i="1"/>
  <c r="L155" i="1"/>
  <c r="L741" i="1"/>
  <c r="L626" i="1"/>
  <c r="L778" i="1"/>
  <c r="L690" i="1"/>
  <c r="L171" i="1"/>
  <c r="L170" i="1"/>
  <c r="L647" i="1"/>
  <c r="L597" i="1"/>
  <c r="L595" i="1"/>
  <c r="L596" i="1"/>
  <c r="L382" i="1"/>
  <c r="L544" i="1"/>
  <c r="L545" i="1"/>
  <c r="L392" i="1"/>
  <c r="L391" i="1"/>
  <c r="L329" i="1"/>
  <c r="L479" i="1"/>
  <c r="L31" i="1"/>
  <c r="L259" i="1"/>
  <c r="L726" i="1"/>
  <c r="L614" i="1"/>
  <c r="L274" i="1"/>
  <c r="L295" i="1"/>
  <c r="L40" i="1"/>
  <c r="L67" i="1"/>
  <c r="L80" i="1"/>
  <c r="L178" i="1"/>
  <c r="L177" i="1"/>
  <c r="L677" i="1"/>
  <c r="L95" i="1"/>
  <c r="L129" i="1"/>
  <c r="L556" i="1"/>
  <c r="L555" i="1"/>
  <c r="L658" i="1"/>
  <c r="L348" i="1"/>
  <c r="L473" i="1"/>
  <c r="L347" i="1"/>
  <c r="L24" i="1"/>
  <c r="L23" i="1"/>
  <c r="L74" i="1"/>
  <c r="L629" i="1"/>
  <c r="L630" i="1"/>
  <c r="L372" i="1"/>
  <c r="L640" i="1"/>
  <c r="L306" i="1"/>
  <c r="L641" i="1"/>
  <c r="L373" i="1"/>
  <c r="L374" i="1"/>
  <c r="L569" i="1"/>
  <c r="L660" i="1"/>
  <c r="L659" i="1"/>
  <c r="L420" i="1"/>
  <c r="L419" i="1"/>
  <c r="L418" i="1"/>
  <c r="L665" i="1"/>
  <c r="L666" i="1"/>
  <c r="L808" i="1"/>
  <c r="L514" i="1"/>
  <c r="L282" i="1"/>
  <c r="L692" i="1"/>
  <c r="L724" i="1"/>
  <c r="L281" i="1"/>
  <c r="L725" i="1"/>
  <c r="L734" i="1"/>
  <c r="L326" i="1"/>
  <c r="L441" i="1"/>
  <c r="L208" i="1"/>
  <c r="L14" i="1"/>
  <c r="L755" i="1"/>
  <c r="L756" i="1"/>
  <c r="L777" i="1"/>
  <c r="L776" i="1"/>
  <c r="L17" i="1"/>
  <c r="L45" i="1"/>
  <c r="L636" i="1"/>
  <c r="L635" i="1"/>
  <c r="L18" i="1"/>
  <c r="L717" i="1"/>
  <c r="L716" i="1"/>
  <c r="L255" i="1"/>
  <c r="L254" i="1"/>
  <c r="L617" i="1"/>
  <c r="L616" i="1"/>
  <c r="L610" i="1"/>
  <c r="L39" i="1"/>
  <c r="L528" i="1"/>
  <c r="L529" i="1"/>
  <c r="L609" i="1"/>
  <c r="L333" i="1"/>
  <c r="L679" i="1"/>
  <c r="L239" i="1"/>
  <c r="L70" i="1"/>
  <c r="L19" i="1"/>
  <c r="L7" i="1"/>
  <c r="L634" i="1"/>
  <c r="L105" i="1"/>
  <c r="L224" i="1"/>
  <c r="L206" i="1"/>
  <c r="L207" i="1"/>
  <c r="L811" i="1"/>
  <c r="L810" i="1"/>
  <c r="L455" i="1"/>
  <c r="L454" i="1"/>
  <c r="L558" i="1"/>
  <c r="L132" i="1"/>
  <c r="L559" i="1"/>
  <c r="L557" i="1"/>
  <c r="L133" i="1"/>
  <c r="L786" i="1"/>
  <c r="L787" i="1"/>
  <c r="L198" i="1"/>
  <c r="L711" i="1"/>
  <c r="L710" i="1"/>
  <c r="L149" i="1"/>
  <c r="L83" i="1"/>
  <c r="L63" i="1"/>
  <c r="L252" i="1"/>
  <c r="L723" i="1"/>
  <c r="L796" i="1"/>
  <c r="L251" i="1"/>
  <c r="L581" i="1"/>
  <c r="L602" i="1"/>
  <c r="L192" i="1"/>
  <c r="L406" i="1"/>
  <c r="L722" i="1"/>
  <c r="L789" i="1"/>
  <c r="L783" i="1"/>
  <c r="L166" i="1"/>
  <c r="L165" i="1"/>
  <c r="L34" i="1"/>
  <c r="L76" i="1"/>
  <c r="L11" i="1"/>
  <c r="L384" i="1"/>
  <c r="L235" i="1"/>
  <c r="L383" i="1"/>
  <c r="L478" i="1"/>
  <c r="L317" i="1"/>
  <c r="L318" i="1"/>
  <c r="L32" i="1"/>
  <c r="L60" i="1"/>
  <c r="L261" i="1"/>
  <c r="L260" i="1"/>
  <c r="L516" i="1"/>
  <c r="L52" i="1"/>
  <c r="L708" i="1"/>
  <c r="L426" i="1"/>
  <c r="L565" i="1"/>
  <c r="L15" i="1"/>
  <c r="L35" i="1"/>
  <c r="L110" i="1"/>
  <c r="L238" i="1"/>
  <c r="L151" i="1"/>
  <c r="L158" i="1"/>
  <c r="L150" i="1"/>
  <c r="L157" i="1"/>
  <c r="L3" i="1"/>
  <c r="L546" i="1"/>
  <c r="L411" i="1"/>
  <c r="L410" i="1"/>
  <c r="L540" i="1"/>
  <c r="L20" i="1"/>
  <c r="L75" i="1"/>
  <c r="L37" i="1"/>
  <c r="L6" i="1"/>
  <c r="L585" i="1"/>
  <c r="L586" i="1"/>
  <c r="L99" i="1"/>
  <c r="L582" i="1"/>
  <c r="L584" i="1"/>
  <c r="L197" i="1"/>
  <c r="L299" i="1"/>
  <c r="L298" i="1"/>
  <c r="L320" i="1"/>
  <c r="L775" i="1"/>
  <c r="L345" i="1"/>
  <c r="L774" i="1"/>
  <c r="L498" i="1"/>
  <c r="L656" i="1"/>
  <c r="L497" i="1"/>
  <c r="L265" i="1"/>
  <c r="L266" i="1"/>
  <c r="L12" i="1"/>
  <c r="L96" i="1"/>
  <c r="L791" i="1"/>
  <c r="L790" i="1"/>
  <c r="L623" i="1"/>
  <c r="L622" i="1"/>
  <c r="L453" i="1"/>
  <c r="L297" i="1"/>
  <c r="L296" i="1"/>
  <c r="L612" i="1"/>
  <c r="L542" i="1"/>
  <c r="L279" i="1"/>
  <c r="L443" i="1"/>
  <c r="L280" i="1"/>
  <c r="L103" i="1"/>
  <c r="L779" i="1"/>
  <c r="L780" i="1"/>
  <c r="L781" i="1"/>
  <c r="L167" i="1"/>
  <c r="L648" i="1"/>
  <c r="L649" i="1"/>
  <c r="L116" i="1"/>
  <c r="L115" i="1"/>
  <c r="L307" i="1"/>
  <c r="L308" i="1"/>
  <c r="L682" i="1"/>
  <c r="L51" i="1"/>
  <c r="L309" i="1"/>
  <c r="L310" i="1"/>
  <c r="L38" i="1"/>
  <c r="L770" i="1"/>
  <c r="L322" i="1"/>
  <c r="L323" i="1"/>
  <c r="L321" i="1"/>
  <c r="L108" i="1"/>
  <c r="L109" i="1"/>
  <c r="L176" i="1"/>
  <c r="L667" i="1"/>
  <c r="L668" i="1"/>
  <c r="L688" i="1"/>
  <c r="L689" i="1"/>
  <c r="L561" i="1"/>
  <c r="L175" i="1"/>
  <c r="L513" i="1"/>
  <c r="L512" i="1"/>
  <c r="L218" i="1"/>
  <c r="L185" i="1"/>
  <c r="L718" i="1"/>
  <c r="L328" i="1"/>
  <c r="L186" i="1"/>
  <c r="L371" i="1"/>
  <c r="L417" i="1"/>
  <c r="L771" i="1"/>
  <c r="L440" i="1"/>
  <c r="L439" i="1"/>
  <c r="L48" i="1"/>
  <c r="L137" i="1"/>
  <c r="L138" i="1"/>
  <c r="L674" i="1"/>
  <c r="L653" i="1"/>
  <c r="L240" i="1"/>
  <c r="L50" i="1"/>
  <c r="L416" i="1"/>
  <c r="L415" i="1"/>
  <c r="L22" i="1"/>
  <c r="L460" i="1"/>
  <c r="L459" i="1"/>
  <c r="L643" i="1"/>
  <c r="L234" i="1"/>
  <c r="L233" i="1"/>
  <c r="L327" i="1"/>
  <c r="L111" i="1"/>
  <c r="L113" i="1"/>
  <c r="L112" i="1"/>
  <c r="L89" i="1"/>
  <c r="L229" i="1"/>
  <c r="L801" i="1"/>
  <c r="L230" i="1"/>
  <c r="L802" i="1"/>
  <c r="L813" i="1"/>
  <c r="L275" i="1"/>
  <c r="L423" i="1"/>
  <c r="L618" i="1"/>
  <c r="L424" i="1"/>
  <c r="L169" i="1"/>
  <c r="L168" i="1"/>
  <c r="L757" i="1"/>
  <c r="L746" i="1"/>
  <c r="L758" i="1"/>
  <c r="L720" i="1"/>
  <c r="L721" i="1"/>
  <c r="L719" i="1"/>
  <c r="L65" i="1"/>
  <c r="L495" i="1"/>
  <c r="L311" i="1"/>
  <c r="L10" i="1"/>
  <c r="L407" i="1"/>
  <c r="L2" i="1"/>
  <c r="L330" i="1"/>
  <c r="L121" i="1"/>
  <c r="L258" i="1"/>
  <c r="L140" i="1"/>
  <c r="L25" i="1"/>
  <c r="L122" i="1"/>
  <c r="L378" i="1"/>
  <c r="L5" i="1"/>
  <c r="L466" i="1"/>
  <c r="L637" i="1"/>
  <c r="L467" i="1"/>
  <c r="L319" i="1"/>
  <c r="L380" i="1"/>
  <c r="L534" i="1"/>
  <c r="L705" i="1"/>
  <c r="L694" i="1"/>
  <c r="L657" i="1"/>
  <c r="L139" i="1"/>
  <c r="L94" i="1"/>
  <c r="L215" i="1"/>
  <c r="L4" i="1"/>
  <c r="L398" i="1"/>
  <c r="L603" i="1"/>
  <c r="L130" i="1"/>
  <c r="L30" i="1"/>
  <c r="L381" i="1"/>
  <c r="L49" i="1"/>
  <c r="L379" i="1"/>
  <c r="L402" i="1"/>
  <c r="L84" i="1"/>
  <c r="L334" i="1"/>
  <c r="L399" i="1"/>
  <c r="L806" i="1"/>
  <c r="L276" i="1"/>
  <c r="L493" i="1"/>
  <c r="L803" i="1"/>
  <c r="L91" i="1"/>
  <c r="L9" i="1"/>
  <c r="L465" i="1"/>
  <c r="L54" i="1"/>
  <c r="L257" i="1"/>
  <c r="L530" i="1"/>
  <c r="L494" i="1"/>
  <c r="L56" i="1"/>
  <c r="L583" i="1"/>
  <c r="L98" i="1"/>
  <c r="L36" i="1"/>
  <c r="L523" i="1"/>
  <c r="L522" i="1"/>
  <c r="L703" i="1"/>
  <c r="L769" i="1"/>
  <c r="L131" i="1"/>
  <c r="L315" i="1"/>
  <c r="L712" i="1"/>
  <c r="L316" i="1"/>
  <c r="L684" i="1"/>
  <c r="L685" i="1"/>
  <c r="L27" i="1"/>
  <c r="L16" i="1"/>
  <c r="L464" i="1"/>
  <c r="L480" i="1"/>
  <c r="L68" i="1"/>
  <c r="L574" i="1"/>
  <c r="L8" i="1"/>
  <c r="L59" i="1"/>
  <c r="L114" i="1"/>
  <c r="L21" i="1"/>
  <c r="L481" i="1"/>
  <c r="L671" i="1"/>
  <c r="L331" i="1"/>
  <c r="L332" i="1"/>
  <c r="L217" i="1"/>
  <c r="L26" i="1"/>
  <c r="L42" i="1"/>
  <c r="L499" i="1"/>
  <c r="L476" i="1"/>
  <c r="L598" i="1"/>
  <c r="L599" i="1"/>
  <c r="L697" i="1"/>
  <c r="L543" i="1"/>
  <c r="L210" i="1"/>
  <c r="L209" i="1"/>
  <c r="L211" i="1"/>
  <c r="L715" i="1"/>
  <c r="L621" i="1"/>
  <c r="L620" i="1"/>
  <c r="L714" i="1"/>
  <c r="L619" i="1"/>
  <c r="L729" i="1"/>
  <c r="L394" i="1"/>
  <c r="L507" i="1"/>
  <c r="L798" i="1"/>
  <c r="L799" i="1"/>
  <c r="L797" i="1"/>
  <c r="L535" i="1"/>
  <c r="L342" i="1"/>
  <c r="L362" i="1"/>
  <c r="L363" i="1"/>
  <c r="L358" i="1"/>
  <c r="L357" i="1"/>
  <c r="L356" i="1"/>
  <c r="L511" i="1"/>
  <c r="L510" i="1"/>
  <c r="L222" i="1"/>
  <c r="L754" i="1"/>
  <c r="L223" i="1"/>
  <c r="L753" i="1"/>
  <c r="L179" i="1"/>
  <c r="L294" i="1"/>
  <c r="L292" i="1"/>
  <c r="L760" i="1"/>
  <c r="L761" i="1"/>
  <c r="L804" i="1"/>
  <c r="L293" i="1"/>
  <c r="L353" i="1"/>
  <c r="L707" i="1"/>
  <c r="L352" i="1"/>
  <c r="L706" i="1"/>
  <c r="L337" i="1"/>
  <c r="L639" i="1"/>
  <c r="L638" i="1"/>
  <c r="L752" i="1"/>
  <c r="L572" i="1"/>
  <c r="L101" i="1"/>
  <c r="L46" i="1"/>
  <c r="L62" i="1"/>
  <c r="L88" i="1"/>
  <c r="L573" i="1"/>
  <c r="L669" i="1"/>
  <c r="L506" i="1"/>
  <c r="L290" i="1"/>
  <c r="L654" i="1"/>
  <c r="L86" i="1"/>
  <c r="L82" i="1"/>
  <c r="L247" i="1"/>
  <c r="L220" i="1"/>
  <c r="L219" i="1"/>
  <c r="L580" i="1"/>
  <c r="L536" i="1"/>
  <c r="L730" i="1"/>
  <c r="L43" i="1"/>
  <c r="L232" i="1"/>
  <c r="L231" i="1"/>
  <c r="L188" i="1"/>
  <c r="L601" i="1"/>
  <c r="L567" i="1"/>
  <c r="L181" i="1"/>
  <c r="L566" i="1"/>
  <c r="L201" i="1"/>
  <c r="L469" i="1"/>
  <c r="L202" i="1"/>
  <c r="L468" i="1"/>
  <c r="L500" i="1"/>
  <c r="L491" i="1"/>
  <c r="L501" i="1"/>
  <c r="L492" i="1"/>
  <c r="L226" i="1"/>
  <c r="L225" i="1"/>
  <c r="L505" i="1"/>
  <c r="L100" i="1"/>
  <c r="L134" i="1"/>
  <c r="L135" i="1"/>
  <c r="L662" i="1"/>
  <c r="L661" i="1"/>
  <c r="L521" i="1"/>
  <c r="L520" i="1"/>
  <c r="L58" i="1"/>
  <c r="L72" i="1"/>
  <c r="L413" i="1"/>
  <c r="L368" i="1"/>
  <c r="L369" i="1"/>
  <c r="L313" i="1"/>
  <c r="L314" i="1"/>
  <c r="L575" i="1"/>
  <c r="L642" i="1"/>
  <c r="L370" i="1"/>
  <c r="L525" i="1"/>
  <c r="L524" i="1"/>
  <c r="L673" i="1"/>
  <c r="L675" i="1"/>
  <c r="L676" i="1"/>
  <c r="L477" i="1"/>
  <c r="L547" i="1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270" i="4"/>
  <c r="Q650" i="5"/>
  <c r="P650" i="5"/>
  <c r="Q600" i="5"/>
  <c r="P600" i="5"/>
  <c r="Q536" i="5"/>
  <c r="P536" i="5"/>
  <c r="Q869" i="5"/>
  <c r="P869" i="5"/>
  <c r="Q830" i="5"/>
  <c r="P830" i="5"/>
  <c r="Q829" i="5"/>
  <c r="P829" i="5"/>
  <c r="Q614" i="5"/>
  <c r="P614" i="5"/>
  <c r="Q387" i="5"/>
  <c r="P387" i="5"/>
  <c r="Q816" i="5"/>
  <c r="P816" i="5"/>
  <c r="Q787" i="5"/>
  <c r="P787" i="5"/>
  <c r="Q739" i="5"/>
  <c r="P739" i="5"/>
  <c r="Q690" i="5"/>
  <c r="P690" i="5"/>
  <c r="Q425" i="5"/>
  <c r="P425" i="5"/>
  <c r="Q305" i="5"/>
  <c r="P305" i="5"/>
  <c r="Q380" i="5"/>
  <c r="P380" i="5"/>
  <c r="Q827" i="5"/>
  <c r="P827" i="5"/>
  <c r="Q609" i="5"/>
  <c r="P609" i="5"/>
  <c r="Q543" i="5"/>
  <c r="P543" i="5"/>
  <c r="Q456" i="5"/>
  <c r="P456" i="5"/>
  <c r="Q31" i="5"/>
  <c r="P31" i="5"/>
  <c r="Q612" i="5"/>
  <c r="P612" i="5"/>
  <c r="Q814" i="5"/>
  <c r="P814" i="5"/>
  <c r="Q262" i="5"/>
  <c r="P262" i="5"/>
  <c r="Q123" i="5"/>
  <c r="P123" i="5"/>
  <c r="Q11" i="5"/>
  <c r="P11" i="5"/>
  <c r="Q578" i="5"/>
  <c r="P578" i="5"/>
  <c r="Q200" i="5"/>
  <c r="P200" i="5"/>
  <c r="Q566" i="5"/>
  <c r="P566" i="5"/>
  <c r="Q555" i="5"/>
  <c r="P555" i="5"/>
  <c r="Q517" i="5"/>
  <c r="P517" i="5"/>
  <c r="Q179" i="5"/>
  <c r="P179" i="5"/>
  <c r="Q726" i="5"/>
  <c r="P726" i="5"/>
  <c r="Q670" i="5"/>
  <c r="P670" i="5"/>
  <c r="Q160" i="5"/>
  <c r="P160" i="5"/>
  <c r="Q917" i="5"/>
  <c r="P917" i="5"/>
  <c r="Q250" i="5"/>
  <c r="P250" i="5"/>
  <c r="Q168" i="5"/>
  <c r="P168" i="5"/>
  <c r="Q167" i="5"/>
  <c r="P167" i="5"/>
  <c r="Q204" i="5"/>
  <c r="P204" i="5"/>
  <c r="Q125" i="5"/>
  <c r="P125" i="5"/>
  <c r="Q87" i="5"/>
  <c r="P87" i="5"/>
  <c r="Q898" i="5"/>
  <c r="P898" i="5"/>
  <c r="Q808" i="5"/>
  <c r="P808" i="5"/>
  <c r="Q759" i="5"/>
  <c r="P759" i="5"/>
  <c r="Q697" i="5"/>
  <c r="P697" i="5"/>
  <c r="Q635" i="5"/>
  <c r="P635" i="5"/>
  <c r="Q193" i="5"/>
  <c r="P193" i="5"/>
  <c r="Q938" i="5"/>
  <c r="P938" i="5"/>
  <c r="Q928" i="5"/>
  <c r="P928" i="5"/>
  <c r="Q865" i="5"/>
  <c r="P865" i="5"/>
  <c r="Q833" i="5"/>
  <c r="P833" i="5"/>
  <c r="Q821" i="5"/>
  <c r="P821" i="5"/>
  <c r="Q802" i="5"/>
  <c r="P802" i="5"/>
  <c r="Q782" i="5"/>
  <c r="P782" i="5"/>
  <c r="Q708" i="5"/>
  <c r="P708" i="5"/>
  <c r="Q687" i="5"/>
  <c r="P687" i="5"/>
  <c r="Q643" i="5"/>
  <c r="P643" i="5"/>
  <c r="Q579" i="5"/>
  <c r="P579" i="5"/>
  <c r="Q490" i="5"/>
  <c r="P490" i="5"/>
  <c r="Q469" i="5"/>
  <c r="P469" i="5"/>
  <c r="Q429" i="5"/>
  <c r="P429" i="5"/>
  <c r="Q346" i="5"/>
  <c r="P346" i="5"/>
  <c r="Q328" i="5"/>
  <c r="P328" i="5"/>
  <c r="Q280" i="5"/>
  <c r="P280" i="5"/>
  <c r="Q219" i="5"/>
  <c r="P219" i="5"/>
  <c r="Q149" i="5"/>
  <c r="P149" i="5"/>
  <c r="Q46" i="5"/>
  <c r="P46" i="5"/>
  <c r="Q37" i="5"/>
  <c r="P37" i="5"/>
  <c r="Q35" i="5"/>
  <c r="P35" i="5"/>
  <c r="Q24" i="5"/>
  <c r="P24" i="5"/>
  <c r="Q784" i="5"/>
  <c r="P784" i="5"/>
  <c r="Q817" i="5"/>
  <c r="P817" i="5"/>
  <c r="Q340" i="5"/>
  <c r="P340" i="5"/>
  <c r="Q249" i="5"/>
  <c r="P249" i="5"/>
  <c r="Q874" i="5"/>
  <c r="P874" i="5"/>
  <c r="Q363" i="5"/>
  <c r="P363" i="5"/>
  <c r="Q95" i="5"/>
  <c r="P95" i="5"/>
  <c r="Q988" i="5"/>
  <c r="P988" i="5"/>
  <c r="Q935" i="5"/>
  <c r="P935" i="5"/>
  <c r="Q843" i="5"/>
  <c r="P843" i="5"/>
  <c r="Q472" i="5"/>
  <c r="P472" i="5"/>
  <c r="Q419" i="5"/>
  <c r="P419" i="5"/>
  <c r="Q283" i="5"/>
  <c r="P283" i="5"/>
  <c r="Q158" i="5"/>
  <c r="P158" i="5"/>
  <c r="Q1006" i="5"/>
  <c r="P1006" i="5"/>
  <c r="Q991" i="5"/>
  <c r="P991" i="5"/>
  <c r="Q990" i="5"/>
  <c r="P990" i="5"/>
  <c r="Q980" i="5"/>
  <c r="P980" i="5"/>
  <c r="Q929" i="5"/>
  <c r="P929" i="5"/>
  <c r="Q198" i="5"/>
  <c r="P198" i="5"/>
  <c r="Q595" i="5"/>
  <c r="P595" i="5"/>
  <c r="Q365" i="5"/>
  <c r="P365" i="5"/>
  <c r="Q372" i="5"/>
  <c r="P372" i="5"/>
  <c r="Q634" i="5"/>
  <c r="P634" i="5"/>
  <c r="Q984" i="5"/>
  <c r="P984" i="5"/>
  <c r="Q588" i="5"/>
  <c r="P588" i="5"/>
  <c r="Q417" i="5"/>
  <c r="P417" i="5"/>
  <c r="Q183" i="5"/>
  <c r="P183" i="5"/>
  <c r="Q867" i="5"/>
  <c r="P867" i="5"/>
  <c r="Q645" i="5"/>
  <c r="P645" i="5"/>
  <c r="Q717" i="5"/>
  <c r="P717" i="5"/>
  <c r="Q565" i="5"/>
  <c r="P565" i="5"/>
  <c r="Q533" i="5"/>
  <c r="P533" i="5"/>
  <c r="Q98" i="5"/>
  <c r="P98" i="5"/>
  <c r="Q1036" i="5"/>
  <c r="P1036" i="5"/>
  <c r="Q688" i="5"/>
  <c r="P688" i="5"/>
  <c r="Q541" i="5"/>
  <c r="P541" i="5"/>
  <c r="Q510" i="5"/>
  <c r="P510" i="5"/>
  <c r="Q433" i="5"/>
  <c r="P433" i="5"/>
  <c r="Q330" i="5"/>
  <c r="P330" i="5"/>
  <c r="Q310" i="5"/>
  <c r="P310" i="5"/>
  <c r="Q212" i="5"/>
  <c r="P212" i="5"/>
  <c r="Q190" i="5"/>
  <c r="P190" i="5"/>
  <c r="Q110" i="5"/>
  <c r="P110" i="5"/>
  <c r="Q93" i="5"/>
  <c r="P93" i="5"/>
  <c r="Q74" i="5"/>
  <c r="P74" i="5"/>
  <c r="Q59" i="5"/>
  <c r="P59" i="5"/>
  <c r="Q43" i="5"/>
  <c r="P43" i="5"/>
  <c r="Q329" i="5"/>
  <c r="P329" i="5"/>
  <c r="Q260" i="5"/>
  <c r="P260" i="5"/>
  <c r="Q163" i="5"/>
  <c r="P163" i="5"/>
  <c r="Q88" i="5"/>
  <c r="P88" i="5"/>
  <c r="Q851" i="5"/>
  <c r="P851" i="5"/>
  <c r="Q968" i="5"/>
  <c r="P968" i="5"/>
  <c r="Q919" i="5"/>
  <c r="P919" i="5"/>
  <c r="Q879" i="5"/>
  <c r="P879" i="5"/>
  <c r="Q306" i="5"/>
  <c r="P306" i="5"/>
  <c r="Q121" i="5"/>
  <c r="P121" i="5"/>
  <c r="Q954" i="5"/>
  <c r="P954" i="5"/>
  <c r="Q949" i="5"/>
  <c r="P949" i="5"/>
  <c r="Q945" i="5"/>
  <c r="P945" i="5"/>
  <c r="Q897" i="5"/>
  <c r="P897" i="5"/>
  <c r="Q881" i="5"/>
  <c r="P881" i="5"/>
  <c r="Q823" i="5"/>
  <c r="P823" i="5"/>
  <c r="Q762" i="5"/>
  <c r="P762" i="5"/>
  <c r="Q925" i="5"/>
  <c r="P925" i="5"/>
  <c r="Q872" i="5"/>
  <c r="P872" i="5"/>
  <c r="Q613" i="5"/>
  <c r="P613" i="5"/>
  <c r="Q1041" i="5"/>
  <c r="P1041" i="5"/>
  <c r="Q1039" i="5"/>
  <c r="P1039" i="5"/>
  <c r="Q1032" i="5"/>
  <c r="P1032" i="5"/>
  <c r="Q1031" i="5"/>
  <c r="P1031" i="5"/>
  <c r="Q1030" i="5"/>
  <c r="P1030" i="5"/>
  <c r="Q1029" i="5"/>
  <c r="P1029" i="5"/>
  <c r="Q1028" i="5"/>
  <c r="P1028" i="5"/>
  <c r="Q1027" i="5"/>
  <c r="P1027" i="5"/>
  <c r="Q1026" i="5"/>
  <c r="P1026" i="5"/>
  <c r="Q1025" i="5"/>
  <c r="P1025" i="5"/>
  <c r="Q1024" i="5"/>
  <c r="P1024" i="5"/>
  <c r="Q1023" i="5"/>
  <c r="P1023" i="5"/>
  <c r="Q1022" i="5"/>
  <c r="P1022" i="5"/>
  <c r="Q1021" i="5"/>
  <c r="P1021" i="5"/>
  <c r="Q1020" i="5"/>
  <c r="P1020" i="5"/>
  <c r="Q1019" i="5"/>
  <c r="P1019" i="5"/>
  <c r="Q1018" i="5"/>
  <c r="P1018" i="5"/>
  <c r="Q1017" i="5"/>
  <c r="P1017" i="5"/>
  <c r="Q1016" i="5"/>
  <c r="P1016" i="5"/>
  <c r="Q1002" i="5"/>
  <c r="P1002" i="5"/>
  <c r="Q992" i="5"/>
  <c r="P992" i="5"/>
  <c r="Q987" i="5"/>
  <c r="P987" i="5"/>
  <c r="Q966" i="5"/>
  <c r="P966" i="5"/>
  <c r="Q959" i="5"/>
  <c r="P959" i="5"/>
  <c r="Q958" i="5"/>
  <c r="P958" i="5"/>
  <c r="Q948" i="5"/>
  <c r="P948" i="5"/>
  <c r="Q939" i="5"/>
  <c r="P939" i="5"/>
  <c r="Q924" i="5"/>
  <c r="P924" i="5"/>
  <c r="Q914" i="5"/>
  <c r="P914" i="5"/>
  <c r="Q906" i="5"/>
  <c r="P906" i="5"/>
  <c r="Q896" i="5"/>
  <c r="P896" i="5"/>
  <c r="Q892" i="5"/>
  <c r="P892" i="5"/>
  <c r="Q889" i="5"/>
  <c r="P889" i="5"/>
  <c r="Q863" i="5"/>
  <c r="P863" i="5"/>
  <c r="Q846" i="5"/>
  <c r="P846" i="5"/>
  <c r="Q812" i="5"/>
  <c r="P812" i="5"/>
  <c r="Q810" i="5"/>
  <c r="P810" i="5"/>
  <c r="Q805" i="5"/>
  <c r="P805" i="5"/>
  <c r="Q785" i="5"/>
  <c r="P785" i="5"/>
  <c r="Q783" i="5"/>
  <c r="P783" i="5"/>
  <c r="Q742" i="5"/>
  <c r="P742" i="5"/>
  <c r="Q723" i="5"/>
  <c r="P723" i="5"/>
  <c r="Q719" i="5"/>
  <c r="P719" i="5"/>
  <c r="Q615" i="5"/>
  <c r="P615" i="5"/>
  <c r="Q556" i="5"/>
  <c r="P556" i="5"/>
  <c r="Q550" i="5"/>
  <c r="P550" i="5"/>
  <c r="Q525" i="5"/>
  <c r="P525" i="5"/>
  <c r="Q518" i="5"/>
  <c r="P518" i="5"/>
  <c r="Q514" i="5"/>
  <c r="P514" i="5"/>
  <c r="Q511" i="5"/>
  <c r="P511" i="5"/>
  <c r="Q443" i="5"/>
  <c r="P443" i="5"/>
  <c r="Q439" i="5"/>
  <c r="P439" i="5"/>
  <c r="Q431" i="5"/>
  <c r="P431" i="5"/>
  <c r="Q426" i="5"/>
  <c r="P426" i="5"/>
  <c r="Q397" i="5"/>
  <c r="P397" i="5"/>
  <c r="Q394" i="5"/>
  <c r="P394" i="5"/>
  <c r="Q353" i="5"/>
  <c r="P353" i="5"/>
  <c r="Q336" i="5"/>
  <c r="P336" i="5"/>
  <c r="Q335" i="5"/>
  <c r="P335" i="5"/>
  <c r="Q331" i="5"/>
  <c r="P331" i="5"/>
  <c r="Q325" i="5"/>
  <c r="P325" i="5"/>
  <c r="Q303" i="5"/>
  <c r="P303" i="5"/>
  <c r="Q302" i="5"/>
  <c r="P302" i="5"/>
  <c r="Q231" i="5"/>
  <c r="P231" i="5"/>
  <c r="Q197" i="5"/>
  <c r="P197" i="5"/>
  <c r="Q187" i="5"/>
  <c r="P187" i="5"/>
  <c r="Q184" i="5"/>
  <c r="P184" i="5"/>
  <c r="Q165" i="5"/>
  <c r="P165" i="5"/>
  <c r="Q129" i="5"/>
  <c r="P129" i="5"/>
  <c r="Q120" i="5"/>
  <c r="P120" i="5"/>
  <c r="Q114" i="5"/>
  <c r="P114" i="5"/>
  <c r="Q91" i="5"/>
  <c r="P91" i="5"/>
  <c r="Q90" i="5"/>
  <c r="P90" i="5"/>
  <c r="Q69" i="5"/>
  <c r="P69" i="5"/>
  <c r="Q66" i="5"/>
  <c r="P66" i="5"/>
  <c r="Q61" i="5"/>
  <c r="P61" i="5"/>
  <c r="Q54" i="5"/>
  <c r="P54" i="5"/>
  <c r="Q52" i="5"/>
  <c r="P52" i="5"/>
  <c r="Q51" i="5"/>
  <c r="P51" i="5"/>
  <c r="Q45" i="5"/>
  <c r="P45" i="5"/>
  <c r="Q41" i="5"/>
  <c r="P41" i="5"/>
  <c r="Q40" i="5"/>
  <c r="P40" i="5"/>
  <c r="Q39" i="5"/>
  <c r="P39" i="5"/>
  <c r="Q32" i="5"/>
  <c r="P32" i="5"/>
  <c r="Q30" i="5"/>
  <c r="P30" i="5"/>
  <c r="Q29" i="5"/>
  <c r="P29" i="5"/>
  <c r="Q28" i="5"/>
  <c r="P28" i="5"/>
  <c r="Q23" i="5"/>
  <c r="P23" i="5"/>
  <c r="Q22" i="5"/>
  <c r="P22" i="5"/>
  <c r="Q21" i="5"/>
  <c r="P21" i="5"/>
  <c r="Q20" i="5"/>
  <c r="P20" i="5"/>
  <c r="Q16" i="5"/>
  <c r="P16" i="5"/>
  <c r="Q933" i="5"/>
  <c r="P933" i="5"/>
  <c r="Q912" i="5"/>
  <c r="P912" i="5"/>
  <c r="Q885" i="5"/>
  <c r="P885" i="5"/>
  <c r="Q950" i="5"/>
  <c r="P950" i="5"/>
  <c r="Q148" i="5"/>
  <c r="P148" i="5"/>
  <c r="Q964" i="5"/>
  <c r="P964" i="5"/>
  <c r="Q960" i="5"/>
  <c r="P960" i="5"/>
  <c r="Q835" i="5"/>
  <c r="P835" i="5"/>
  <c r="Q761" i="5"/>
  <c r="P761" i="5"/>
  <c r="Q653" i="5"/>
  <c r="P653" i="5"/>
  <c r="Q568" i="5"/>
  <c r="P568" i="5"/>
  <c r="Q468" i="5"/>
  <c r="P468" i="5"/>
  <c r="Q395" i="5"/>
  <c r="P395" i="5"/>
  <c r="Q391" i="5"/>
  <c r="P391" i="5"/>
  <c r="Q296" i="5"/>
  <c r="P296" i="5"/>
  <c r="Q264" i="5"/>
  <c r="P264" i="5"/>
  <c r="Q1007" i="5"/>
  <c r="P1007" i="5"/>
  <c r="Q1000" i="5"/>
  <c r="P1000" i="5"/>
  <c r="Q986" i="5"/>
  <c r="P986" i="5"/>
  <c r="Q203" i="5"/>
  <c r="P203" i="5"/>
  <c r="Q629" i="5"/>
  <c r="P629" i="5"/>
  <c r="Q244" i="5"/>
  <c r="P244" i="5"/>
  <c r="Q109" i="5"/>
  <c r="P109" i="5"/>
  <c r="Q108" i="5"/>
  <c r="P108" i="5"/>
  <c r="Q322" i="5"/>
  <c r="P322" i="5"/>
  <c r="Q205" i="5"/>
  <c r="P205" i="5"/>
  <c r="Q943" i="5"/>
  <c r="P943" i="5"/>
  <c r="Q790" i="5"/>
  <c r="P790" i="5"/>
  <c r="Q789" i="5"/>
  <c r="P789" i="5"/>
  <c r="Q749" i="5"/>
  <c r="P749" i="5"/>
  <c r="Q701" i="5"/>
  <c r="P701" i="5"/>
  <c r="Q696" i="5"/>
  <c r="P696" i="5"/>
  <c r="Q504" i="5"/>
  <c r="P504" i="5"/>
  <c r="Q800" i="5"/>
  <c r="P800" i="5"/>
  <c r="Q461" i="5"/>
  <c r="P461" i="5"/>
  <c r="Q227" i="5"/>
  <c r="P227" i="5"/>
  <c r="Q214" i="5"/>
  <c r="P214" i="5"/>
  <c r="Q26" i="5"/>
  <c r="P26" i="5"/>
  <c r="Q13" i="5"/>
  <c r="P13" i="5"/>
  <c r="Q12" i="5"/>
  <c r="P12" i="5"/>
  <c r="Q981" i="5"/>
  <c r="P981" i="5"/>
  <c r="Q128" i="5"/>
  <c r="P128" i="5"/>
  <c r="Q127" i="5"/>
  <c r="P127" i="5"/>
  <c r="Q78" i="5"/>
  <c r="P78" i="5"/>
  <c r="Q951" i="5"/>
  <c r="P951" i="5"/>
  <c r="Q841" i="5"/>
  <c r="P841" i="5"/>
  <c r="Q765" i="5"/>
  <c r="P765" i="5"/>
  <c r="Q747" i="5"/>
  <c r="P747" i="5"/>
  <c r="Q672" i="5"/>
  <c r="P672" i="5"/>
  <c r="Q487" i="5"/>
  <c r="P487" i="5"/>
  <c r="Q884" i="5"/>
  <c r="P884" i="5"/>
  <c r="Q855" i="5"/>
  <c r="P855" i="5"/>
  <c r="Q707" i="5"/>
  <c r="P707" i="5"/>
  <c r="Q627" i="5"/>
  <c r="P627" i="5"/>
  <c r="Q512" i="5"/>
  <c r="P512" i="5"/>
  <c r="Q463" i="5"/>
  <c r="P463" i="5"/>
  <c r="Q450" i="5"/>
  <c r="P450" i="5"/>
  <c r="Q389" i="5"/>
  <c r="P389" i="5"/>
  <c r="Q383" i="5"/>
  <c r="P383" i="5"/>
  <c r="Q323" i="5"/>
  <c r="P323" i="5"/>
  <c r="Q166" i="5"/>
  <c r="P166" i="5"/>
  <c r="Q192" i="5"/>
  <c r="P192" i="5"/>
  <c r="Q596" i="5"/>
  <c r="P596" i="5"/>
  <c r="Q947" i="5"/>
  <c r="P947" i="5"/>
  <c r="Q895" i="5"/>
  <c r="P895" i="5"/>
  <c r="Q856" i="5"/>
  <c r="P856" i="5"/>
  <c r="Q820" i="5"/>
  <c r="P820" i="5"/>
  <c r="Q662" i="5"/>
  <c r="P662" i="5"/>
  <c r="Q220" i="5"/>
  <c r="P220" i="5"/>
  <c r="Q156" i="5"/>
  <c r="P156" i="5"/>
  <c r="Q106" i="5"/>
  <c r="P106" i="5"/>
  <c r="Q317" i="5"/>
  <c r="P317" i="5"/>
  <c r="Q291" i="5"/>
  <c r="P291" i="5"/>
  <c r="Q56" i="5"/>
  <c r="P56" i="5"/>
  <c r="Q34" i="5"/>
  <c r="P34" i="5"/>
  <c r="Q17" i="5"/>
  <c r="P17" i="5"/>
  <c r="Q849" i="5"/>
  <c r="P849" i="5"/>
  <c r="Q290" i="5"/>
  <c r="P290" i="5"/>
  <c r="Q111" i="5"/>
  <c r="P111" i="5"/>
  <c r="Q840" i="5"/>
  <c r="P840" i="5"/>
  <c r="Q793" i="5"/>
  <c r="P793" i="5"/>
  <c r="Q147" i="5"/>
  <c r="P147" i="5"/>
  <c r="Q1011" i="5"/>
  <c r="P1011" i="5"/>
  <c r="Q957" i="5"/>
  <c r="P957" i="5"/>
  <c r="Q644" i="5"/>
  <c r="P644" i="5"/>
  <c r="Q489" i="5"/>
  <c r="P489" i="5"/>
  <c r="Q273" i="5"/>
  <c r="P273" i="5"/>
  <c r="Q103" i="5"/>
  <c r="P103" i="5"/>
  <c r="Q285" i="5"/>
  <c r="P285" i="5"/>
  <c r="Q686" i="5"/>
  <c r="P686" i="5"/>
  <c r="Q499" i="5"/>
  <c r="P499" i="5"/>
  <c r="Q764" i="5"/>
  <c r="P764" i="5"/>
  <c r="Q975" i="5"/>
  <c r="P975" i="5"/>
  <c r="Q57" i="5"/>
  <c r="P57" i="5"/>
  <c r="Q240" i="5"/>
  <c r="P240" i="5"/>
  <c r="Q842" i="5"/>
  <c r="P842" i="5"/>
  <c r="Q809" i="5"/>
  <c r="P809" i="5"/>
  <c r="Q657" i="5"/>
  <c r="P657" i="5"/>
  <c r="Q564" i="5"/>
  <c r="P564" i="5"/>
  <c r="Q969" i="5"/>
  <c r="P969" i="5"/>
  <c r="Q953" i="5"/>
  <c r="P953" i="5"/>
  <c r="Q646" i="5"/>
  <c r="P646" i="5"/>
  <c r="Q356" i="5"/>
  <c r="P356" i="5"/>
  <c r="Q457" i="5"/>
  <c r="P457" i="5"/>
  <c r="Q315" i="5"/>
  <c r="P315" i="5"/>
  <c r="Q286" i="5"/>
  <c r="P286" i="5"/>
  <c r="Q709" i="5"/>
  <c r="P709" i="5"/>
  <c r="Q666" i="5"/>
  <c r="P666" i="5"/>
  <c r="Q174" i="5"/>
  <c r="P174" i="5"/>
  <c r="Q89" i="5"/>
  <c r="P89" i="5"/>
  <c r="Q711" i="5"/>
  <c r="P711" i="5"/>
  <c r="Q18" i="5"/>
  <c r="P18" i="5"/>
  <c r="Q15" i="5"/>
  <c r="P15" i="5"/>
  <c r="Q638" i="5"/>
  <c r="P638" i="5"/>
  <c r="Q448" i="5"/>
  <c r="P448" i="5"/>
  <c r="Q647" i="5"/>
  <c r="P647" i="5"/>
  <c r="Q19" i="5"/>
  <c r="P19" i="5"/>
  <c r="Q362" i="5"/>
  <c r="P362" i="5"/>
  <c r="Q278" i="5"/>
  <c r="P278" i="5"/>
  <c r="Q202" i="5"/>
  <c r="P202" i="5"/>
  <c r="Q141" i="5"/>
  <c r="P141" i="5"/>
  <c r="Q137" i="5"/>
  <c r="P137" i="5"/>
  <c r="Q1015" i="5"/>
  <c r="P1015" i="5"/>
  <c r="Q973" i="5"/>
  <c r="P973" i="5"/>
  <c r="Q931" i="5"/>
  <c r="P931" i="5"/>
  <c r="Q930" i="5"/>
  <c r="P930" i="5"/>
  <c r="Q915" i="5"/>
  <c r="P915" i="5"/>
  <c r="Q877" i="5"/>
  <c r="P877" i="5"/>
  <c r="Q852" i="5"/>
  <c r="P852" i="5"/>
  <c r="Q831" i="5"/>
  <c r="P831" i="5"/>
  <c r="Q797" i="5"/>
  <c r="P797" i="5"/>
  <c r="Q786" i="5"/>
  <c r="P786" i="5"/>
  <c r="Q728" i="5"/>
  <c r="P728" i="5"/>
  <c r="Q674" i="5"/>
  <c r="P674" i="5"/>
  <c r="Q669" i="5"/>
  <c r="P669" i="5"/>
  <c r="Q606" i="5"/>
  <c r="P606" i="5"/>
  <c r="Q602" i="5"/>
  <c r="P602" i="5"/>
  <c r="Q586" i="5"/>
  <c r="P586" i="5"/>
  <c r="Q476" i="5"/>
  <c r="P476" i="5"/>
  <c r="Q107" i="5"/>
  <c r="P107" i="5"/>
  <c r="Q81" i="5"/>
  <c r="P81" i="5"/>
  <c r="Q68" i="5"/>
  <c r="P68" i="5"/>
  <c r="Q53" i="5"/>
  <c r="P53" i="5"/>
  <c r="Q316" i="5"/>
  <c r="P316" i="5"/>
  <c r="Q233" i="5"/>
  <c r="P233" i="5"/>
  <c r="Q82" i="5"/>
  <c r="P82" i="5"/>
  <c r="Q893" i="5"/>
  <c r="P893" i="5"/>
  <c r="Q695" i="5"/>
  <c r="P695" i="5"/>
  <c r="Q544" i="5"/>
  <c r="P544" i="5"/>
  <c r="Q432" i="5"/>
  <c r="P432" i="5"/>
  <c r="Q309" i="5"/>
  <c r="P309" i="5"/>
  <c r="Q404" i="5"/>
  <c r="P404" i="5"/>
  <c r="Q207" i="5"/>
  <c r="P207" i="5"/>
  <c r="Q100" i="5"/>
  <c r="P100" i="5"/>
  <c r="Q243" i="5"/>
  <c r="P243" i="5"/>
  <c r="Q146" i="5"/>
  <c r="P146" i="5"/>
  <c r="Q996" i="5"/>
  <c r="P996" i="5"/>
  <c r="Q983" i="5"/>
  <c r="P983" i="5"/>
  <c r="Q962" i="5"/>
  <c r="P962" i="5"/>
  <c r="Q891" i="5"/>
  <c r="P891" i="5"/>
  <c r="Q888" i="5"/>
  <c r="P888" i="5"/>
  <c r="Q729" i="5"/>
  <c r="P729" i="5"/>
  <c r="Q727" i="5"/>
  <c r="P727" i="5"/>
  <c r="Q704" i="5"/>
  <c r="P704" i="5"/>
  <c r="Q683" i="5"/>
  <c r="P683" i="5"/>
  <c r="Q442" i="5"/>
  <c r="P442" i="5"/>
  <c r="Q401" i="5"/>
  <c r="P401" i="5"/>
  <c r="Q222" i="5"/>
  <c r="P222" i="5"/>
  <c r="Q170" i="5"/>
  <c r="P170" i="5"/>
  <c r="Q76" i="5"/>
  <c r="P76" i="5"/>
  <c r="Q136" i="5"/>
  <c r="P136" i="5"/>
  <c r="Q135" i="5"/>
  <c r="P135" i="5"/>
  <c r="Q1038" i="5"/>
  <c r="P1038" i="5"/>
  <c r="Q175" i="5"/>
  <c r="P175" i="5"/>
  <c r="Q972" i="5"/>
  <c r="P972" i="5"/>
  <c r="Q971" i="5"/>
  <c r="P971" i="5"/>
  <c r="Q658" i="5"/>
  <c r="P658" i="5"/>
  <c r="Q122" i="5"/>
  <c r="P122" i="5"/>
  <c r="Q500" i="5"/>
  <c r="P500" i="5"/>
  <c r="Q999" i="5"/>
  <c r="P999" i="5"/>
  <c r="Q199" i="5"/>
  <c r="P199" i="5"/>
  <c r="Q181" i="5"/>
  <c r="P181" i="5"/>
  <c r="Q105" i="5"/>
  <c r="P105" i="5"/>
  <c r="Q847" i="5"/>
  <c r="P847" i="5"/>
  <c r="Q94" i="5"/>
  <c r="P94" i="5"/>
  <c r="Q58" i="5"/>
  <c r="P58" i="5"/>
  <c r="Q33" i="5"/>
  <c r="P33" i="5"/>
  <c r="Q213" i="5"/>
  <c r="P213" i="5"/>
  <c r="Q838" i="5"/>
  <c r="P838" i="5"/>
  <c r="Q737" i="5"/>
  <c r="P737" i="5"/>
  <c r="Q678" i="5"/>
  <c r="P678" i="5"/>
  <c r="Q618" i="5"/>
  <c r="P618" i="5"/>
  <c r="Q14" i="5"/>
  <c r="P14" i="5"/>
  <c r="Q757" i="5"/>
  <c r="P757" i="5"/>
  <c r="Q224" i="5"/>
  <c r="P224" i="5"/>
  <c r="Q882" i="5"/>
  <c r="P882" i="5"/>
  <c r="Q486" i="5"/>
  <c r="P486" i="5"/>
  <c r="Q97" i="5"/>
  <c r="P97" i="5"/>
  <c r="Q927" i="5"/>
  <c r="P927" i="5"/>
  <c r="Q902" i="5"/>
  <c r="P902" i="5"/>
  <c r="Q861" i="5"/>
  <c r="P861" i="5"/>
  <c r="Q837" i="5"/>
  <c r="P837" i="5"/>
  <c r="Q781" i="5"/>
  <c r="P781" i="5"/>
  <c r="Q60" i="5"/>
  <c r="P60" i="5"/>
  <c r="Q955" i="5"/>
  <c r="P955" i="5"/>
  <c r="Q920" i="5"/>
  <c r="P920" i="5"/>
  <c r="Q86" i="5"/>
  <c r="P86" i="5"/>
  <c r="Q182" i="5"/>
  <c r="P182" i="5"/>
  <c r="Q452" i="5"/>
  <c r="P452" i="5"/>
  <c r="Q320" i="5"/>
  <c r="P320" i="5"/>
  <c r="Q860" i="5"/>
  <c r="P860" i="5"/>
  <c r="Q351" i="5"/>
  <c r="P351" i="5"/>
  <c r="Q274" i="5"/>
  <c r="P274" i="5"/>
  <c r="Q640" i="5"/>
  <c r="P640" i="5"/>
  <c r="Q597" i="5"/>
  <c r="P597" i="5"/>
  <c r="Q997" i="5"/>
  <c r="P997" i="5"/>
  <c r="Q819" i="5"/>
  <c r="P819" i="5"/>
  <c r="Q532" i="5"/>
  <c r="P532" i="5"/>
  <c r="Q464" i="5"/>
  <c r="P464" i="5"/>
  <c r="Q875" i="5"/>
  <c r="P875" i="5"/>
  <c r="Q813" i="5"/>
  <c r="P813" i="5"/>
  <c r="Q677" i="5"/>
  <c r="P677" i="5"/>
  <c r="Q1042" i="5"/>
  <c r="P1042" i="5"/>
  <c r="Q376" i="5"/>
  <c r="Q405" i="5"/>
  <c r="Q913" i="5"/>
  <c r="Q467" i="5"/>
  <c r="Q546" i="5"/>
  <c r="Q424" i="5"/>
  <c r="Q815" i="5"/>
  <c r="Q818" i="5"/>
  <c r="Q886" i="5"/>
  <c r="Q859" i="5"/>
  <c r="Q637" i="5"/>
  <c r="Q642" i="5"/>
  <c r="Q80" i="5"/>
  <c r="Q126" i="5"/>
  <c r="Q236" i="5"/>
  <c r="Q276" i="5"/>
  <c r="Q314" i="5"/>
  <c r="Q327" i="5"/>
  <c r="Q272" i="5"/>
  <c r="Q392" i="5"/>
  <c r="Q418" i="5"/>
  <c r="Q495" i="5"/>
  <c r="Q773" i="5"/>
  <c r="Q989" i="5"/>
  <c r="Q1010" i="5"/>
  <c r="Q1037" i="5"/>
  <c r="Q866" i="5"/>
  <c r="Q910" i="5"/>
  <c r="Q911" i="5"/>
  <c r="Q916" i="5"/>
  <c r="Q1009" i="5"/>
  <c r="Q25" i="5"/>
  <c r="Q49" i="5"/>
  <c r="Q527" i="5"/>
  <c r="Q451" i="5"/>
  <c r="Q700" i="5"/>
  <c r="Q932" i="5"/>
  <c r="Q940" i="5"/>
  <c r="Q965" i="5"/>
  <c r="Q1004" i="5"/>
  <c r="Q211" i="5"/>
  <c r="Q238" i="5"/>
  <c r="Q985" i="5"/>
  <c r="Q617" i="5"/>
  <c r="Q801" i="5"/>
  <c r="Q217" i="5"/>
  <c r="Q509" i="5"/>
  <c r="Q118" i="5"/>
  <c r="Q159" i="5"/>
  <c r="Q196" i="5"/>
  <c r="Q261" i="5"/>
  <c r="Q1034" i="5"/>
  <c r="Q545" i="5"/>
  <c r="Q145" i="5"/>
  <c r="Q497" i="5"/>
  <c r="Q180" i="5"/>
  <c r="Q75" i="5"/>
  <c r="Q942" i="5"/>
  <c r="Q65" i="5"/>
  <c r="Q229" i="5"/>
  <c r="Q636" i="5"/>
  <c r="Q216" i="5"/>
  <c r="Q292" i="5"/>
  <c r="Q515" i="5"/>
  <c r="Q215" i="5"/>
  <c r="Q382" i="5"/>
  <c r="Q926" i="5"/>
  <c r="Q277" i="5"/>
  <c r="Q252" i="5"/>
  <c r="Q10" i="5"/>
  <c r="Q341" i="5"/>
  <c r="Q908" i="5"/>
  <c r="Q944" i="5"/>
  <c r="Q974" i="5"/>
  <c r="Q1040" i="5"/>
  <c r="Q153" i="5"/>
  <c r="Q381" i="5"/>
  <c r="Q698" i="5"/>
  <c r="Q769" i="5"/>
  <c r="Q791" i="5"/>
  <c r="Q878" i="5"/>
  <c r="Q62" i="5"/>
  <c r="Q83" i="5"/>
  <c r="Q150" i="5"/>
  <c r="Q134" i="5"/>
  <c r="Q845" i="5"/>
  <c r="Q436" i="5"/>
  <c r="Q684" i="5"/>
  <c r="Q471" i="5"/>
  <c r="Q573" i="5"/>
  <c r="Q721" i="5"/>
  <c r="Q27" i="5"/>
  <c r="Q36" i="5"/>
  <c r="Q63" i="5"/>
  <c r="Q880" i="5"/>
  <c r="Q279" i="5"/>
  <c r="Q900" i="5"/>
  <c r="Q661" i="5"/>
  <c r="Q480" i="5"/>
  <c r="Q503" i="5"/>
  <c r="Q117" i="5"/>
  <c r="Q409" i="5"/>
  <c r="Q963" i="5"/>
  <c r="Q352" i="5"/>
  <c r="Q393" i="5"/>
  <c r="Q667" i="5"/>
  <c r="Q265" i="5"/>
  <c r="Q289" i="5"/>
  <c r="Q142" i="5"/>
  <c r="Q116" i="5"/>
  <c r="Q186" i="5"/>
  <c r="Q445" i="5"/>
  <c r="Q772" i="5"/>
  <c r="Q2" i="5"/>
  <c r="Q411" i="5"/>
  <c r="Q64" i="5"/>
  <c r="Q71" i="5"/>
  <c r="Q72" i="5"/>
  <c r="Q99" i="5"/>
  <c r="Q102" i="5"/>
  <c r="Q104" i="5"/>
  <c r="Q189" i="5"/>
  <c r="Q293" i="5"/>
  <c r="Q360" i="5"/>
  <c r="Q438" i="5"/>
  <c r="Q440" i="5"/>
  <c r="Q477" i="5"/>
  <c r="Q589" i="5"/>
  <c r="Q604" i="5"/>
  <c r="Q631" i="5"/>
  <c r="Q689" i="5"/>
  <c r="Q751" i="5"/>
  <c r="Q803" i="5"/>
  <c r="Q854" i="5"/>
  <c r="Q887" i="5"/>
  <c r="Q1005" i="5"/>
  <c r="Q1013" i="5"/>
  <c r="Q488" i="5"/>
  <c r="Q496" i="5"/>
  <c r="Q371" i="5"/>
  <c r="Q113" i="5"/>
  <c r="Q307" i="5"/>
  <c r="Q332" i="5"/>
  <c r="Q423" i="5"/>
  <c r="Q520" i="5"/>
  <c r="Q741" i="5"/>
  <c r="Q3" i="5"/>
  <c r="Q4" i="5"/>
  <c r="Q5" i="5"/>
  <c r="Q6" i="5"/>
  <c r="Q870" i="5"/>
  <c r="Q918" i="5"/>
  <c r="Q630" i="5"/>
  <c r="Q67" i="5"/>
  <c r="Q143" i="5"/>
  <c r="Q357" i="5"/>
  <c r="Q862" i="5"/>
  <c r="Q162" i="5"/>
  <c r="Q228" i="5"/>
  <c r="Q368" i="5"/>
  <c r="Q853" i="5"/>
  <c r="Q1035" i="5"/>
  <c r="Q185" i="5"/>
  <c r="Q266" i="5"/>
  <c r="Q334" i="5"/>
  <c r="Q361" i="5"/>
  <c r="Q523" i="5"/>
  <c r="Q528" i="5"/>
  <c r="Q569" i="5"/>
  <c r="Q593" i="5"/>
  <c r="Q682" i="5"/>
  <c r="Q639" i="5"/>
  <c r="Q144" i="5"/>
  <c r="Q191" i="5"/>
  <c r="Q295" i="5"/>
  <c r="Q641" i="5"/>
  <c r="Q894" i="5"/>
  <c r="Q899" i="5"/>
  <c r="Q904" i="5"/>
  <c r="Q976" i="5"/>
  <c r="Q1003" i="5"/>
  <c r="Q1012" i="5"/>
  <c r="Q406" i="5"/>
  <c r="Q319" i="5"/>
  <c r="Q370" i="5"/>
  <c r="Q410" i="5"/>
  <c r="Q459" i="5"/>
  <c r="Q538" i="5"/>
  <c r="Q626" i="5"/>
  <c r="Q378" i="5"/>
  <c r="Q479" i="5"/>
  <c r="Q591" i="5"/>
  <c r="Q718" i="5"/>
  <c r="Q836" i="5"/>
  <c r="Q876" i="5"/>
  <c r="Q446" i="5"/>
  <c r="Q133" i="5"/>
  <c r="Q155" i="5"/>
  <c r="Q176" i="5"/>
  <c r="Q1014" i="5"/>
  <c r="Q941" i="5"/>
  <c r="Q978" i="5"/>
  <c r="Q194" i="5"/>
  <c r="Q241" i="5"/>
  <c r="Q318" i="5"/>
  <c r="Q326" i="5"/>
  <c r="Q460" i="5"/>
  <c r="Q491" i="5"/>
  <c r="Q498" i="5"/>
  <c r="Q567" i="5"/>
  <c r="Q580" i="5"/>
  <c r="Q608" i="5"/>
  <c r="Q660" i="5"/>
  <c r="Q671" i="5"/>
  <c r="Q702" i="5"/>
  <c r="Q725" i="5"/>
  <c r="Q758" i="5"/>
  <c r="Q778" i="5"/>
  <c r="Q788" i="5"/>
  <c r="Q50" i="5"/>
  <c r="Q178" i="5"/>
  <c r="Q601" i="5"/>
  <c r="Q977" i="5"/>
  <c r="Q907" i="5"/>
  <c r="Q235" i="5"/>
  <c r="Q84" i="5"/>
  <c r="Q164" i="5"/>
  <c r="Q225" i="5"/>
  <c r="Q281" i="5"/>
  <c r="Q369" i="5"/>
  <c r="Q441" i="5"/>
  <c r="Q576" i="5"/>
  <c r="Q668" i="5"/>
  <c r="Q750" i="5"/>
  <c r="Q844" i="5"/>
  <c r="Q922" i="5"/>
  <c r="Q112" i="5"/>
  <c r="Q304" i="5"/>
  <c r="Q447" i="5"/>
  <c r="Q251" i="5"/>
  <c r="Q871" i="5"/>
  <c r="Q937" i="5"/>
  <c r="Q828" i="5"/>
  <c r="Q850" i="5"/>
  <c r="Q287" i="5"/>
  <c r="Q557" i="5"/>
  <c r="Q420" i="5"/>
  <c r="Q558" i="5"/>
  <c r="Q903" i="5"/>
  <c r="Q905" i="5"/>
  <c r="Q699" i="5"/>
  <c r="Q140" i="5"/>
  <c r="Q171" i="5"/>
  <c r="Q210" i="5"/>
  <c r="Q294" i="5"/>
  <c r="Q494" i="5"/>
  <c r="Q92" i="5"/>
  <c r="Q172" i="5"/>
  <c r="Q344" i="5"/>
  <c r="Q492" i="5"/>
  <c r="Q770" i="5"/>
  <c r="Q771" i="5"/>
  <c r="Q779" i="5"/>
  <c r="Q430" i="5"/>
  <c r="Q548" i="5"/>
  <c r="Q649" i="5"/>
  <c r="Q731" i="5"/>
  <c r="Q239" i="5"/>
  <c r="Q359" i="5"/>
  <c r="Q396" i="5"/>
  <c r="Q868" i="5"/>
  <c r="Q124" i="5"/>
  <c r="Q505" i="5"/>
  <c r="Q562" i="5"/>
  <c r="Q767" i="5"/>
  <c r="Q834" i="5"/>
  <c r="Q961" i="5"/>
  <c r="Q485" i="5"/>
  <c r="Q633" i="5"/>
  <c r="Q7" i="5"/>
  <c r="Q8" i="5"/>
  <c r="Q9" i="5"/>
  <c r="Q275" i="5"/>
  <c r="Q720" i="5"/>
  <c r="Q734" i="5"/>
  <c r="Q807" i="5"/>
  <c r="Q952" i="5"/>
  <c r="Q577" i="5"/>
  <c r="Q115" i="5"/>
  <c r="Q132" i="5"/>
  <c r="Q173" i="5"/>
  <c r="Q685" i="5"/>
  <c r="Q714" i="5"/>
  <c r="Q776" i="5"/>
  <c r="Q338" i="5"/>
  <c r="Q412" i="5"/>
  <c r="Q455" i="5"/>
  <c r="Q519" i="5"/>
  <c r="Q625" i="5"/>
  <c r="Q848" i="5"/>
  <c r="Q478" i="5"/>
  <c r="Q481" i="5"/>
  <c r="Q482" i="5"/>
  <c r="Q484" i="5"/>
  <c r="Q605" i="5"/>
  <c r="Q693" i="5"/>
  <c r="Q740" i="5"/>
  <c r="Q746" i="5"/>
  <c r="Q753" i="5"/>
  <c r="Q794" i="5"/>
  <c r="Q799" i="5"/>
  <c r="Q883" i="5"/>
  <c r="Q934" i="5"/>
  <c r="Q946" i="5"/>
  <c r="Q982" i="5"/>
  <c r="Q993" i="5"/>
  <c r="Q994" i="5"/>
  <c r="Q995" i="5"/>
  <c r="Q998" i="5"/>
  <c r="Q42" i="5"/>
  <c r="Q44" i="5"/>
  <c r="Q288" i="5"/>
  <c r="Q416" i="5"/>
  <c r="Q493" i="5"/>
  <c r="Q531" i="5"/>
  <c r="Q610" i="5"/>
  <c r="Q651" i="5"/>
  <c r="Q756" i="5"/>
  <c r="Q822" i="5"/>
  <c r="Q979" i="5"/>
  <c r="Q1008" i="5"/>
  <c r="Q1033" i="5"/>
  <c r="Q458" i="5"/>
  <c r="Q722" i="5"/>
  <c r="Q681" i="5"/>
  <c r="Q795" i="5"/>
  <c r="Q824" i="5"/>
  <c r="Q282" i="5"/>
  <c r="Q691" i="5"/>
  <c r="Q551" i="5"/>
  <c r="Q730" i="5"/>
  <c r="Q377" i="5"/>
  <c r="Q79" i="5"/>
  <c r="Q223" i="5"/>
  <c r="Q297" i="5"/>
  <c r="Q161" i="5"/>
  <c r="Q169" i="5"/>
  <c r="Q218" i="5"/>
  <c r="Q364" i="5"/>
  <c r="Q473" i="5"/>
  <c r="Q547" i="5"/>
  <c r="Q652" i="5"/>
  <c r="Q152" i="5"/>
  <c r="Q483" i="5"/>
  <c r="Q628" i="5"/>
  <c r="Q692" i="5"/>
  <c r="Q502" i="5"/>
  <c r="Q621" i="5"/>
  <c r="Q774" i="5"/>
  <c r="Q839" i="5"/>
  <c r="Q873" i="5"/>
  <c r="Q73" i="5"/>
  <c r="Q131" i="5"/>
  <c r="Q257" i="5"/>
  <c r="Q130" i="5"/>
  <c r="Q221" i="5"/>
  <c r="Q313" i="5"/>
  <c r="Q201" i="5"/>
  <c r="Q825" i="5"/>
  <c r="Q826" i="5"/>
  <c r="Q350" i="5"/>
  <c r="Q138" i="5"/>
  <c r="Q386" i="5"/>
  <c r="Q623" i="5"/>
  <c r="Q798" i="5"/>
  <c r="Q139" i="5"/>
  <c r="Q909" i="5"/>
  <c r="Q766" i="5"/>
  <c r="Q858" i="5"/>
  <c r="Q151" i="5"/>
  <c r="Q792" i="5"/>
  <c r="Q713" i="5"/>
  <c r="Q796" i="5"/>
  <c r="Q403" i="5"/>
  <c r="Q413" i="5"/>
  <c r="Q659" i="5"/>
  <c r="Q324" i="5"/>
  <c r="Q542" i="5"/>
  <c r="Q572" i="5"/>
  <c r="Q703" i="5"/>
  <c r="Q763" i="5"/>
  <c r="Q777" i="5"/>
  <c r="Q857" i="5"/>
  <c r="Q864" i="5"/>
  <c r="Q901" i="5"/>
  <c r="Q923" i="5"/>
  <c r="Q936" i="5"/>
  <c r="Q967" i="5"/>
  <c r="Q1001" i="5"/>
  <c r="Q77" i="5"/>
  <c r="Q232" i="5"/>
  <c r="Q271" i="5"/>
  <c r="Q414" i="5"/>
  <c r="Q587" i="5"/>
  <c r="Q632" i="5"/>
  <c r="Q754" i="5"/>
  <c r="Q890" i="5"/>
  <c r="Q921" i="5"/>
  <c r="Q284" i="5"/>
  <c r="Q312" i="5"/>
  <c r="Q101" i="5"/>
  <c r="Q157" i="5"/>
  <c r="Q832" i="5"/>
  <c r="Q85" i="5"/>
  <c r="Q96" i="5"/>
  <c r="Q154" i="5"/>
  <c r="Q177" i="5"/>
  <c r="Q188" i="5"/>
  <c r="Q195" i="5"/>
  <c r="Q206" i="5"/>
  <c r="Q208" i="5"/>
  <c r="Q209" i="5"/>
  <c r="Q226" i="5"/>
  <c r="Q230" i="5"/>
  <c r="Q234" i="5"/>
  <c r="Q237" i="5"/>
  <c r="Q242" i="5"/>
  <c r="Q245" i="5"/>
  <c r="Q246" i="5"/>
  <c r="Q247" i="5"/>
  <c r="Q248" i="5"/>
  <c r="Q253" i="5"/>
  <c r="Q254" i="5"/>
  <c r="Q255" i="5"/>
  <c r="Q256" i="5"/>
  <c r="Q258" i="5"/>
  <c r="Q259" i="5"/>
  <c r="Q263" i="5"/>
  <c r="Q268" i="5"/>
  <c r="Q269" i="5"/>
  <c r="Q270" i="5"/>
  <c r="Q298" i="5"/>
  <c r="Q299" i="5"/>
  <c r="Q300" i="5"/>
  <c r="Q301" i="5"/>
  <c r="Q308" i="5"/>
  <c r="Q311" i="5"/>
  <c r="Q321" i="5"/>
  <c r="Q333" i="5"/>
  <c r="Q337" i="5"/>
  <c r="Q339" i="5"/>
  <c r="Q342" i="5"/>
  <c r="Q343" i="5"/>
  <c r="Q345" i="5"/>
  <c r="Q347" i="5"/>
  <c r="Q348" i="5"/>
  <c r="Q349" i="5"/>
  <c r="Q354" i="5"/>
  <c r="Q355" i="5"/>
  <c r="Q366" i="5"/>
  <c r="Q367" i="5"/>
  <c r="Q373" i="5"/>
  <c r="Q374" i="5"/>
  <c r="Q375" i="5"/>
  <c r="Q379" i="5"/>
  <c r="Q384" i="5"/>
  <c r="Q385" i="5"/>
  <c r="Q388" i="5"/>
  <c r="Q398" i="5"/>
  <c r="Q399" i="5"/>
  <c r="Q400" i="5"/>
  <c r="Q402" i="5"/>
  <c r="Q407" i="5"/>
  <c r="Q408" i="5"/>
  <c r="Q415" i="5"/>
  <c r="Q421" i="5"/>
  <c r="Q422" i="5"/>
  <c r="Q427" i="5"/>
  <c r="Q434" i="5"/>
  <c r="Q435" i="5"/>
  <c r="Q437" i="5"/>
  <c r="Q444" i="5"/>
  <c r="Q449" i="5"/>
  <c r="Q453" i="5"/>
  <c r="Q454" i="5"/>
  <c r="Q462" i="5"/>
  <c r="Q465" i="5"/>
  <c r="Q466" i="5"/>
  <c r="Q474" i="5"/>
  <c r="Q475" i="5"/>
  <c r="Q501" i="5"/>
  <c r="Q506" i="5"/>
  <c r="Q507" i="5"/>
  <c r="Q513" i="5"/>
  <c r="Q516" i="5"/>
  <c r="Q521" i="5"/>
  <c r="Q522" i="5"/>
  <c r="Q526" i="5"/>
  <c r="Q529" i="5"/>
  <c r="Q534" i="5"/>
  <c r="Q535" i="5"/>
  <c r="Q537" i="5"/>
  <c r="Q539" i="5"/>
  <c r="Q540" i="5"/>
  <c r="Q549" i="5"/>
  <c r="Q552" i="5"/>
  <c r="Q553" i="5"/>
  <c r="Q554" i="5"/>
  <c r="Q559" i="5"/>
  <c r="Q560" i="5"/>
  <c r="Q561" i="5"/>
  <c r="Q563" i="5"/>
  <c r="Q570" i="5"/>
  <c r="Q571" i="5"/>
  <c r="Q574" i="5"/>
  <c r="Q575" i="5"/>
  <c r="Q581" i="5"/>
  <c r="Q582" i="5"/>
  <c r="Q583" i="5"/>
  <c r="Q584" i="5"/>
  <c r="Q585" i="5"/>
  <c r="Q592" i="5"/>
  <c r="Q594" i="5"/>
  <c r="Q598" i="5"/>
  <c r="Q599" i="5"/>
  <c r="Q603" i="5"/>
  <c r="Q607" i="5"/>
  <c r="Q611" i="5"/>
  <c r="Q616" i="5"/>
  <c r="Q619" i="5"/>
  <c r="Q620" i="5"/>
  <c r="Q622" i="5"/>
  <c r="Q624" i="5"/>
  <c r="Q655" i="5"/>
  <c r="Q656" i="5"/>
  <c r="Q663" i="5"/>
  <c r="Q664" i="5"/>
  <c r="Q665" i="5"/>
  <c r="Q673" i="5"/>
  <c r="Q675" i="5"/>
  <c r="Q676" i="5"/>
  <c r="Q679" i="5"/>
  <c r="Q680" i="5"/>
  <c r="Q694" i="5"/>
  <c r="Q705" i="5"/>
  <c r="Q706" i="5"/>
  <c r="Q710" i="5"/>
  <c r="Q712" i="5"/>
  <c r="Q715" i="5"/>
  <c r="Q716" i="5"/>
  <c r="Q724" i="5"/>
  <c r="Q732" i="5"/>
  <c r="Q733" i="5"/>
  <c r="Q735" i="5"/>
  <c r="Q736" i="5"/>
  <c r="Q738" i="5"/>
  <c r="Q743" i="5"/>
  <c r="Q744" i="5"/>
  <c r="Q745" i="5"/>
  <c r="Q748" i="5"/>
  <c r="Q752" i="5"/>
  <c r="Q755" i="5"/>
  <c r="Q760" i="5"/>
  <c r="Q775" i="5"/>
  <c r="Q780" i="5"/>
  <c r="Q804" i="5"/>
  <c r="Q806" i="5"/>
  <c r="Q811" i="5"/>
  <c r="Q119" i="5"/>
  <c r="Q267" i="5"/>
  <c r="Q654" i="5"/>
  <c r="Q358" i="5"/>
  <c r="Q508" i="5"/>
  <c r="Q530" i="5"/>
  <c r="Q38" i="5"/>
  <c r="Q47" i="5"/>
  <c r="Q48" i="5"/>
  <c r="Q55" i="5"/>
  <c r="Q70" i="5"/>
  <c r="Q470" i="5"/>
  <c r="Q590" i="5"/>
  <c r="Q768" i="5"/>
  <c r="Q956" i="5"/>
  <c r="Q970" i="5"/>
  <c r="Q390" i="5"/>
  <c r="Q428" i="5"/>
  <c r="Q524" i="5"/>
  <c r="Q648" i="5"/>
  <c r="P3" i="5"/>
  <c r="P4" i="5"/>
  <c r="P5" i="5"/>
  <c r="P6" i="5"/>
  <c r="P7" i="5"/>
  <c r="P8" i="5"/>
  <c r="P9" i="5"/>
  <c r="P10" i="5"/>
  <c r="P25" i="5"/>
  <c r="P27" i="5"/>
  <c r="P36" i="5"/>
  <c r="P38" i="5"/>
  <c r="P42" i="5"/>
  <c r="P44" i="5"/>
  <c r="P47" i="5"/>
  <c r="P48" i="5"/>
  <c r="P49" i="5"/>
  <c r="P50" i="5"/>
  <c r="P55" i="5"/>
  <c r="P62" i="5"/>
  <c r="P63" i="5"/>
  <c r="P64" i="5"/>
  <c r="P65" i="5"/>
  <c r="P67" i="5"/>
  <c r="P70" i="5"/>
  <c r="P71" i="5"/>
  <c r="P72" i="5"/>
  <c r="P73" i="5"/>
  <c r="P75" i="5"/>
  <c r="P77" i="5"/>
  <c r="P79" i="5"/>
  <c r="P80" i="5"/>
  <c r="P83" i="5"/>
  <c r="P84" i="5"/>
  <c r="P85" i="5"/>
  <c r="P92" i="5"/>
  <c r="P96" i="5"/>
  <c r="P99" i="5"/>
  <c r="P101" i="5"/>
  <c r="P102" i="5"/>
  <c r="P104" i="5"/>
  <c r="P112" i="5"/>
  <c r="P113" i="5"/>
  <c r="P115" i="5"/>
  <c r="P116" i="5"/>
  <c r="P117" i="5"/>
  <c r="P118" i="5"/>
  <c r="P119" i="5"/>
  <c r="P124" i="5"/>
  <c r="P126" i="5"/>
  <c r="P130" i="5"/>
  <c r="P131" i="5"/>
  <c r="P132" i="5"/>
  <c r="P133" i="5"/>
  <c r="P134" i="5"/>
  <c r="P138" i="5"/>
  <c r="P139" i="5"/>
  <c r="P140" i="5"/>
  <c r="P142" i="5"/>
  <c r="P143" i="5"/>
  <c r="P144" i="5"/>
  <c r="P145" i="5"/>
  <c r="P150" i="5"/>
  <c r="P151" i="5"/>
  <c r="P152" i="5"/>
  <c r="P153" i="5"/>
  <c r="P154" i="5"/>
  <c r="P155" i="5"/>
  <c r="P157" i="5"/>
  <c r="P159" i="5"/>
  <c r="P161" i="5"/>
  <c r="P162" i="5"/>
  <c r="P164" i="5"/>
  <c r="P169" i="5"/>
  <c r="P171" i="5"/>
  <c r="P172" i="5"/>
  <c r="P173" i="5"/>
  <c r="P176" i="5"/>
  <c r="P177" i="5"/>
  <c r="P178" i="5"/>
  <c r="P180" i="5"/>
  <c r="P185" i="5"/>
  <c r="P186" i="5"/>
  <c r="P188" i="5"/>
  <c r="P189" i="5"/>
  <c r="P191" i="5"/>
  <c r="P194" i="5"/>
  <c r="P195" i="5"/>
  <c r="P196" i="5"/>
  <c r="P201" i="5"/>
  <c r="P206" i="5"/>
  <c r="P208" i="5"/>
  <c r="P209" i="5"/>
  <c r="P210" i="5"/>
  <c r="P211" i="5"/>
  <c r="P215" i="5"/>
  <c r="P216" i="5"/>
  <c r="P217" i="5"/>
  <c r="P218" i="5"/>
  <c r="P221" i="5"/>
  <c r="P223" i="5"/>
  <c r="P225" i="5"/>
  <c r="P226" i="5"/>
  <c r="P228" i="5"/>
  <c r="P229" i="5"/>
  <c r="P230" i="5"/>
  <c r="P232" i="5"/>
  <c r="P234" i="5"/>
  <c r="P235" i="5"/>
  <c r="P236" i="5"/>
  <c r="P237" i="5"/>
  <c r="P238" i="5"/>
  <c r="P239" i="5"/>
  <c r="P241" i="5"/>
  <c r="P242" i="5"/>
  <c r="P245" i="5"/>
  <c r="P246" i="5"/>
  <c r="P247" i="5"/>
  <c r="P248" i="5"/>
  <c r="P251" i="5"/>
  <c r="P252" i="5"/>
  <c r="P253" i="5"/>
  <c r="P254" i="5"/>
  <c r="P255" i="5"/>
  <c r="P256" i="5"/>
  <c r="P257" i="5"/>
  <c r="P258" i="5"/>
  <c r="P259" i="5"/>
  <c r="P261" i="5"/>
  <c r="P263" i="5"/>
  <c r="P265" i="5"/>
  <c r="P266" i="5"/>
  <c r="P267" i="5"/>
  <c r="P268" i="5"/>
  <c r="P269" i="5"/>
  <c r="P270" i="5"/>
  <c r="P271" i="5"/>
  <c r="P272" i="5"/>
  <c r="P275" i="5"/>
  <c r="P276" i="5"/>
  <c r="P277" i="5"/>
  <c r="P279" i="5"/>
  <c r="P281" i="5"/>
  <c r="P282" i="5"/>
  <c r="P284" i="5"/>
  <c r="P287" i="5"/>
  <c r="P288" i="5"/>
  <c r="P289" i="5"/>
  <c r="P292" i="5"/>
  <c r="P293" i="5"/>
  <c r="P294" i="5"/>
  <c r="P295" i="5"/>
  <c r="P297" i="5"/>
  <c r="P298" i="5"/>
  <c r="P299" i="5"/>
  <c r="P300" i="5"/>
  <c r="P301" i="5"/>
  <c r="P304" i="5"/>
  <c r="P307" i="5"/>
  <c r="P308" i="5"/>
  <c r="P311" i="5"/>
  <c r="P312" i="5"/>
  <c r="P313" i="5"/>
  <c r="P314" i="5"/>
  <c r="P318" i="5"/>
  <c r="P319" i="5"/>
  <c r="P321" i="5"/>
  <c r="P324" i="5"/>
  <c r="P326" i="5"/>
  <c r="P327" i="5"/>
  <c r="P332" i="5"/>
  <c r="P333" i="5"/>
  <c r="P334" i="5"/>
  <c r="P337" i="5"/>
  <c r="P338" i="5"/>
  <c r="P339" i="5"/>
  <c r="P341" i="5"/>
  <c r="P342" i="5"/>
  <c r="P343" i="5"/>
  <c r="P344" i="5"/>
  <c r="P345" i="5"/>
  <c r="P347" i="5"/>
  <c r="P348" i="5"/>
  <c r="P349" i="5"/>
  <c r="P350" i="5"/>
  <c r="P352" i="5"/>
  <c r="P354" i="5"/>
  <c r="P355" i="5"/>
  <c r="P357" i="5"/>
  <c r="P358" i="5"/>
  <c r="P359" i="5"/>
  <c r="P360" i="5"/>
  <c r="P361" i="5"/>
  <c r="P364" i="5"/>
  <c r="P366" i="5"/>
  <c r="P367" i="5"/>
  <c r="P368" i="5"/>
  <c r="P369" i="5"/>
  <c r="P370" i="5"/>
  <c r="P371" i="5"/>
  <c r="P373" i="5"/>
  <c r="P374" i="5"/>
  <c r="P375" i="5"/>
  <c r="P376" i="5"/>
  <c r="P377" i="5"/>
  <c r="P378" i="5"/>
  <c r="P379" i="5"/>
  <c r="P381" i="5"/>
  <c r="P382" i="5"/>
  <c r="P384" i="5"/>
  <c r="P385" i="5"/>
  <c r="P386" i="5"/>
  <c r="P388" i="5"/>
  <c r="P390" i="5"/>
  <c r="P392" i="5"/>
  <c r="P393" i="5"/>
  <c r="P396" i="5"/>
  <c r="P398" i="5"/>
  <c r="P399" i="5"/>
  <c r="P400" i="5"/>
  <c r="P402" i="5"/>
  <c r="P403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8" i="5"/>
  <c r="P420" i="5"/>
  <c r="P421" i="5"/>
  <c r="P422" i="5"/>
  <c r="P423" i="5"/>
  <c r="P424" i="5"/>
  <c r="P427" i="5"/>
  <c r="P428" i="5"/>
  <c r="P430" i="5"/>
  <c r="P434" i="5"/>
  <c r="P435" i="5"/>
  <c r="P436" i="5"/>
  <c r="P437" i="5"/>
  <c r="P438" i="5"/>
  <c r="P440" i="5"/>
  <c r="P441" i="5"/>
  <c r="P444" i="5"/>
  <c r="P445" i="5"/>
  <c r="P446" i="5"/>
  <c r="P447" i="5"/>
  <c r="P449" i="5"/>
  <c r="P451" i="5"/>
  <c r="P453" i="5"/>
  <c r="P454" i="5"/>
  <c r="P455" i="5"/>
  <c r="P458" i="5"/>
  <c r="P459" i="5"/>
  <c r="P460" i="5"/>
  <c r="P462" i="5"/>
  <c r="P465" i="5"/>
  <c r="P466" i="5"/>
  <c r="P467" i="5"/>
  <c r="P470" i="5"/>
  <c r="P471" i="5"/>
  <c r="P473" i="5"/>
  <c r="P474" i="5"/>
  <c r="P475" i="5"/>
  <c r="P477" i="5"/>
  <c r="P478" i="5"/>
  <c r="P479" i="5"/>
  <c r="P480" i="5"/>
  <c r="P481" i="5"/>
  <c r="P482" i="5"/>
  <c r="P483" i="5"/>
  <c r="P484" i="5"/>
  <c r="P485" i="5"/>
  <c r="P488" i="5"/>
  <c r="P491" i="5"/>
  <c r="P492" i="5"/>
  <c r="P493" i="5"/>
  <c r="P494" i="5"/>
  <c r="P495" i="5"/>
  <c r="P496" i="5"/>
  <c r="P497" i="5"/>
  <c r="P498" i="5"/>
  <c r="P501" i="5"/>
  <c r="P502" i="5"/>
  <c r="P503" i="5"/>
  <c r="P505" i="5"/>
  <c r="P506" i="5"/>
  <c r="P507" i="5"/>
  <c r="P508" i="5"/>
  <c r="P509" i="5"/>
  <c r="P513" i="5"/>
  <c r="P515" i="5"/>
  <c r="P516" i="5"/>
  <c r="P519" i="5"/>
  <c r="P520" i="5"/>
  <c r="P521" i="5"/>
  <c r="P522" i="5"/>
  <c r="P523" i="5"/>
  <c r="P524" i="5"/>
  <c r="P526" i="5"/>
  <c r="P527" i="5"/>
  <c r="P528" i="5"/>
  <c r="P529" i="5"/>
  <c r="P530" i="5"/>
  <c r="P531" i="5"/>
  <c r="P534" i="5"/>
  <c r="P535" i="5"/>
  <c r="P537" i="5"/>
  <c r="P538" i="5"/>
  <c r="P539" i="5"/>
  <c r="P540" i="5"/>
  <c r="P542" i="5"/>
  <c r="P545" i="5"/>
  <c r="P546" i="5"/>
  <c r="P547" i="5"/>
  <c r="P548" i="5"/>
  <c r="P549" i="5"/>
  <c r="P551" i="5"/>
  <c r="P552" i="5"/>
  <c r="P553" i="5"/>
  <c r="P554" i="5"/>
  <c r="P557" i="5"/>
  <c r="P558" i="5"/>
  <c r="P559" i="5"/>
  <c r="P560" i="5"/>
  <c r="P561" i="5"/>
  <c r="P562" i="5"/>
  <c r="P563" i="5"/>
  <c r="P567" i="5"/>
  <c r="P569" i="5"/>
  <c r="P570" i="5"/>
  <c r="P571" i="5"/>
  <c r="P572" i="5"/>
  <c r="P573" i="5"/>
  <c r="P574" i="5"/>
  <c r="P575" i="5"/>
  <c r="P576" i="5"/>
  <c r="P577" i="5"/>
  <c r="P580" i="5"/>
  <c r="P581" i="5"/>
  <c r="P582" i="5"/>
  <c r="P583" i="5"/>
  <c r="P584" i="5"/>
  <c r="P585" i="5"/>
  <c r="P587" i="5"/>
  <c r="P589" i="5"/>
  <c r="P590" i="5"/>
  <c r="P591" i="5"/>
  <c r="P592" i="5"/>
  <c r="P593" i="5"/>
  <c r="P594" i="5"/>
  <c r="P598" i="5"/>
  <c r="P599" i="5"/>
  <c r="P601" i="5"/>
  <c r="P603" i="5"/>
  <c r="P604" i="5"/>
  <c r="P605" i="5"/>
  <c r="P607" i="5"/>
  <c r="P608" i="5"/>
  <c r="P610" i="5"/>
  <c r="P611" i="5"/>
  <c r="P616" i="5"/>
  <c r="P617" i="5"/>
  <c r="P619" i="5"/>
  <c r="P620" i="5"/>
  <c r="P621" i="5"/>
  <c r="P622" i="5"/>
  <c r="P623" i="5"/>
  <c r="P624" i="5"/>
  <c r="P625" i="5"/>
  <c r="P626" i="5"/>
  <c r="P628" i="5"/>
  <c r="P630" i="5"/>
  <c r="P631" i="5"/>
  <c r="P632" i="5"/>
  <c r="P633" i="5"/>
  <c r="P636" i="5"/>
  <c r="P637" i="5"/>
  <c r="P639" i="5"/>
  <c r="P641" i="5"/>
  <c r="P642" i="5"/>
  <c r="P648" i="5"/>
  <c r="P649" i="5"/>
  <c r="P651" i="5"/>
  <c r="P652" i="5"/>
  <c r="P654" i="5"/>
  <c r="P655" i="5"/>
  <c r="P656" i="5"/>
  <c r="P659" i="5"/>
  <c r="P660" i="5"/>
  <c r="P661" i="5"/>
  <c r="P663" i="5"/>
  <c r="P664" i="5"/>
  <c r="P665" i="5"/>
  <c r="P667" i="5"/>
  <c r="P668" i="5"/>
  <c r="P671" i="5"/>
  <c r="P673" i="5"/>
  <c r="P675" i="5"/>
  <c r="P676" i="5"/>
  <c r="P679" i="5"/>
  <c r="P680" i="5"/>
  <c r="P681" i="5"/>
  <c r="P682" i="5"/>
  <c r="P684" i="5"/>
  <c r="P685" i="5"/>
  <c r="P689" i="5"/>
  <c r="P691" i="5"/>
  <c r="P692" i="5"/>
  <c r="P693" i="5"/>
  <c r="P694" i="5"/>
  <c r="P698" i="5"/>
  <c r="P699" i="5"/>
  <c r="P700" i="5"/>
  <c r="P702" i="5"/>
  <c r="P703" i="5"/>
  <c r="P705" i="5"/>
  <c r="P706" i="5"/>
  <c r="P710" i="5"/>
  <c r="P712" i="5"/>
  <c r="P713" i="5"/>
  <c r="P714" i="5"/>
  <c r="P715" i="5"/>
  <c r="P716" i="5"/>
  <c r="P718" i="5"/>
  <c r="P720" i="5"/>
  <c r="P721" i="5"/>
  <c r="P722" i="5"/>
  <c r="P724" i="5"/>
  <c r="P725" i="5"/>
  <c r="P730" i="5"/>
  <c r="P731" i="5"/>
  <c r="P732" i="5"/>
  <c r="P733" i="5"/>
  <c r="P734" i="5"/>
  <c r="P735" i="5"/>
  <c r="P736" i="5"/>
  <c r="P738" i="5"/>
  <c r="P740" i="5"/>
  <c r="P741" i="5"/>
  <c r="P743" i="5"/>
  <c r="P744" i="5"/>
  <c r="P745" i="5"/>
  <c r="P746" i="5"/>
  <c r="P748" i="5"/>
  <c r="P750" i="5"/>
  <c r="P751" i="5"/>
  <c r="P752" i="5"/>
  <c r="P753" i="5"/>
  <c r="P754" i="5"/>
  <c r="P755" i="5"/>
  <c r="P756" i="5"/>
  <c r="P758" i="5"/>
  <c r="P760" i="5"/>
  <c r="P763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8" i="5"/>
  <c r="P791" i="5"/>
  <c r="P792" i="5"/>
  <c r="P794" i="5"/>
  <c r="P795" i="5"/>
  <c r="P796" i="5"/>
  <c r="P798" i="5"/>
  <c r="P799" i="5"/>
  <c r="P801" i="5"/>
  <c r="P803" i="5"/>
  <c r="P804" i="5"/>
  <c r="P806" i="5"/>
  <c r="P807" i="5"/>
  <c r="P811" i="5"/>
  <c r="P815" i="5"/>
  <c r="P818" i="5"/>
  <c r="P822" i="5"/>
  <c r="P824" i="5"/>
  <c r="P825" i="5"/>
  <c r="P826" i="5"/>
  <c r="P828" i="5"/>
  <c r="P832" i="5"/>
  <c r="P834" i="5"/>
  <c r="P836" i="5"/>
  <c r="P839" i="5"/>
  <c r="P844" i="5"/>
  <c r="P845" i="5"/>
  <c r="P848" i="5"/>
  <c r="P850" i="5"/>
  <c r="P853" i="5"/>
  <c r="P854" i="5"/>
  <c r="P857" i="5"/>
  <c r="P858" i="5"/>
  <c r="P859" i="5"/>
  <c r="P862" i="5"/>
  <c r="P864" i="5"/>
  <c r="P866" i="5"/>
  <c r="P868" i="5"/>
  <c r="P870" i="5"/>
  <c r="P871" i="5"/>
  <c r="P873" i="5"/>
  <c r="P876" i="5"/>
  <c r="P878" i="5"/>
  <c r="P880" i="5"/>
  <c r="P883" i="5"/>
  <c r="P886" i="5"/>
  <c r="P887" i="5"/>
  <c r="P890" i="5"/>
  <c r="P894" i="5"/>
  <c r="P899" i="5"/>
  <c r="P900" i="5"/>
  <c r="P901" i="5"/>
  <c r="P903" i="5"/>
  <c r="P904" i="5"/>
  <c r="P905" i="5"/>
  <c r="P907" i="5"/>
  <c r="P908" i="5"/>
  <c r="P909" i="5"/>
  <c r="P910" i="5"/>
  <c r="P911" i="5"/>
  <c r="P913" i="5"/>
  <c r="P916" i="5"/>
  <c r="P918" i="5"/>
  <c r="P921" i="5"/>
  <c r="P922" i="5"/>
  <c r="P923" i="5"/>
  <c r="P926" i="5"/>
  <c r="P932" i="5"/>
  <c r="P934" i="5"/>
  <c r="P936" i="5"/>
  <c r="P937" i="5"/>
  <c r="P940" i="5"/>
  <c r="P941" i="5"/>
  <c r="P942" i="5"/>
  <c r="P944" i="5"/>
  <c r="P946" i="5"/>
  <c r="P952" i="5"/>
  <c r="P956" i="5"/>
  <c r="P961" i="5"/>
  <c r="P963" i="5"/>
  <c r="P965" i="5"/>
  <c r="P967" i="5"/>
  <c r="P970" i="5"/>
  <c r="P974" i="5"/>
  <c r="P976" i="5"/>
  <c r="P977" i="5"/>
  <c r="P978" i="5"/>
  <c r="P979" i="5"/>
  <c r="P982" i="5"/>
  <c r="P985" i="5"/>
  <c r="P989" i="5"/>
  <c r="P993" i="5"/>
  <c r="P994" i="5"/>
  <c r="P995" i="5"/>
  <c r="P998" i="5"/>
  <c r="P1001" i="5"/>
  <c r="P1003" i="5"/>
  <c r="P1004" i="5"/>
  <c r="P1005" i="5"/>
  <c r="P1008" i="5"/>
  <c r="P1009" i="5"/>
  <c r="P1010" i="5"/>
  <c r="P1012" i="5"/>
  <c r="P1013" i="5"/>
  <c r="P1014" i="5"/>
  <c r="P1033" i="5"/>
  <c r="P1034" i="5"/>
  <c r="P1035" i="5"/>
  <c r="P1037" i="5"/>
  <c r="P1040" i="5"/>
  <c r="P2" i="5"/>
  <c r="R204" i="3"/>
  <c r="R216" i="3"/>
  <c r="R236" i="3"/>
  <c r="R343" i="3"/>
  <c r="R224" i="3"/>
  <c r="R358" i="3"/>
  <c r="R292" i="3"/>
  <c r="R34" i="3"/>
  <c r="R160" i="3"/>
  <c r="R210" i="3"/>
  <c r="R250" i="3"/>
  <c r="R401" i="3"/>
  <c r="R370" i="3"/>
  <c r="R377" i="3"/>
  <c r="R359" i="3"/>
  <c r="R378" i="3"/>
  <c r="R376" i="3"/>
  <c r="R45" i="3"/>
  <c r="R260" i="3"/>
  <c r="R231" i="3"/>
  <c r="R383" i="3"/>
  <c r="R139" i="3"/>
  <c r="R285" i="3"/>
  <c r="R143" i="3"/>
  <c r="R108" i="3"/>
  <c r="R74" i="3"/>
  <c r="R266" i="3"/>
  <c r="R98" i="3"/>
  <c r="R252" i="3"/>
  <c r="R122" i="3"/>
  <c r="R47" i="3"/>
  <c r="R385" i="3"/>
  <c r="R44" i="3"/>
  <c r="R291" i="3"/>
  <c r="R142" i="3"/>
  <c r="R141" i="3"/>
  <c r="R379" i="3"/>
  <c r="R164" i="3"/>
  <c r="R155" i="3"/>
  <c r="R386" i="3"/>
  <c r="R374" i="3"/>
  <c r="R42" i="3"/>
  <c r="R190" i="3"/>
  <c r="R104" i="3"/>
  <c r="R310" i="3"/>
  <c r="R337" i="3"/>
  <c r="R364" i="3"/>
  <c r="R28" i="3"/>
  <c r="R88" i="3"/>
  <c r="R227" i="3"/>
  <c r="R238" i="3"/>
  <c r="R317" i="3"/>
  <c r="R14" i="3"/>
  <c r="R165" i="3"/>
  <c r="R371" i="3"/>
  <c r="R303" i="3"/>
  <c r="R241" i="3"/>
  <c r="R73" i="3"/>
  <c r="R393" i="3"/>
  <c r="R218" i="3"/>
  <c r="R193" i="3"/>
  <c r="R211" i="3"/>
  <c r="R304" i="3"/>
  <c r="R159" i="3"/>
  <c r="R173" i="3"/>
  <c r="R96" i="3"/>
  <c r="R72" i="3"/>
  <c r="R314" i="3"/>
  <c r="R219" i="3"/>
  <c r="R32" i="3"/>
  <c r="R127" i="3"/>
  <c r="R46" i="3"/>
  <c r="R15" i="3"/>
  <c r="R59" i="3"/>
  <c r="R281" i="3"/>
  <c r="R61" i="3"/>
  <c r="R248" i="3"/>
  <c r="R251" i="3"/>
  <c r="R202" i="3"/>
  <c r="R69" i="3"/>
  <c r="R326" i="3"/>
  <c r="R360" i="3"/>
  <c r="R287" i="3"/>
  <c r="R19" i="3"/>
  <c r="R362" i="3"/>
  <c r="R111" i="3"/>
  <c r="R200" i="3"/>
  <c r="R356" i="3"/>
  <c r="R126" i="3"/>
  <c r="R294" i="3"/>
  <c r="R97" i="3"/>
  <c r="R217" i="3"/>
  <c r="R182" i="3"/>
  <c r="R201" i="3"/>
  <c r="R240" i="3"/>
  <c r="R206" i="3"/>
  <c r="R229" i="3"/>
  <c r="R87" i="3"/>
  <c r="R404" i="3"/>
  <c r="R384" i="3"/>
  <c r="R253" i="3"/>
  <c r="R130" i="3"/>
  <c r="R153" i="3"/>
  <c r="R39" i="3"/>
  <c r="R120" i="3"/>
  <c r="R396" i="3"/>
  <c r="R373" i="3"/>
  <c r="R150" i="3"/>
  <c r="R112" i="3"/>
  <c r="R176" i="3"/>
  <c r="R68" i="3"/>
  <c r="R154" i="3"/>
  <c r="R346" i="3"/>
  <c r="R354" i="3"/>
  <c r="R171" i="3"/>
  <c r="R372" i="3"/>
  <c r="R223" i="3"/>
  <c r="R311" i="3"/>
  <c r="R94" i="3"/>
  <c r="R116" i="3"/>
  <c r="R117" i="3"/>
  <c r="R191" i="3"/>
  <c r="R330" i="3"/>
  <c r="R332" i="3"/>
  <c r="R54" i="3"/>
  <c r="R226" i="3"/>
  <c r="R298" i="3"/>
  <c r="R320" i="3"/>
  <c r="R151" i="3"/>
  <c r="R196" i="3"/>
  <c r="R80" i="3"/>
  <c r="R258" i="3"/>
  <c r="R328" i="3"/>
  <c r="R392" i="3"/>
  <c r="R246" i="3"/>
  <c r="R288" i="3"/>
  <c r="R163" i="3"/>
  <c r="R273" i="3"/>
  <c r="R71" i="3"/>
  <c r="R86" i="3"/>
  <c r="R85" i="3"/>
  <c r="R188" i="3"/>
  <c r="R352" i="3"/>
  <c r="R242" i="3"/>
  <c r="R221" i="3"/>
  <c r="R172" i="3"/>
  <c r="R249" i="3"/>
  <c r="R261" i="3"/>
  <c r="R299" i="3"/>
  <c r="R51" i="3"/>
  <c r="R397" i="3"/>
  <c r="R233" i="3"/>
  <c r="R308" i="3"/>
  <c r="R340" i="3"/>
  <c r="R166" i="3"/>
  <c r="R309" i="3"/>
  <c r="R267" i="3"/>
  <c r="R319" i="3"/>
  <c r="R205" i="3"/>
  <c r="R146" i="3"/>
  <c r="R198" i="3"/>
  <c r="R110" i="3"/>
  <c r="R103" i="3"/>
  <c r="R243" i="3"/>
  <c r="R256" i="3"/>
  <c r="R331" i="3"/>
  <c r="R84" i="3"/>
  <c r="R156" i="3"/>
  <c r="R36" i="3"/>
  <c r="R83" i="3"/>
  <c r="R144" i="3"/>
  <c r="R134" i="3"/>
  <c r="R345" i="3"/>
  <c r="R192" i="3"/>
  <c r="R92" i="3"/>
  <c r="R91" i="3"/>
  <c r="R93" i="3"/>
  <c r="R375" i="3"/>
  <c r="R327" i="3"/>
  <c r="R357" i="3"/>
  <c r="R102" i="3"/>
  <c r="R338" i="3"/>
  <c r="R315" i="3"/>
  <c r="R214" i="3"/>
  <c r="R302" i="3"/>
  <c r="R220" i="3"/>
  <c r="R186" i="3"/>
  <c r="R265" i="3"/>
  <c r="R17" i="3"/>
  <c r="R157" i="3"/>
  <c r="R168" i="3"/>
  <c r="R25" i="3"/>
  <c r="R106" i="3"/>
  <c r="R349" i="3"/>
  <c r="R52" i="3"/>
  <c r="R75" i="3"/>
  <c r="R300" i="3"/>
  <c r="R195" i="3"/>
  <c r="R12" i="3"/>
  <c r="R11" i="3"/>
  <c r="R329" i="3"/>
  <c r="R336" i="3"/>
  <c r="R209" i="3"/>
  <c r="R307" i="3"/>
  <c r="R341" i="3"/>
  <c r="R235" i="3"/>
  <c r="R344" i="3"/>
  <c r="R402" i="3"/>
  <c r="R279" i="3"/>
  <c r="R361" i="3"/>
  <c r="R162" i="3"/>
  <c r="R183" i="3"/>
  <c r="R124" i="3"/>
  <c r="R7" i="3"/>
  <c r="R382" i="3"/>
  <c r="R390" i="3"/>
  <c r="R244" i="3"/>
  <c r="R333" i="3"/>
  <c r="R9" i="3"/>
  <c r="R367" i="3"/>
  <c r="R147" i="3"/>
  <c r="R322" i="3"/>
  <c r="R24" i="3"/>
  <c r="R286" i="3"/>
  <c r="R321" i="3"/>
  <c r="R350" i="3"/>
  <c r="R140" i="3"/>
  <c r="R43" i="3"/>
  <c r="R6" i="3"/>
  <c r="R351" i="3"/>
  <c r="R60" i="3"/>
  <c r="R132" i="3"/>
  <c r="R123" i="3"/>
  <c r="R403" i="3"/>
  <c r="R255" i="3"/>
  <c r="R78" i="3"/>
  <c r="R301" i="3"/>
  <c r="R394" i="3"/>
  <c r="R119" i="3"/>
  <c r="R365" i="3"/>
  <c r="R89" i="3"/>
  <c r="R38" i="3"/>
  <c r="R145" i="3"/>
  <c r="R318" i="3"/>
  <c r="R115" i="3"/>
  <c r="R228" i="3"/>
  <c r="R369" i="3"/>
  <c r="R99" i="3"/>
  <c r="R20" i="3"/>
  <c r="R215" i="3"/>
  <c r="R138" i="3"/>
  <c r="R179" i="3"/>
  <c r="R18" i="3"/>
  <c r="R149" i="3"/>
  <c r="R280" i="3"/>
  <c r="R31" i="3"/>
  <c r="R239" i="3"/>
  <c r="R305" i="3"/>
  <c r="R21" i="3"/>
  <c r="R63" i="3"/>
  <c r="R90" i="3"/>
  <c r="R95" i="3"/>
  <c r="R4" i="3"/>
  <c r="R296" i="3"/>
  <c r="R230" i="3"/>
  <c r="R293" i="3"/>
  <c r="R22" i="3"/>
  <c r="R5" i="3"/>
  <c r="R313" i="3"/>
  <c r="R55" i="3"/>
  <c r="R312" i="3"/>
  <c r="R118" i="3"/>
  <c r="R170" i="3"/>
  <c r="R180" i="3"/>
  <c r="R194" i="3"/>
  <c r="R389" i="3"/>
  <c r="R270" i="3"/>
  <c r="R152" i="3"/>
  <c r="R53" i="3"/>
  <c r="R395" i="3"/>
  <c r="R325" i="3"/>
  <c r="R254" i="3"/>
  <c r="R169" i="3"/>
  <c r="R161" i="3"/>
  <c r="R58" i="3"/>
  <c r="R391" i="3"/>
  <c r="R100" i="3"/>
  <c r="R339" i="3"/>
  <c r="R67" i="3"/>
  <c r="R174" i="3"/>
  <c r="R353" i="3"/>
  <c r="R245" i="3"/>
  <c r="R175" i="3"/>
  <c r="R23" i="3"/>
  <c r="R181" i="3"/>
  <c r="R62" i="3"/>
  <c r="R105" i="3"/>
  <c r="R278" i="3"/>
  <c r="R128" i="3"/>
  <c r="R113" i="3"/>
  <c r="R185" i="3"/>
  <c r="R388" i="3"/>
  <c r="R247" i="3"/>
  <c r="R30" i="3"/>
  <c r="R81" i="3"/>
  <c r="R82" i="3"/>
  <c r="R234" i="3"/>
  <c r="R257" i="3"/>
  <c r="R137" i="3"/>
  <c r="R184" i="3"/>
  <c r="R64" i="3"/>
  <c r="R65" i="3"/>
  <c r="R135" i="3"/>
  <c r="R399" i="3"/>
  <c r="R158" i="3"/>
  <c r="R237" i="3"/>
  <c r="R323" i="3"/>
  <c r="R101" i="3"/>
  <c r="R368" i="3"/>
  <c r="R2" i="3"/>
  <c r="R40" i="3"/>
  <c r="R148" i="3"/>
  <c r="R3" i="3"/>
  <c r="R13" i="3"/>
  <c r="R70" i="3"/>
  <c r="R334" i="3"/>
  <c r="R76" i="3"/>
  <c r="R16" i="3"/>
  <c r="R213" i="3"/>
  <c r="R212" i="3"/>
  <c r="R225" i="3"/>
  <c r="R269" i="3"/>
  <c r="R276" i="3"/>
  <c r="R33" i="3"/>
  <c r="R283" i="3"/>
  <c r="R363" i="3"/>
  <c r="R387" i="3"/>
  <c r="R77" i="3"/>
  <c r="R178" i="3"/>
  <c r="R355" i="3"/>
  <c r="R8" i="3"/>
  <c r="R264" i="3"/>
  <c r="R41" i="3"/>
  <c r="R66" i="3"/>
  <c r="R10" i="3"/>
  <c r="R187" i="3"/>
  <c r="R26" i="3"/>
  <c r="R271" i="3"/>
  <c r="R262" i="3"/>
  <c r="R316" i="3"/>
  <c r="R295" i="3"/>
  <c r="R125" i="3"/>
  <c r="R366" i="3"/>
  <c r="R324" i="3"/>
  <c r="R222" i="3"/>
  <c r="R275" i="3"/>
  <c r="R398" i="3"/>
  <c r="R289" i="3"/>
  <c r="R203" i="3"/>
  <c r="R199" i="3"/>
  <c r="R277" i="3"/>
  <c r="R131" i="3"/>
  <c r="R381" i="3"/>
  <c r="R107" i="3"/>
  <c r="R400" i="3"/>
  <c r="R167" i="3"/>
  <c r="R197" i="3"/>
  <c r="R189" i="3"/>
  <c r="R335" i="3"/>
  <c r="R380" i="3"/>
  <c r="R57" i="3"/>
  <c r="R29" i="3"/>
  <c r="R37" i="3"/>
  <c r="R49" i="3"/>
  <c r="R48" i="3"/>
  <c r="R50" i="3"/>
  <c r="R129" i="3"/>
  <c r="R290" i="3"/>
  <c r="R27" i="3"/>
  <c r="R136" i="3"/>
  <c r="R114" i="3"/>
  <c r="R109" i="3"/>
  <c r="R306" i="3"/>
  <c r="R121" i="3"/>
  <c r="R259" i="3"/>
  <c r="R272" i="3"/>
  <c r="R268" i="3"/>
  <c r="R133" i="3"/>
  <c r="R274" i="3"/>
  <c r="R56" i="3"/>
  <c r="R79" i="3"/>
  <c r="R342" i="3"/>
  <c r="R282" i="3"/>
  <c r="R35" i="3"/>
  <c r="R232" i="3"/>
  <c r="R207" i="3"/>
  <c r="R177" i="3"/>
  <c r="R208" i="3"/>
  <c r="R284" i="3"/>
  <c r="R347" i="3"/>
  <c r="R348" i="3"/>
  <c r="R263" i="3"/>
  <c r="R297" i="3"/>
  <c r="T548" i="1"/>
  <c r="T364" i="1"/>
  <c r="T386" i="1"/>
  <c r="T747" i="1"/>
  <c r="T385" i="1"/>
  <c r="T422" i="1"/>
  <c r="T421" i="1"/>
  <c r="T397" i="1"/>
  <c r="T663" i="1"/>
  <c r="T664" i="1"/>
  <c r="T691" i="1"/>
  <c r="T539" i="1"/>
  <c r="T538" i="1"/>
  <c r="T57" i="1"/>
  <c r="T278" i="1"/>
  <c r="T433" i="1"/>
  <c r="T375" i="1"/>
  <c r="T447" i="1"/>
  <c r="T805" i="1"/>
  <c r="T727" i="1"/>
  <c r="T745" i="1"/>
  <c r="T696" i="1"/>
  <c r="T814" i="1"/>
  <c r="T743" i="1"/>
  <c r="T655" i="1"/>
  <c r="T744" i="1"/>
  <c r="T695" i="1"/>
  <c r="T748" i="1"/>
  <c r="T742" i="1"/>
  <c r="T749" i="1"/>
  <c r="T73" i="1"/>
  <c r="T471" i="1"/>
  <c r="T472" i="1"/>
  <c r="T611" i="1"/>
  <c r="T412" i="1"/>
  <c r="T762" i="1"/>
  <c r="T800" i="1"/>
  <c r="T236" i="1"/>
  <c r="T237" i="1"/>
  <c r="T526" i="1"/>
  <c r="T527" i="1"/>
  <c r="T245" i="1"/>
  <c r="T462" i="1"/>
  <c r="T463" i="1"/>
  <c r="T244" i="1"/>
  <c r="T127" i="1"/>
  <c r="T180" i="1"/>
  <c r="T128" i="1"/>
  <c r="T482" i="1"/>
  <c r="T509" i="1"/>
  <c r="T508" i="1"/>
  <c r="T164" i="1"/>
  <c r="T450" i="1"/>
  <c r="T205" i="1"/>
  <c r="T204" i="1"/>
  <c r="T203" i="1"/>
  <c r="T85" i="1"/>
  <c r="T765" i="1"/>
  <c r="T766" i="1"/>
  <c r="T767" i="1"/>
  <c r="T13" i="1"/>
  <c r="T71" i="1"/>
  <c r="T485" i="1"/>
  <c r="T486" i="1"/>
  <c r="T483" i="1"/>
  <c r="T484" i="1"/>
  <c r="T537" i="1"/>
  <c r="T256" i="1"/>
  <c r="T243" i="1"/>
  <c r="T242" i="1"/>
  <c r="T241" i="1"/>
  <c r="T751" i="1"/>
  <c r="T728" i="1"/>
  <c r="T286" i="1"/>
  <c r="T271" i="1"/>
  <c r="T788" i="1"/>
  <c r="T768" i="1"/>
  <c r="T740" i="1"/>
  <c r="T739" i="1"/>
  <c r="T69" i="1"/>
  <c r="T338" i="1"/>
  <c r="T173" i="1"/>
  <c r="T174" i="1"/>
  <c r="T578" i="1"/>
  <c r="T645" i="1"/>
  <c r="T646" i="1"/>
  <c r="T644" i="1"/>
  <c r="T709" i="1"/>
  <c r="T44" i="1"/>
  <c r="T148" i="1"/>
  <c r="T403" i="1"/>
  <c r="T404" i="1"/>
  <c r="T425" i="1"/>
  <c r="T600" i="1"/>
  <c r="T90" i="1"/>
  <c r="T713" i="1"/>
  <c r="T28" i="1"/>
  <c r="T289" i="1"/>
  <c r="T288" i="1"/>
  <c r="T732" i="1"/>
  <c r="T731" i="1"/>
  <c r="T560" i="1"/>
  <c r="T550" i="1"/>
  <c r="T430" i="1"/>
  <c r="T431" i="1"/>
  <c r="T809" i="1"/>
  <c r="T126" i="1"/>
  <c r="T125" i="1"/>
  <c r="T784" i="1"/>
  <c r="T388" i="1"/>
  <c r="T785" i="1"/>
  <c r="T389" i="1"/>
  <c r="T772" i="1"/>
  <c r="T283" i="1"/>
  <c r="T253" i="1"/>
  <c r="T343" i="1"/>
  <c r="T344" i="1"/>
  <c r="T376" i="1"/>
  <c r="T377" i="1"/>
  <c r="T562" i="1"/>
  <c r="T563" i="1"/>
  <c r="T277" i="1"/>
  <c r="T350" i="1"/>
  <c r="T349" i="1"/>
  <c r="T305" i="1"/>
  <c r="T304" i="1"/>
  <c r="T160" i="1"/>
  <c r="T159" i="1"/>
  <c r="T124" i="1"/>
  <c r="T632" i="1"/>
  <c r="T588" i="1"/>
  <c r="T587" i="1"/>
  <c r="T591" i="1"/>
  <c r="T593" i="1"/>
  <c r="T592" i="1"/>
  <c r="T594" i="1"/>
  <c r="T590" i="1"/>
  <c r="T589" i="1"/>
  <c r="T390" i="1"/>
  <c r="T53" i="1"/>
  <c r="T77" i="1"/>
  <c r="T47" i="1"/>
  <c r="T29" i="1"/>
  <c r="T41" i="1"/>
  <c r="T104" i="1"/>
  <c r="T102" i="1"/>
  <c r="T81" i="1"/>
  <c r="T79" i="1"/>
  <c r="T216" i="1"/>
  <c r="T812" i="1"/>
  <c r="T517" i="1"/>
  <c r="T518" i="1"/>
  <c r="T66" i="1"/>
  <c r="T55" i="1"/>
  <c r="T107" i="1"/>
  <c r="T106" i="1"/>
  <c r="T442" i="1"/>
  <c r="T449" i="1"/>
  <c r="T448" i="1"/>
  <c r="T361" i="1"/>
  <c r="T470" i="1"/>
  <c r="T120" i="1"/>
  <c r="T624" i="1"/>
  <c r="T625" i="1"/>
  <c r="T700" i="1"/>
  <c r="T699" i="1"/>
  <c r="T531" i="1"/>
  <c r="T532" i="1"/>
  <c r="T346" i="1"/>
  <c r="T33" i="1"/>
  <c r="T161" i="1"/>
  <c r="T78" i="1"/>
  <c r="T693" i="1"/>
  <c r="T183" i="1"/>
  <c r="T359" i="1"/>
  <c r="T686" i="1"/>
  <c r="T687" i="1"/>
  <c r="T213" i="1"/>
  <c r="T214" i="1"/>
  <c r="T212" i="1"/>
  <c r="T541" i="1"/>
  <c r="T163" i="1"/>
  <c r="T162" i="1"/>
  <c r="T387" i="1"/>
  <c r="T324" i="1"/>
  <c r="T325" i="1"/>
  <c r="T360" i="1"/>
  <c r="T366" i="1"/>
  <c r="T428" i="1"/>
  <c r="T429" i="1"/>
  <c r="T367" i="1"/>
  <c r="T409" i="1"/>
  <c r="T408" i="1"/>
  <c r="T147" i="1"/>
  <c r="T815" i="1"/>
  <c r="T564" i="1"/>
  <c r="T764" i="1"/>
  <c r="T763" i="1"/>
  <c r="T451" i="1"/>
  <c r="T452" i="1"/>
  <c r="T549" i="1"/>
  <c r="T267" i="1"/>
  <c r="T221" i="1"/>
  <c r="T268" i="1"/>
  <c r="T64" i="1"/>
  <c r="T199" i="1"/>
  <c r="T793" i="1"/>
  <c r="T792" i="1"/>
  <c r="T200" i="1"/>
  <c r="T515" i="1"/>
  <c r="T738" i="1"/>
  <c r="T737" i="1"/>
  <c r="T263" i="1"/>
  <c r="T184" i="1"/>
  <c r="T351" i="1"/>
  <c r="T405" i="1"/>
  <c r="T119" i="1"/>
  <c r="T312" i="1"/>
  <c r="T118" i="1"/>
  <c r="T117" i="1"/>
  <c r="T702" i="1"/>
  <c r="T269" i="1"/>
  <c r="T270" i="1"/>
  <c r="T672" i="1"/>
  <c r="T285" i="1"/>
  <c r="T287" i="1"/>
  <c r="T683" i="1"/>
  <c r="T300" i="1"/>
  <c r="T301" i="1"/>
  <c r="T396" i="1"/>
  <c r="T736" i="1"/>
  <c r="T733" i="1"/>
  <c r="T395" i="1"/>
  <c r="T496" i="1"/>
  <c r="T735" i="1"/>
  <c r="T579" i="1"/>
  <c r="T156" i="1"/>
  <c r="T194" i="1"/>
  <c r="T193" i="1"/>
  <c r="T195" i="1"/>
  <c r="T446" i="1"/>
  <c r="T196" i="1"/>
  <c r="T339" i="1"/>
  <c r="T631" i="1"/>
  <c r="T701" i="1"/>
  <c r="T97" i="1"/>
  <c r="T401" i="1"/>
  <c r="T400" i="1"/>
  <c r="T552" i="1"/>
  <c r="T553" i="1"/>
  <c r="T607" i="1"/>
  <c r="T606" i="1"/>
  <c r="T608" i="1"/>
  <c r="T264" i="1"/>
  <c r="T698" i="1"/>
  <c r="T136" i="1"/>
  <c r="T461" i="1"/>
  <c r="T678" i="1"/>
  <c r="T627" i="1"/>
  <c r="T628" i="1"/>
  <c r="T782" i="1"/>
  <c r="T438" i="1"/>
  <c r="T437" i="1"/>
  <c r="T533" i="1"/>
  <c r="T773" i="1"/>
  <c r="T487" i="1"/>
  <c r="T284" i="1"/>
  <c r="T488" i="1"/>
  <c r="T568" i="1"/>
  <c r="T504" i="1"/>
  <c r="T503" i="1"/>
  <c r="T502" i="1"/>
  <c r="T123" i="1"/>
  <c r="T146" i="1"/>
  <c r="T145" i="1"/>
  <c r="T335" i="1"/>
  <c r="T336" i="1"/>
  <c r="T262" i="1"/>
  <c r="T680" i="1"/>
  <c r="T681" i="1"/>
  <c r="T807" i="1"/>
  <c r="T393" i="1"/>
  <c r="T474" i="1"/>
  <c r="T795" i="1"/>
  <c r="T444" i="1"/>
  <c r="T303" i="1"/>
  <c r="T302" i="1"/>
  <c r="T445" i="1"/>
  <c r="T475" i="1"/>
  <c r="T615" i="1"/>
  <c r="T551" i="1"/>
  <c r="T93" i="1"/>
  <c r="T794" i="1"/>
  <c r="T414" i="1"/>
  <c r="T571" i="1"/>
  <c r="T570" i="1"/>
  <c r="T650" i="1"/>
  <c r="T651" i="1"/>
  <c r="T436" i="1"/>
  <c r="T759" i="1"/>
  <c r="T519" i="1"/>
  <c r="T427" i="1"/>
  <c r="T613" i="1"/>
  <c r="T432" i="1"/>
  <c r="T291" i="1"/>
  <c r="T576" i="1"/>
  <c r="T577" i="1"/>
  <c r="T489" i="1"/>
  <c r="T490" i="1"/>
  <c r="T605" i="1"/>
  <c r="T604" i="1"/>
  <c r="T365" i="1"/>
  <c r="T87" i="1"/>
  <c r="T92" i="1"/>
  <c r="T246" i="1"/>
  <c r="T355" i="1"/>
  <c r="T554" i="1"/>
  <c r="T354" i="1"/>
  <c r="T191" i="1"/>
  <c r="T182" i="1"/>
  <c r="T172" i="1"/>
  <c r="T435" i="1"/>
  <c r="T434" i="1"/>
  <c r="T458" i="1"/>
  <c r="T456" i="1"/>
  <c r="T457" i="1"/>
  <c r="T190" i="1"/>
  <c r="T750" i="1"/>
  <c r="T187" i="1"/>
  <c r="T189" i="1"/>
  <c r="T633" i="1"/>
  <c r="T704" i="1"/>
  <c r="T143" i="1"/>
  <c r="T273" i="1"/>
  <c r="T61" i="1"/>
  <c r="T144" i="1"/>
  <c r="T142" i="1"/>
  <c r="T272" i="1"/>
  <c r="T141" i="1"/>
  <c r="T249" i="1"/>
  <c r="T248" i="1"/>
  <c r="T250" i="1"/>
  <c r="T227" i="1"/>
  <c r="T228" i="1"/>
  <c r="T670" i="1"/>
  <c r="T340" i="1"/>
  <c r="T341" i="1"/>
  <c r="T652" i="1"/>
  <c r="T153" i="1"/>
  <c r="T152" i="1"/>
  <c r="T154" i="1"/>
  <c r="T155" i="1"/>
  <c r="T741" i="1"/>
  <c r="T626" i="1"/>
  <c r="T778" i="1"/>
  <c r="T690" i="1"/>
  <c r="T171" i="1"/>
  <c r="T170" i="1"/>
  <c r="T647" i="1"/>
  <c r="T597" i="1"/>
  <c r="T595" i="1"/>
  <c r="T596" i="1"/>
  <c r="T382" i="1"/>
  <c r="T544" i="1"/>
  <c r="T545" i="1"/>
  <c r="T392" i="1"/>
  <c r="T391" i="1"/>
  <c r="T329" i="1"/>
  <c r="T479" i="1"/>
  <c r="T31" i="1"/>
  <c r="T259" i="1"/>
  <c r="T726" i="1"/>
  <c r="T614" i="1"/>
  <c r="T274" i="1"/>
  <c r="T295" i="1"/>
  <c r="T40" i="1"/>
  <c r="T67" i="1"/>
  <c r="T80" i="1"/>
  <c r="T178" i="1"/>
  <c r="T177" i="1"/>
  <c r="T677" i="1"/>
  <c r="T95" i="1"/>
  <c r="T129" i="1"/>
  <c r="T556" i="1"/>
  <c r="T555" i="1"/>
  <c r="T658" i="1"/>
  <c r="T348" i="1"/>
  <c r="T473" i="1"/>
  <c r="T347" i="1"/>
  <c r="T24" i="1"/>
  <c r="T23" i="1"/>
  <c r="T74" i="1"/>
  <c r="T629" i="1"/>
  <c r="T630" i="1"/>
  <c r="T372" i="1"/>
  <c r="T640" i="1"/>
  <c r="T306" i="1"/>
  <c r="T641" i="1"/>
  <c r="T373" i="1"/>
  <c r="T374" i="1"/>
  <c r="T569" i="1"/>
  <c r="T660" i="1"/>
  <c r="T659" i="1"/>
  <c r="T420" i="1"/>
  <c r="T419" i="1"/>
  <c r="T418" i="1"/>
  <c r="T665" i="1"/>
  <c r="T666" i="1"/>
  <c r="T808" i="1"/>
  <c r="T514" i="1"/>
  <c r="T282" i="1"/>
  <c r="T692" i="1"/>
  <c r="T724" i="1"/>
  <c r="T281" i="1"/>
  <c r="T725" i="1"/>
  <c r="T734" i="1"/>
  <c r="T326" i="1"/>
  <c r="T441" i="1"/>
  <c r="T208" i="1"/>
  <c r="T14" i="1"/>
  <c r="T755" i="1"/>
  <c r="T756" i="1"/>
  <c r="T777" i="1"/>
  <c r="T776" i="1"/>
  <c r="T17" i="1"/>
  <c r="T45" i="1"/>
  <c r="T636" i="1"/>
  <c r="T635" i="1"/>
  <c r="T18" i="1"/>
  <c r="T717" i="1"/>
  <c r="T716" i="1"/>
  <c r="T255" i="1"/>
  <c r="T254" i="1"/>
  <c r="T617" i="1"/>
  <c r="T616" i="1"/>
  <c r="T610" i="1"/>
  <c r="T39" i="1"/>
  <c r="T528" i="1"/>
  <c r="T529" i="1"/>
  <c r="T609" i="1"/>
  <c r="T333" i="1"/>
  <c r="T679" i="1"/>
  <c r="T239" i="1"/>
  <c r="T70" i="1"/>
  <c r="T19" i="1"/>
  <c r="T7" i="1"/>
  <c r="T634" i="1"/>
  <c r="T105" i="1"/>
  <c r="T224" i="1"/>
  <c r="T206" i="1"/>
  <c r="T207" i="1"/>
  <c r="T811" i="1"/>
  <c r="T810" i="1"/>
  <c r="T455" i="1"/>
  <c r="T454" i="1"/>
  <c r="T558" i="1"/>
  <c r="T132" i="1"/>
  <c r="T559" i="1"/>
  <c r="T557" i="1"/>
  <c r="T133" i="1"/>
  <c r="T786" i="1"/>
  <c r="T787" i="1"/>
  <c r="T198" i="1"/>
  <c r="T711" i="1"/>
  <c r="T710" i="1"/>
  <c r="T149" i="1"/>
  <c r="T83" i="1"/>
  <c r="T63" i="1"/>
  <c r="T252" i="1"/>
  <c r="T723" i="1"/>
  <c r="T796" i="1"/>
  <c r="T251" i="1"/>
  <c r="T581" i="1"/>
  <c r="T602" i="1"/>
  <c r="T192" i="1"/>
  <c r="T406" i="1"/>
  <c r="T722" i="1"/>
  <c r="T789" i="1"/>
  <c r="T783" i="1"/>
  <c r="T166" i="1"/>
  <c r="T165" i="1"/>
  <c r="T34" i="1"/>
  <c r="T76" i="1"/>
  <c r="T11" i="1"/>
  <c r="T384" i="1"/>
  <c r="T235" i="1"/>
  <c r="T383" i="1"/>
  <c r="T478" i="1"/>
  <c r="T317" i="1"/>
  <c r="T318" i="1"/>
  <c r="T32" i="1"/>
  <c r="T60" i="1"/>
  <c r="T261" i="1"/>
  <c r="T260" i="1"/>
  <c r="T516" i="1"/>
  <c r="T52" i="1"/>
  <c r="T708" i="1"/>
  <c r="T426" i="1"/>
  <c r="T565" i="1"/>
  <c r="T15" i="1"/>
  <c r="T35" i="1"/>
  <c r="T110" i="1"/>
  <c r="T238" i="1"/>
  <c r="T151" i="1"/>
  <c r="T158" i="1"/>
  <c r="T150" i="1"/>
  <c r="T157" i="1"/>
  <c r="T3" i="1"/>
  <c r="T546" i="1"/>
  <c r="T411" i="1"/>
  <c r="T410" i="1"/>
  <c r="T540" i="1"/>
  <c r="T20" i="1"/>
  <c r="T75" i="1"/>
  <c r="T37" i="1"/>
  <c r="T6" i="1"/>
  <c r="T585" i="1"/>
  <c r="T586" i="1"/>
  <c r="T99" i="1"/>
  <c r="T582" i="1"/>
  <c r="T584" i="1"/>
  <c r="T197" i="1"/>
  <c r="T299" i="1"/>
  <c r="T298" i="1"/>
  <c r="T320" i="1"/>
  <c r="T775" i="1"/>
  <c r="T345" i="1"/>
  <c r="T774" i="1"/>
  <c r="T498" i="1"/>
  <c r="T656" i="1"/>
  <c r="T497" i="1"/>
  <c r="T265" i="1"/>
  <c r="T266" i="1"/>
  <c r="T12" i="1"/>
  <c r="T96" i="1"/>
  <c r="T791" i="1"/>
  <c r="T790" i="1"/>
  <c r="T623" i="1"/>
  <c r="T622" i="1"/>
  <c r="T453" i="1"/>
  <c r="T297" i="1"/>
  <c r="T296" i="1"/>
  <c r="T612" i="1"/>
  <c r="T542" i="1"/>
  <c r="T279" i="1"/>
  <c r="T443" i="1"/>
  <c r="T280" i="1"/>
  <c r="T103" i="1"/>
  <c r="T779" i="1"/>
  <c r="T780" i="1"/>
  <c r="T781" i="1"/>
  <c r="T167" i="1"/>
  <c r="T648" i="1"/>
  <c r="T649" i="1"/>
  <c r="T116" i="1"/>
  <c r="T115" i="1"/>
  <c r="T307" i="1"/>
  <c r="T308" i="1"/>
  <c r="T682" i="1"/>
  <c r="T51" i="1"/>
  <c r="T309" i="1"/>
  <c r="T310" i="1"/>
  <c r="T38" i="1"/>
  <c r="T770" i="1"/>
  <c r="T322" i="1"/>
  <c r="T323" i="1"/>
  <c r="T321" i="1"/>
  <c r="T108" i="1"/>
  <c r="T109" i="1"/>
  <c r="T176" i="1"/>
  <c r="T667" i="1"/>
  <c r="T668" i="1"/>
  <c r="T688" i="1"/>
  <c r="T689" i="1"/>
  <c r="T561" i="1"/>
  <c r="T175" i="1"/>
  <c r="T513" i="1"/>
  <c r="T512" i="1"/>
  <c r="T218" i="1"/>
  <c r="T185" i="1"/>
  <c r="T718" i="1"/>
  <c r="T328" i="1"/>
  <c r="T186" i="1"/>
  <c r="T371" i="1"/>
  <c r="T417" i="1"/>
  <c r="T771" i="1"/>
  <c r="T440" i="1"/>
  <c r="T439" i="1"/>
  <c r="T48" i="1"/>
  <c r="T137" i="1"/>
  <c r="T138" i="1"/>
  <c r="T674" i="1"/>
  <c r="T653" i="1"/>
  <c r="T240" i="1"/>
  <c r="T50" i="1"/>
  <c r="T416" i="1"/>
  <c r="T415" i="1"/>
  <c r="T22" i="1"/>
  <c r="T460" i="1"/>
  <c r="T459" i="1"/>
  <c r="T643" i="1"/>
  <c r="T234" i="1"/>
  <c r="T233" i="1"/>
  <c r="T327" i="1"/>
  <c r="T111" i="1"/>
  <c r="T113" i="1"/>
  <c r="T112" i="1"/>
  <c r="T89" i="1"/>
  <c r="T229" i="1"/>
  <c r="T801" i="1"/>
  <c r="T230" i="1"/>
  <c r="T802" i="1"/>
  <c r="T813" i="1"/>
  <c r="T275" i="1"/>
  <c r="T423" i="1"/>
  <c r="T618" i="1"/>
  <c r="T424" i="1"/>
  <c r="T169" i="1"/>
  <c r="T168" i="1"/>
  <c r="T757" i="1"/>
  <c r="T746" i="1"/>
  <c r="T758" i="1"/>
  <c r="T720" i="1"/>
  <c r="T721" i="1"/>
  <c r="T719" i="1"/>
  <c r="T65" i="1"/>
  <c r="T495" i="1"/>
  <c r="T311" i="1"/>
  <c r="T10" i="1"/>
  <c r="T407" i="1"/>
  <c r="T2" i="1"/>
  <c r="T330" i="1"/>
  <c r="T121" i="1"/>
  <c r="T258" i="1"/>
  <c r="T140" i="1"/>
  <c r="T25" i="1"/>
  <c r="T122" i="1"/>
  <c r="T378" i="1"/>
  <c r="T5" i="1"/>
  <c r="T466" i="1"/>
  <c r="T637" i="1"/>
  <c r="T467" i="1"/>
  <c r="T319" i="1"/>
  <c r="T380" i="1"/>
  <c r="T534" i="1"/>
  <c r="T705" i="1"/>
  <c r="T694" i="1"/>
  <c r="T657" i="1"/>
  <c r="T139" i="1"/>
  <c r="T94" i="1"/>
  <c r="T215" i="1"/>
  <c r="T4" i="1"/>
  <c r="T398" i="1"/>
  <c r="T603" i="1"/>
  <c r="T130" i="1"/>
  <c r="T30" i="1"/>
  <c r="T381" i="1"/>
  <c r="T49" i="1"/>
  <c r="T379" i="1"/>
  <c r="T402" i="1"/>
  <c r="T84" i="1"/>
  <c r="T334" i="1"/>
  <c r="T399" i="1"/>
  <c r="T806" i="1"/>
  <c r="T276" i="1"/>
  <c r="T493" i="1"/>
  <c r="T803" i="1"/>
  <c r="T91" i="1"/>
  <c r="T9" i="1"/>
  <c r="T465" i="1"/>
  <c r="T54" i="1"/>
  <c r="T257" i="1"/>
  <c r="T530" i="1"/>
  <c r="T494" i="1"/>
  <c r="T56" i="1"/>
  <c r="T583" i="1"/>
  <c r="T98" i="1"/>
  <c r="T36" i="1"/>
  <c r="T523" i="1"/>
  <c r="T522" i="1"/>
  <c r="T703" i="1"/>
  <c r="T769" i="1"/>
  <c r="T131" i="1"/>
  <c r="T315" i="1"/>
  <c r="T712" i="1"/>
  <c r="T316" i="1"/>
  <c r="T684" i="1"/>
  <c r="T685" i="1"/>
  <c r="T27" i="1"/>
  <c r="T16" i="1"/>
  <c r="T464" i="1"/>
  <c r="T480" i="1"/>
  <c r="T68" i="1"/>
  <c r="T574" i="1"/>
  <c r="T8" i="1"/>
  <c r="T59" i="1"/>
  <c r="T114" i="1"/>
  <c r="T21" i="1"/>
  <c r="T481" i="1"/>
  <c r="T671" i="1"/>
  <c r="T331" i="1"/>
  <c r="T332" i="1"/>
  <c r="T217" i="1"/>
  <c r="T26" i="1"/>
  <c r="T42" i="1"/>
  <c r="T499" i="1"/>
  <c r="T476" i="1"/>
  <c r="T598" i="1"/>
  <c r="T599" i="1"/>
  <c r="T697" i="1"/>
  <c r="T543" i="1"/>
  <c r="T210" i="1"/>
  <c r="T209" i="1"/>
  <c r="T211" i="1"/>
  <c r="T715" i="1"/>
  <c r="T621" i="1"/>
  <c r="T620" i="1"/>
  <c r="T714" i="1"/>
  <c r="T619" i="1"/>
  <c r="T729" i="1"/>
  <c r="T394" i="1"/>
  <c r="T507" i="1"/>
  <c r="T798" i="1"/>
  <c r="T799" i="1"/>
  <c r="T797" i="1"/>
  <c r="T535" i="1"/>
  <c r="T342" i="1"/>
  <c r="T362" i="1"/>
  <c r="T363" i="1"/>
  <c r="T358" i="1"/>
  <c r="T357" i="1"/>
  <c r="T356" i="1"/>
  <c r="T511" i="1"/>
  <c r="T510" i="1"/>
  <c r="T222" i="1"/>
  <c r="T754" i="1"/>
  <c r="T223" i="1"/>
  <c r="T753" i="1"/>
  <c r="T179" i="1"/>
  <c r="T294" i="1"/>
  <c r="T292" i="1"/>
  <c r="T760" i="1"/>
  <c r="T761" i="1"/>
  <c r="T804" i="1"/>
  <c r="T293" i="1"/>
  <c r="T353" i="1"/>
  <c r="T707" i="1"/>
  <c r="T352" i="1"/>
  <c r="T706" i="1"/>
  <c r="T337" i="1"/>
  <c r="T639" i="1"/>
  <c r="T638" i="1"/>
  <c r="T752" i="1"/>
  <c r="T572" i="1"/>
  <c r="T101" i="1"/>
  <c r="T46" i="1"/>
  <c r="T62" i="1"/>
  <c r="T88" i="1"/>
  <c r="T573" i="1"/>
  <c r="T669" i="1"/>
  <c r="T506" i="1"/>
  <c r="T290" i="1"/>
  <c r="T654" i="1"/>
  <c r="T86" i="1"/>
  <c r="T82" i="1"/>
  <c r="T247" i="1"/>
  <c r="T220" i="1"/>
  <c r="T219" i="1"/>
  <c r="T580" i="1"/>
  <c r="T536" i="1"/>
  <c r="T730" i="1"/>
  <c r="T43" i="1"/>
  <c r="T232" i="1"/>
  <c r="T231" i="1"/>
  <c r="T188" i="1"/>
  <c r="T601" i="1"/>
  <c r="T567" i="1"/>
  <c r="T181" i="1"/>
  <c r="T566" i="1"/>
  <c r="T201" i="1"/>
  <c r="T469" i="1"/>
  <c r="T202" i="1"/>
  <c r="T468" i="1"/>
  <c r="T500" i="1"/>
  <c r="T491" i="1"/>
  <c r="T501" i="1"/>
  <c r="T492" i="1"/>
  <c r="T226" i="1"/>
  <c r="T225" i="1"/>
  <c r="T505" i="1"/>
  <c r="T100" i="1"/>
  <c r="T134" i="1"/>
  <c r="T135" i="1"/>
  <c r="T662" i="1"/>
  <c r="T661" i="1"/>
  <c r="T521" i="1"/>
  <c r="T520" i="1"/>
  <c r="T58" i="1"/>
  <c r="T72" i="1"/>
  <c r="T413" i="1"/>
  <c r="T368" i="1"/>
  <c r="T369" i="1"/>
  <c r="T313" i="1"/>
  <c r="T314" i="1"/>
  <c r="T575" i="1"/>
  <c r="T642" i="1"/>
  <c r="T370" i="1"/>
  <c r="T525" i="1"/>
  <c r="T524" i="1"/>
  <c r="T673" i="1"/>
  <c r="T675" i="1"/>
  <c r="T676" i="1"/>
  <c r="T477" i="1"/>
  <c r="T547" i="1"/>
</calcChain>
</file>

<file path=xl/sharedStrings.xml><?xml version="1.0" encoding="utf-8"?>
<sst xmlns="http://schemas.openxmlformats.org/spreadsheetml/2006/main" count="27053" uniqueCount="10785">
  <si>
    <t>GROUP_ID</t>
  </si>
  <si>
    <t>ORGANISATION</t>
  </si>
  <si>
    <t>COUNTRY</t>
  </si>
  <si>
    <t>STATUS</t>
  </si>
  <si>
    <t>PUB_STATUS</t>
  </si>
  <si>
    <t>CU00522</t>
  </si>
  <si>
    <t>CG00282</t>
  </si>
  <si>
    <t>Mr</t>
  </si>
  <si>
    <t xml:space="preserve">Hydar </t>
  </si>
  <si>
    <t>AL-Fayaad</t>
  </si>
  <si>
    <t xml:space="preserve">PhD Candidate </t>
  </si>
  <si>
    <t xml:space="preserve">University of Queensland </t>
  </si>
  <si>
    <t xml:space="preserve">School of Chemistry and Molecular Bioscience </t>
  </si>
  <si>
    <t>SCMB Deliveries, Chemistry Building (68), Cooper Road, The University of Queensland, St Lucia 4072</t>
  </si>
  <si>
    <t>Australia</t>
  </si>
  <si>
    <t>450200408</t>
  </si>
  <si>
    <t>hydar.alfayaad@uqconnect.edu.au</t>
  </si>
  <si>
    <t>CG00104</t>
  </si>
  <si>
    <t>Assist Prof</t>
  </si>
  <si>
    <t>Ahmed</t>
  </si>
  <si>
    <t>AL-Khyiat</t>
  </si>
  <si>
    <t>Acting Dean</t>
  </si>
  <si>
    <t>University of Mosul</t>
  </si>
  <si>
    <t>Dept. of Chemistry, College of Education for pure science</t>
  </si>
  <si>
    <t>Al-Jimia Street, Mosul</t>
  </si>
  <si>
    <t>Iraq</t>
  </si>
  <si>
    <t>9-647725373446-12</t>
  </si>
  <si>
    <t>ahmadalkhayat34@gmail.com</t>
  </si>
  <si>
    <t>CU00692</t>
  </si>
  <si>
    <t>CU00738</t>
  </si>
  <si>
    <t>CG00371</t>
  </si>
  <si>
    <t>MUSAB</t>
  </si>
  <si>
    <t>ALI</t>
  </si>
  <si>
    <t>Lecturer</t>
  </si>
  <si>
    <t>Sudan University of Science and Technology</t>
  </si>
  <si>
    <t>Pharmaceutical Chemistry</t>
  </si>
  <si>
    <t>Jabel Awlia Street</t>
  </si>
  <si>
    <t>Sudan</t>
  </si>
  <si>
    <t>2-49913927821-11</t>
  </si>
  <si>
    <t>musab.ali@sustech.edu</t>
  </si>
  <si>
    <t>CU00175</t>
  </si>
  <si>
    <t>Prof</t>
  </si>
  <si>
    <t>Faris</t>
  </si>
  <si>
    <t>Abachi</t>
  </si>
  <si>
    <t>College of pharmacy, Pharmaceutical Chemistry</t>
  </si>
  <si>
    <t>+964-7703336180</t>
  </si>
  <si>
    <t>farisabachi@yahoo.com</t>
  </si>
  <si>
    <t>CU00123</t>
  </si>
  <si>
    <t>CG00071</t>
  </si>
  <si>
    <t>Ashraf</t>
  </si>
  <si>
    <t>Abadi</t>
  </si>
  <si>
    <t>Dean of Faculty of Pharmacy and Biotechnology</t>
  </si>
  <si>
    <t>German University in Cairo</t>
  </si>
  <si>
    <t>Faculty of Pharmacy, Pharmaceutical Chemistry</t>
  </si>
  <si>
    <t>Main Entrance, Al-Tagmoaa Alkhames,Cairo 11835</t>
  </si>
  <si>
    <t>Egypt</t>
  </si>
  <si>
    <t>202-27590716</t>
  </si>
  <si>
    <t>ashraf.abadi@guc.edu.eg</t>
  </si>
  <si>
    <t>CU00814</t>
  </si>
  <si>
    <t>CG00241</t>
  </si>
  <si>
    <t>Dr</t>
  </si>
  <si>
    <t>Rehab</t>
  </si>
  <si>
    <t>Abd El Aleam</t>
  </si>
  <si>
    <t>pharmaceutical chemistry</t>
  </si>
  <si>
    <t>Al Hadaba Al Wosta, 5Th District, Mokattam, Cairo, Egypt</t>
  </si>
  <si>
    <t>1-060063393-9</t>
  </si>
  <si>
    <t>rehab.hamed@pharm.mti.edu.eg</t>
  </si>
  <si>
    <t>CU00168</t>
  </si>
  <si>
    <t>CG00100</t>
  </si>
  <si>
    <t>Alaa</t>
  </si>
  <si>
    <t>Abd-El-Aziz</t>
  </si>
  <si>
    <t>Professor</t>
  </si>
  <si>
    <t>University of Prince Edward Island</t>
  </si>
  <si>
    <t>Department of Chemistry</t>
  </si>
  <si>
    <t>Charlottetown, C1A 4P3PEI</t>
  </si>
  <si>
    <t>Canada</t>
  </si>
  <si>
    <t>19023881671</t>
  </si>
  <si>
    <t>abdelaziz@upei.ca</t>
  </si>
  <si>
    <t>CU00325</t>
  </si>
  <si>
    <t>CG00182</t>
  </si>
  <si>
    <t>Raid</t>
  </si>
  <si>
    <t>Abdel-Jalil</t>
  </si>
  <si>
    <t>Associate Professor</t>
  </si>
  <si>
    <t>Sultan Qaboos University</t>
  </si>
  <si>
    <t>Chemistry</t>
  </si>
  <si>
    <t>Chemistry DepartmentFaculty of ScienceSultan Qaboos UniversityP.O. Box 50 Muscat 123 - Sultanate of Oman</t>
  </si>
  <si>
    <t>Oman</t>
  </si>
  <si>
    <t>96892089702</t>
  </si>
  <si>
    <t>rjalil2006@yahoo.com</t>
  </si>
  <si>
    <t>CU00432</t>
  </si>
  <si>
    <t>Hamdy</t>
  </si>
  <si>
    <t>Abdel-Rahman</t>
  </si>
  <si>
    <t>Assiut University</t>
  </si>
  <si>
    <t>Faculty of Pharmacy, Department of Medicinal Chemistry</t>
  </si>
  <si>
    <t>Faculty of Pharmacy, Assiut University, Assiut, 71526</t>
  </si>
  <si>
    <t>1094374607</t>
  </si>
  <si>
    <t>hamdym@aun.edu.eg</t>
  </si>
  <si>
    <t>hamdym01@yahoo.com</t>
  </si>
  <si>
    <t>CU00650</t>
  </si>
  <si>
    <t>CG00339</t>
  </si>
  <si>
    <t>Israa</t>
  </si>
  <si>
    <t>Abdelazzez</t>
  </si>
  <si>
    <t>Teaching assistant</t>
  </si>
  <si>
    <t>Nahda University</t>
  </si>
  <si>
    <t>Faculty of Pharmacy, Medicinal chemistry</t>
  </si>
  <si>
    <t>Bnisuif</t>
  </si>
  <si>
    <t>1-115305045-9</t>
  </si>
  <si>
    <t>israa.abdelazzez@nub.edu.eg</t>
  </si>
  <si>
    <t>CU00622</t>
  </si>
  <si>
    <t>CG00324</t>
  </si>
  <si>
    <t>Ms</t>
  </si>
  <si>
    <t>Somaya</t>
  </si>
  <si>
    <t>Abdelrahman</t>
  </si>
  <si>
    <t>Research Specialist</t>
  </si>
  <si>
    <t>University of Iowa</t>
  </si>
  <si>
    <t>College of Pharmacy, Pharmaceutical Sciences and Experimental Therapeutics</t>
  </si>
  <si>
    <t>115 S. Grand Ave. iowa city, Iowa 52241</t>
  </si>
  <si>
    <t>United States</t>
  </si>
  <si>
    <t>001319-512-5424</t>
  </si>
  <si>
    <t>somaya-abdelrahman@uiowa.edu</t>
  </si>
  <si>
    <t>CU00651</t>
  </si>
  <si>
    <t>1-094374607-9</t>
  </si>
  <si>
    <t>hamdy.abdelrahman@nub.edu.eg</t>
  </si>
  <si>
    <t>CU00674</t>
  </si>
  <si>
    <t>CG00346</t>
  </si>
  <si>
    <t>Hanan</t>
  </si>
  <si>
    <t>Abdelrazik</t>
  </si>
  <si>
    <t>Principal Investigator</t>
  </si>
  <si>
    <t>Zagazig University</t>
  </si>
  <si>
    <t>Pharmaceutical Organic Chemistry</t>
  </si>
  <si>
    <t>44519 Shaibet an Nakareya, Zagazig 2, Ash Sharqia Governorate</t>
  </si>
  <si>
    <t>2-0011858277-10</t>
  </si>
  <si>
    <t>dr_hanan500@yahoo.com</t>
  </si>
  <si>
    <t>CU00816</t>
  </si>
  <si>
    <t>Moaz</t>
  </si>
  <si>
    <t>Abdou</t>
  </si>
  <si>
    <t>Researcher</t>
  </si>
  <si>
    <t>Egyptian Petroleum Research Institute</t>
  </si>
  <si>
    <t>Process design and development department </t>
  </si>
  <si>
    <t>1 Ahmed El-Zomor Street, El Zohour Region, Nasr city ,Cairo</t>
  </si>
  <si>
    <t>2-01067637653-11</t>
  </si>
  <si>
    <t>moaz.chem@gmail.com</t>
  </si>
  <si>
    <t>CU00374</t>
  </si>
  <si>
    <t>CG00209</t>
  </si>
  <si>
    <t>Hajjaj</t>
  </si>
  <si>
    <t>Abdu-Allah</t>
  </si>
  <si>
    <t>Faculty of Pharmacy, Pharmaceutical Organic Chemistry</t>
  </si>
  <si>
    <t>Assiut 71526</t>
  </si>
  <si>
    <t>(+2088)240-1521</t>
  </si>
  <si>
    <t>hagag.abdallah@pharm.au.edu.eg</t>
  </si>
  <si>
    <t>CU00667</t>
  </si>
  <si>
    <t>Abdul-Jabaar</t>
  </si>
  <si>
    <t>PhD Student</t>
  </si>
  <si>
    <t>9-647508083722-12</t>
  </si>
  <si>
    <t>ahmedsot@gmail.com</t>
  </si>
  <si>
    <t>CU00663</t>
  </si>
  <si>
    <t>CG00342</t>
  </si>
  <si>
    <t>Hanan Gaber</t>
  </si>
  <si>
    <t>Abdulwahab</t>
  </si>
  <si>
    <t>Lecturer of Pharmaceutical chemistry</t>
  </si>
  <si>
    <t>Al-Azhar University</t>
  </si>
  <si>
    <t>Pharmaceutical chemistry</t>
  </si>
  <si>
    <t>Al-Azhar University, Faculty of Pharmacy(Girls), Nasr City, Cairo, Egypt</t>
  </si>
  <si>
    <t>2-01000788565-11</t>
  </si>
  <si>
    <t>hanangaber@azhar.edu.eg</t>
  </si>
  <si>
    <t>CU00383</t>
  </si>
  <si>
    <t>CG00214</t>
  </si>
  <si>
    <t>Andrew</t>
  </si>
  <si>
    <t>Abell</t>
  </si>
  <si>
    <t>University of Adelaide</t>
  </si>
  <si>
    <t>School of Chemistry</t>
  </si>
  <si>
    <t>+61 8 8313 5652</t>
  </si>
  <si>
    <t>andrew.abell@adelaide.edu.au</t>
  </si>
  <si>
    <t>CU00676</t>
  </si>
  <si>
    <t>CG00347</t>
  </si>
  <si>
    <t>Nader</t>
  </si>
  <si>
    <t>Abo-dya</t>
  </si>
  <si>
    <t>9-6654247103-10</t>
  </si>
  <si>
    <t>nader_elmaghry88@yahoo.com</t>
  </si>
  <si>
    <t>CU00435</t>
  </si>
  <si>
    <t>Mohamed</t>
  </si>
  <si>
    <t>AboEl Hassan</t>
  </si>
  <si>
    <t>Pharmacist, Teaching assistant</t>
  </si>
  <si>
    <t>Faculty of Pharmacy, Organic Chemistry Department</t>
  </si>
  <si>
    <t>Banisuef sharq el Nil Mror Road</t>
  </si>
  <si>
    <t>1066394559</t>
  </si>
  <si>
    <t>mohamed.aboalhassan@nub.edu.eg</t>
  </si>
  <si>
    <t>CU00763</t>
  </si>
  <si>
    <t>Asmaa</t>
  </si>
  <si>
    <t>AboulMagd</t>
  </si>
  <si>
    <t>Assistant Professor</t>
  </si>
  <si>
    <t>Faculty of Pharmacy, Nahda University-Benisueif, 62764</t>
  </si>
  <si>
    <t>1-223334785-9</t>
  </si>
  <si>
    <t>asmaa.aboulmaged@nub.edu.eg</t>
  </si>
  <si>
    <t>CU00385</t>
  </si>
  <si>
    <t>CG00215</t>
  </si>
  <si>
    <t>Khaled</t>
  </si>
  <si>
    <t>Abouzid</t>
  </si>
  <si>
    <t>Professor of Pharmaceutical Chemistry</t>
  </si>
  <si>
    <t>Ain Shams University</t>
  </si>
  <si>
    <t>African Union St, Abbassia, Cairo, POB 11566</t>
  </si>
  <si>
    <t>002 01222165624</t>
  </si>
  <si>
    <t>khaled.abouzid@pharma.asu.edu.eg</t>
  </si>
  <si>
    <t>CU00450</t>
  </si>
  <si>
    <t>CG00252</t>
  </si>
  <si>
    <t>Gautam</t>
  </si>
  <si>
    <t>Achar</t>
  </si>
  <si>
    <t>Student</t>
  </si>
  <si>
    <t>Jain University</t>
  </si>
  <si>
    <t>Center for Nano and Material sciences</t>
  </si>
  <si>
    <t>45th km, NH - 209, Jakkasandra Post, Kanakapura Main Road, Ramanagara District, Bengaluru, Karnataka 562112</t>
  </si>
  <si>
    <t>India</t>
  </si>
  <si>
    <t>8277225643</t>
  </si>
  <si>
    <t>gautam9691@gmail.com</t>
  </si>
  <si>
    <t>CU00200</t>
  </si>
  <si>
    <t>CG00120</t>
  </si>
  <si>
    <t>Assoc Prof</t>
  </si>
  <si>
    <t>David</t>
  </si>
  <si>
    <t>Ackerley</t>
  </si>
  <si>
    <t>Programme Director, Biotechnology</t>
  </si>
  <si>
    <t>Victoria University of Wellington</t>
  </si>
  <si>
    <t>School of Biological Sciences</t>
  </si>
  <si>
    <t>KK507, Biological Sciences, Kelburn Parade, Wellington 6140</t>
  </si>
  <si>
    <t>New Zealand</t>
  </si>
  <si>
    <t>(+64)44635576</t>
  </si>
  <si>
    <t>david.ackerley@vuw.ac.nz</t>
  </si>
  <si>
    <t>CU00375</t>
  </si>
  <si>
    <t>CG00210</t>
  </si>
  <si>
    <t>Miss</t>
  </si>
  <si>
    <t>Sindy</t>
  </si>
  <si>
    <t>Acosta Rodezno</t>
  </si>
  <si>
    <t>Federal University of ABC (UFABC)</t>
  </si>
  <si>
    <t>Center for Natural Sciences and Humanities (CCNH)</t>
  </si>
  <si>
    <t>Laboratório de Biologia Química, Avenida dos Estados, 5001. Bangú, Santo André - São Paulo, Bloco A Torre 3, 6º andar.  SP 09210-580</t>
  </si>
  <si>
    <t>Brazil</t>
  </si>
  <si>
    <t>+55 11945802830</t>
  </si>
  <si>
    <t>asenav_301@hotmail.com</t>
  </si>
  <si>
    <t>CU00761</t>
  </si>
  <si>
    <t>CG00367</t>
  </si>
  <si>
    <t>Jemily</t>
  </si>
  <si>
    <t>Acosta-Mercado</t>
  </si>
  <si>
    <t>Graduate Student</t>
  </si>
  <si>
    <t>University of Puerto Rico Rio Piedras</t>
  </si>
  <si>
    <t>Urb Terrazas de Guaynabo
E2 Calle Amapola
Guaynabo, PR 00969</t>
  </si>
  <si>
    <t>787-513-4370</t>
  </si>
  <si>
    <t>jemily.acosta@upr.edu</t>
  </si>
  <si>
    <t>CU00777</t>
  </si>
  <si>
    <t>CG00162</t>
  </si>
  <si>
    <t>Anna</t>
  </si>
  <si>
    <t>Adam</t>
  </si>
  <si>
    <t>Medicines for Malaria Venture (MMV)</t>
  </si>
  <si>
    <t>Pathogen Box</t>
  </si>
  <si>
    <t>PO Box 1826
20, Route de Pre-Bois
1215 Geneva 15</t>
  </si>
  <si>
    <t>Switzerland</t>
  </si>
  <si>
    <t>+41-79-801-90-54</t>
  </si>
  <si>
    <t>sulakovaa@mmv.org</t>
  </si>
  <si>
    <t>CU00167</t>
  </si>
  <si>
    <t>Christian</t>
  </si>
  <si>
    <t>Agatemor</t>
  </si>
  <si>
    <t>PhD Candidate</t>
  </si>
  <si>
    <t>19022131536</t>
  </si>
  <si>
    <t>cxa903@miami.edu</t>
  </si>
  <si>
    <t>CU00410</t>
  </si>
  <si>
    <t>CG00229</t>
  </si>
  <si>
    <t>Varinder</t>
  </si>
  <si>
    <t>Aggarwal</t>
  </si>
  <si>
    <t>Professor of Synthetic Chemistry</t>
  </si>
  <si>
    <t>University of Bristol</t>
  </si>
  <si>
    <t>Cantock's Close, Bristol, BS8 1TS, UK</t>
  </si>
  <si>
    <t>United Kingdom</t>
  </si>
  <si>
    <t>++44 (0)117 954 6315 </t>
  </si>
  <si>
    <t>v.aggarwal@bristol.ac.uk</t>
  </si>
  <si>
    <t>CU00751</t>
  </si>
  <si>
    <t>Tarek</t>
  </si>
  <si>
    <t>Research and Teaching Assistant</t>
  </si>
  <si>
    <t>2 Elawaqaf Building Elsawah Street, Cairo</t>
  </si>
  <si>
    <t>2-01023508098-11</t>
  </si>
  <si>
    <t>tarek.erfan@pharma.asu.edu.eg</t>
  </si>
  <si>
    <t>CU00799</t>
  </si>
  <si>
    <t>CG00395</t>
  </si>
  <si>
    <t>Gowsia</t>
  </si>
  <si>
    <t>Akhter</t>
  </si>
  <si>
    <t>Research Scholar</t>
  </si>
  <si>
    <t>Jamia Hamdard</t>
  </si>
  <si>
    <t>Chemistry, SCLS</t>
  </si>
  <si>
    <t>Mehrauli Badarpur Road, New Delhi, Delhi 110062</t>
  </si>
  <si>
    <t>9-682507132-9</t>
  </si>
  <si>
    <t>gowsiasalman@gmail.com</t>
  </si>
  <si>
    <t>CU00198</t>
  </si>
  <si>
    <t>CG00119</t>
  </si>
  <si>
    <t>Mymoona</t>
  </si>
  <si>
    <t>Hamdard University, M B Road, New Delhi, 110062</t>
  </si>
  <si>
    <t>9891369482</t>
  </si>
  <si>
    <t>makhtar@jamiahamdard.ac.in</t>
  </si>
  <si>
    <t>CU00668</t>
  </si>
  <si>
    <t>Mohammed</t>
  </si>
  <si>
    <t>Al-Iraqi</t>
  </si>
  <si>
    <t>Ass. Prof.</t>
  </si>
  <si>
    <t>9-6477-+12</t>
  </si>
  <si>
    <t>maanaa5463@gmail.com</t>
  </si>
  <si>
    <t>CU00625</t>
  </si>
  <si>
    <t>CG00326</t>
  </si>
  <si>
    <t>Mosab</t>
  </si>
  <si>
    <t>Al-Nour</t>
  </si>
  <si>
    <t>Teacher assistant</t>
  </si>
  <si>
    <t>Omdurman Islamic University</t>
  </si>
  <si>
    <t>Faculty of Pharmacy, Department of Pharmaceutical Chemistry</t>
  </si>
  <si>
    <t>Ahfitihab street, Omdurman, Khartoum</t>
  </si>
  <si>
    <t>2-49121513867-11</t>
  </si>
  <si>
    <t>mosabal_nour@oiu.edu.sd</t>
  </si>
  <si>
    <t>CU00706</t>
  </si>
  <si>
    <t>CG00153</t>
  </si>
  <si>
    <t>Mohammad</t>
  </si>
  <si>
    <t>AlTamimi</t>
  </si>
  <si>
    <t>Director, Research Centre</t>
  </si>
  <si>
    <t>King Saud University</t>
  </si>
  <si>
    <t>College of Pharmacy</t>
  </si>
  <si>
    <t>P.O. Box 2457, Riyadh-11451</t>
  </si>
  <si>
    <t>Saudi Arabia</t>
  </si>
  <si>
    <t>9-66533977946-11</t>
  </si>
  <si>
    <t>maltamimi@ksu.edu.sa</t>
  </si>
  <si>
    <t>CU00056</t>
  </si>
  <si>
    <t>CG00033</t>
  </si>
  <si>
    <t>Alam</t>
  </si>
  <si>
    <t>Arkansas State University Jonesboro</t>
  </si>
  <si>
    <t>Department of Chemistry &amp; Physics</t>
  </si>
  <si>
    <t>PO Box 419, State University, AR  72467</t>
  </si>
  <si>
    <t>8709723086-3319</t>
  </si>
  <si>
    <t>malam@astate.edu</t>
  </si>
  <si>
    <t>CU00535</t>
  </si>
  <si>
    <t>CG00289</t>
  </si>
  <si>
    <t>Roger</t>
  </si>
  <si>
    <t>Alberto</t>
  </si>
  <si>
    <t>PI</t>
  </si>
  <si>
    <t>University of Zurich</t>
  </si>
  <si>
    <t>Department of Chemistry B</t>
  </si>
  <si>
    <t>Winterthurerstrasse 190, 8057 Zurich</t>
  </si>
  <si>
    <t>0041-44-635-46-31</t>
  </si>
  <si>
    <t>ariel@chem.uzh.ch</t>
  </si>
  <si>
    <t>CU00719</t>
  </si>
  <si>
    <t>CG00365</t>
  </si>
  <si>
    <t>Sawsan</t>
  </si>
  <si>
    <t>Alelaiwi</t>
  </si>
  <si>
    <t>PhD student</t>
  </si>
  <si>
    <t>Dapartment of Chemistry &amp; Biochemistry</t>
  </si>
  <si>
    <t>600 S 43rd St Philadelphia, PA 19104</t>
  </si>
  <si>
    <t>202-594-0071</t>
  </si>
  <si>
    <t>salelaiwi@mail.usciences.edu</t>
  </si>
  <si>
    <t>CU00534</t>
  </si>
  <si>
    <t>CG00288</t>
  </si>
  <si>
    <t>Enzo</t>
  </si>
  <si>
    <t>Alessio</t>
  </si>
  <si>
    <t>University of Trieste</t>
  </si>
  <si>
    <t>Department of Chemical and Pharmaceutical Sciences</t>
  </si>
  <si>
    <t>Via L. Giorgieri 1
34127 Trieste</t>
  </si>
  <si>
    <t>Italy</t>
  </si>
  <si>
    <t>+39-040-5583961</t>
  </si>
  <si>
    <t>alessi@units.it</t>
  </si>
  <si>
    <t>CU00064</t>
  </si>
  <si>
    <t>CG00039</t>
  </si>
  <si>
    <t>Paul</t>
  </si>
  <si>
    <t>Alewood</t>
  </si>
  <si>
    <t>University of Queensland</t>
  </si>
  <si>
    <t>The Institute for Molecular Bioscience</t>
  </si>
  <si>
    <t>+61 7 3346 2982</t>
  </si>
  <si>
    <t>p.alewood@imb.uq.edu.au</t>
  </si>
  <si>
    <t>CU00543</t>
  </si>
  <si>
    <t>CG00301</t>
  </si>
  <si>
    <t>Mark</t>
  </si>
  <si>
    <t>Allenby</t>
  </si>
  <si>
    <t>Postdoctoraal research fellow</t>
  </si>
  <si>
    <t>Queensland University of Technology</t>
  </si>
  <si>
    <t>Science and Engineering Faculty, School of Chemistry, Physics and Mechanical Engineering, Biofabrication and Tissue Morphology group</t>
  </si>
  <si>
    <t>QUT Gardens Points, P Block Level 8, 2 George St, Brisbane QLD 4000</t>
  </si>
  <si>
    <t>7-31380961-8</t>
  </si>
  <si>
    <t>mark.allenby@qut.edu.au</t>
  </si>
  <si>
    <t>CU00497</t>
  </si>
  <si>
    <t>CG00269</t>
  </si>
  <si>
    <t>Jose Miguel</t>
  </si>
  <si>
    <t>Alonso</t>
  </si>
  <si>
    <t>PDRA</t>
  </si>
  <si>
    <t>University of East Anglia</t>
  </si>
  <si>
    <t>Earlham Road, NR4 7TJ</t>
  </si>
  <si>
    <t>J.Alonso-Gomez@uea.ac.uk</t>
  </si>
  <si>
    <t>CU00463</t>
  </si>
  <si>
    <t>CG00040</t>
  </si>
  <si>
    <t>Mrs</t>
  </si>
  <si>
    <t>Roaa</t>
  </si>
  <si>
    <t>Alreemi</t>
  </si>
  <si>
    <t>University of Sydney</t>
  </si>
  <si>
    <t>Faculty of Pharmacy</t>
  </si>
  <si>
    <t>Pharmacy and Bank Building A15, Science Road, Camperdown, Sydney, NSW 2006</t>
  </si>
  <si>
    <t>61401180355</t>
  </si>
  <si>
    <t>ralr9923@uni.sydney.edu.au</t>
  </si>
  <si>
    <t>CU00633</t>
  </si>
  <si>
    <t>CG00350</t>
  </si>
  <si>
    <t>Elson</t>
  </si>
  <si>
    <t>Alvarenga</t>
  </si>
  <si>
    <t>Universidade Federal de Vicosa</t>
  </si>
  <si>
    <t>Av Peter Henry Rolfs Campus UFV 36570-900</t>
  </si>
  <si>
    <t>55-31-996734967</t>
  </si>
  <si>
    <t>elson@ufv.br</t>
  </si>
  <si>
    <t>CU00783</t>
  </si>
  <si>
    <t>CG00390</t>
  </si>
  <si>
    <t>Luis</t>
  </si>
  <si>
    <t>Alves</t>
  </si>
  <si>
    <t>Centre for Structural Chemistry</t>
  </si>
  <si>
    <t>Av. Rovisco Pais 1, 1049-001 Lisboa</t>
  </si>
  <si>
    <t>Portugal</t>
  </si>
  <si>
    <t>+351-218417713</t>
  </si>
  <si>
    <t>luis.g.alves@tecnico.ulisboa.pt</t>
  </si>
  <si>
    <t>CU00494</t>
  </si>
  <si>
    <t>CG00268</t>
  </si>
  <si>
    <t>Ravi</t>
  </si>
  <si>
    <t>Anangi</t>
  </si>
  <si>
    <t>Research Officer</t>
  </si>
  <si>
    <t>Institute for Molecular Bioscience (IMB)</t>
  </si>
  <si>
    <t>Bld 80 Carmody Road St Lucia 4072 Queensland</t>
  </si>
  <si>
    <t>r.anangi@uq.edu.au</t>
  </si>
  <si>
    <t>CU00408</t>
  </si>
  <si>
    <t>CG00228</t>
  </si>
  <si>
    <t>Demchenko</t>
  </si>
  <si>
    <t>Anatoly</t>
  </si>
  <si>
    <t>Head of Department</t>
  </si>
  <si>
    <t>Institute of Pharmacology and Toxicology of Ukraine</t>
  </si>
  <si>
    <t>Active Pharmaceutical Ingredients Synthesis</t>
  </si>
  <si>
    <t>Ezhena Potie St 14, Kyiv</t>
  </si>
  <si>
    <t>Ukraine</t>
  </si>
  <si>
    <t>+38(044)456-42-56</t>
  </si>
  <si>
    <t>chem.synthesis.ift@gmail.com</t>
  </si>
  <si>
    <t>CU00033</t>
  </si>
  <si>
    <t>CG00019</t>
  </si>
  <si>
    <t>Jim</t>
  </si>
  <si>
    <t>Anderson</t>
  </si>
  <si>
    <t>University College London</t>
  </si>
  <si>
    <t>School of Pharmacy</t>
  </si>
  <si>
    <t>+44 (0)20 7679 5585</t>
  </si>
  <si>
    <t>j.c.anderson@ucl.ac.uk</t>
  </si>
  <si>
    <t>CU00638</t>
  </si>
  <si>
    <t>CG00334</t>
  </si>
  <si>
    <t>Dustin</t>
  </si>
  <si>
    <t>Andert</t>
  </si>
  <si>
    <t>Lab Manager</t>
  </si>
  <si>
    <t>Chemistry and Biotechnology</t>
  </si>
  <si>
    <t>410 S. 3rd Street, River Falls, WI 54022</t>
  </si>
  <si>
    <t>7-154254016-9</t>
  </si>
  <si>
    <t>dustin.andert@uwrf.edu</t>
  </si>
  <si>
    <t>CU00310</t>
  </si>
  <si>
    <t>CG00002</t>
  </si>
  <si>
    <t>Chee Wei</t>
  </si>
  <si>
    <t>Ang</t>
  </si>
  <si>
    <t>Bld 80 Carmody Road, St Lucia 4072</t>
  </si>
  <si>
    <t>61 7 334 62395</t>
  </si>
  <si>
    <t>c.weiang@imb.uq.edu.au</t>
  </si>
  <si>
    <t>CU00632</t>
  </si>
  <si>
    <t>CG00330</t>
  </si>
  <si>
    <t>Wee Han</t>
  </si>
  <si>
    <t>National University of Singapore</t>
  </si>
  <si>
    <t>Block S15, Level 5 (CQT Building)
3 Science Drive 2
Singapore 117543</t>
  </si>
  <si>
    <t>Singapore</t>
  </si>
  <si>
    <t>+65-6516-5131</t>
  </si>
  <si>
    <t>ang.weehan@nus.edu.sg</t>
  </si>
  <si>
    <t>CU00075</t>
  </si>
  <si>
    <t>Richard</t>
  </si>
  <si>
    <t>Angell</t>
  </si>
  <si>
    <t>0207 753 5973</t>
  </si>
  <si>
    <t>r.angell@ucl.ac.uk</t>
  </si>
  <si>
    <t>CU00245</t>
  </si>
  <si>
    <t>CG00109</t>
  </si>
  <si>
    <t>Varun</t>
  </si>
  <si>
    <t>Arandkar</t>
  </si>
  <si>
    <t>Rerearch scholar</t>
  </si>
  <si>
    <t>National Institute of Technology (NIT) Warangal</t>
  </si>
  <si>
    <t>Department of Chemistry, National Institute of Technology - Warangal, Warangal, Telangana, 506004, India</t>
  </si>
  <si>
    <t>91-7675015825</t>
  </si>
  <si>
    <t>varun.chem1@gmail.com</t>
  </si>
  <si>
    <t>CU00069</t>
  </si>
  <si>
    <t>CG00042</t>
  </si>
  <si>
    <t>Pedro</t>
  </si>
  <si>
    <t>Aredes</t>
  </si>
  <si>
    <t>Universidad Nacional de Tucuman</t>
  </si>
  <si>
    <t>Argentina</t>
  </si>
  <si>
    <t>pedroaredes@fbqf.unt.edu.ar</t>
  </si>
  <si>
    <t>CU00518</t>
  </si>
  <si>
    <t>Faculty of Pharmacy-Nahda University-Benisueif-62764</t>
  </si>
  <si>
    <t>1062428023</t>
  </si>
  <si>
    <t>ahmed.abdelrazik@nub.edu.eg</t>
  </si>
  <si>
    <t>CU00089</t>
  </si>
  <si>
    <t>CG00013</t>
  </si>
  <si>
    <t>Trent</t>
  </si>
  <si>
    <t>Ashton</t>
  </si>
  <si>
    <t>Deakin University</t>
  </si>
  <si>
    <t>Faculty of Science Engineering &amp; Built Environment</t>
  </si>
  <si>
    <t>t.ashton@deakin.edu.au</t>
  </si>
  <si>
    <t>CU00642</t>
  </si>
  <si>
    <t>CG00256</t>
  </si>
  <si>
    <t>Christopher</t>
  </si>
  <si>
    <t>Asquith</t>
  </si>
  <si>
    <t>Research Assistant Professor</t>
  </si>
  <si>
    <t>University of North Carolina at Chapel Hill</t>
  </si>
  <si>
    <t>Department of Pharmacology, School of Medicine</t>
  </si>
  <si>
    <t>GMB 1070H, 120 Mason Farm Road</t>
  </si>
  <si>
    <t>919-962-5349</t>
  </si>
  <si>
    <t>chris.asquith@unc.edu</t>
  </si>
  <si>
    <t>CU00468</t>
  </si>
  <si>
    <t>CG00258</t>
  </si>
  <si>
    <t>Norman</t>
  </si>
  <si>
    <t>Avelino</t>
  </si>
  <si>
    <t>Scientist</t>
  </si>
  <si>
    <t>Ferrier Research Institute</t>
  </si>
  <si>
    <t>69 Gracefield Road, Lower Hutt 5020</t>
  </si>
  <si>
    <t>norman.avelino@vuw.ac.nz</t>
  </si>
  <si>
    <t>CU00392</t>
  </si>
  <si>
    <t>CG00220</t>
  </si>
  <si>
    <t>Jonathan</t>
  </si>
  <si>
    <t>Baell</t>
  </si>
  <si>
    <t>Group Leader</t>
  </si>
  <si>
    <t>Monash University</t>
  </si>
  <si>
    <t>jonathan.baell@monash.edu</t>
  </si>
  <si>
    <t>CU00653</t>
  </si>
  <si>
    <t>CG00233</t>
  </si>
  <si>
    <t>Jennifer</t>
  </si>
  <si>
    <t>Baker</t>
  </si>
  <si>
    <t>PhD candidate</t>
  </si>
  <si>
    <t>University of Newcastle</t>
  </si>
  <si>
    <t>Chemistry, School of Environmental and Life Sciences</t>
  </si>
  <si>
    <t>University Drive, Callaghan, NSW 2308</t>
  </si>
  <si>
    <t>+612-4921-5464</t>
  </si>
  <si>
    <t>jennifer.r.baker@uon.edu.au</t>
  </si>
  <si>
    <t>CU00339</t>
  </si>
  <si>
    <t>CG00191</t>
  </si>
  <si>
    <t>Thomas</t>
  </si>
  <si>
    <t>Bakka</t>
  </si>
  <si>
    <t>PhD-student</t>
  </si>
  <si>
    <t>Norwegian University of Science and Technology</t>
  </si>
  <si>
    <t>Department of chemistry</t>
  </si>
  <si>
    <t>Høgskoleringen 5, 7491 Trondheim</t>
  </si>
  <si>
    <t>Norway</t>
  </si>
  <si>
    <t>47388143</t>
  </si>
  <si>
    <t>thomas.a.bakka@ntnu.no</t>
  </si>
  <si>
    <t>CU00587</t>
  </si>
  <si>
    <t>CG00313</t>
  </si>
  <si>
    <t>Manica</t>
  </si>
  <si>
    <t>Balasegaram</t>
  </si>
  <si>
    <t>Executive Director</t>
  </si>
  <si>
    <t>Global Antibiotic Research and Development Partnership (GARDP)</t>
  </si>
  <si>
    <t>GARDP</t>
  </si>
  <si>
    <t>15 Chemin Louis-Dunant 1202 Geneva</t>
  </si>
  <si>
    <t>+41-22-907-76-11</t>
  </si>
  <si>
    <t>mbalasegaram@dndi.org</t>
  </si>
  <si>
    <t>CU00796</t>
  </si>
  <si>
    <t>CG00394</t>
  </si>
  <si>
    <t>Siva Sankar Murthy</t>
  </si>
  <si>
    <t>Bandaru</t>
  </si>
  <si>
    <t>University of Greifswald</t>
  </si>
  <si>
    <t>Institute for Biochemistry</t>
  </si>
  <si>
    <t>Felix-Hausdroff Straße 4, 17489,Greifswald, Germany</t>
  </si>
  <si>
    <t>Germany</t>
  </si>
  <si>
    <t>+49-0-3834-420-4321</t>
  </si>
  <si>
    <t>siva.bandaru@uni-greifswald.de</t>
  </si>
  <si>
    <t>CU00473</t>
  </si>
  <si>
    <t>CG00260</t>
  </si>
  <si>
    <t>Krishnarjuna</t>
  </si>
  <si>
    <t>Bankala</t>
  </si>
  <si>
    <t>Research Fellow</t>
  </si>
  <si>
    <t>Monash Institute of Pharmaceutical Sciences; Medicinal Chemistry</t>
  </si>
  <si>
    <t>381 Royal Parade, Parkville, VIC-3052</t>
  </si>
  <si>
    <t>+61469062660</t>
  </si>
  <si>
    <t>krishnarjuna.bio@gmail.com</t>
  </si>
  <si>
    <t>CU00030</t>
  </si>
  <si>
    <t>CG00016</t>
  </si>
  <si>
    <t>Hemant Kumar</t>
  </si>
  <si>
    <t>Bankhede</t>
  </si>
  <si>
    <t>RKDF University</t>
  </si>
  <si>
    <t>Pharmaceutics</t>
  </si>
  <si>
    <t>9271280985</t>
  </si>
  <si>
    <t>hemant_16aug@yahoo.co.in</t>
  </si>
  <si>
    <t>CU00371</t>
  </si>
  <si>
    <t>CG00208</t>
  </si>
  <si>
    <t>Grant</t>
  </si>
  <si>
    <t>Bare</t>
  </si>
  <si>
    <t>Research Associate</t>
  </si>
  <si>
    <t>Scripps Research Institute</t>
  </si>
  <si>
    <t>Science and Engineering Hall 4000800 22nd St NWWashington, DC 20052Tel: 202-994-6121</t>
  </si>
  <si>
    <t>858-784-7509</t>
  </si>
  <si>
    <t>gbare@scripps.edu</t>
  </si>
  <si>
    <t>CU00268</t>
  </si>
  <si>
    <t>Bari</t>
  </si>
  <si>
    <t>Associate professor</t>
  </si>
  <si>
    <t>RC College of Pharmacy</t>
  </si>
  <si>
    <t>P.O.Box2457 Riyadh 11451</t>
  </si>
  <si>
    <t>966-11-4670772</t>
  </si>
  <si>
    <t>abari@ksu.edu.sa</t>
  </si>
  <si>
    <t>CU00515</t>
  </si>
  <si>
    <t>CG00279</t>
  </si>
  <si>
    <t>Barker</t>
  </si>
  <si>
    <t>University of Auckland</t>
  </si>
  <si>
    <t>School of Chemical Science</t>
  </si>
  <si>
    <t>Building 301, Science Centre, 23 Symonds Street, Auckland 1142</t>
  </si>
  <si>
    <t>09 373 7599 ext. 89703</t>
  </si>
  <si>
    <t>d.barker@auckland.ac.nz</t>
  </si>
  <si>
    <t>CU00281</t>
  </si>
  <si>
    <t>CG00161</t>
  </si>
  <si>
    <t>Leanne</t>
  </si>
  <si>
    <t>Barnard</t>
  </si>
  <si>
    <t>Postdoctoral Fellow</t>
  </si>
  <si>
    <t>Stellenbosch University</t>
  </si>
  <si>
    <t>Department of Biochemistry</t>
  </si>
  <si>
    <t>Room 154 JC Smuts building, Van der Bijl Street, Stellenbosch, 7600</t>
  </si>
  <si>
    <t>South Africa</t>
  </si>
  <si>
    <t>+27-21-808-5879</t>
  </si>
  <si>
    <t>lbarnard@sun.ac.za</t>
  </si>
  <si>
    <t>CU00395</t>
  </si>
  <si>
    <t>CG00222</t>
  </si>
  <si>
    <t>Barrow</t>
  </si>
  <si>
    <t>Postdoctoral Researcher</t>
  </si>
  <si>
    <t>La Trobe University</t>
  </si>
  <si>
    <t>Institute for Molecular Sciences, Chemistry</t>
  </si>
  <si>
    <t>Science Drive, Bundoora, Vic, 3083</t>
  </si>
  <si>
    <t>4.0105035E8</t>
  </si>
  <si>
    <t>a.barrow@latrobe.edu.au</t>
  </si>
  <si>
    <t>CU00354</t>
  </si>
  <si>
    <t>CG00197</t>
  </si>
  <si>
    <t>Srinivas</t>
  </si>
  <si>
    <t>Basavoju</t>
  </si>
  <si>
    <t>Assistant professor</t>
  </si>
  <si>
    <t>Research lab, depertment of chemistry, NIT Warangal. 506004. telangana, India.</t>
  </si>
  <si>
    <t>9703351571</t>
  </si>
  <si>
    <t>basavoju_s@yahoo.com</t>
  </si>
  <si>
    <t>CU00486</t>
  </si>
  <si>
    <t>Delphine</t>
  </si>
  <si>
    <t>Baud</t>
  </si>
  <si>
    <t>Project Coordinator, Drug Discovery</t>
  </si>
  <si>
    <t>Entrance G, 3rd Floor, Route de Pré-Bois 20, PO Box 1826, 1215 Geneva 15</t>
  </si>
  <si>
    <t>baudd@mmv.org</t>
  </si>
  <si>
    <t>CU00584</t>
  </si>
  <si>
    <t>CG00312</t>
  </si>
  <si>
    <t>Guillermo C.</t>
  </si>
  <si>
    <t>Bazan</t>
  </si>
  <si>
    <t>University of California Santa Barbara (UCSB)</t>
  </si>
  <si>
    <t>Department of Chemistry and Biochemistry</t>
  </si>
  <si>
    <t>Department of Chemistry and Biochemistry
University of California, Santa Barbara
Bldg 557, Room 1432 Mesa Road
Santa Barbara, California 93106</t>
  </si>
  <si>
    <t>805-893-5538</t>
  </si>
  <si>
    <t>bazan@chem.ucsb.edu</t>
  </si>
  <si>
    <t>CU00359</t>
  </si>
  <si>
    <t>CG00200</t>
  </si>
  <si>
    <t>Volodymyr</t>
  </si>
  <si>
    <t>Bdzhola</t>
  </si>
  <si>
    <t>Deputy Head</t>
  </si>
  <si>
    <t>Institute of Molecular Biology and Genetics of NASU</t>
  </si>
  <si>
    <t>Department of Medicinal Chemistry</t>
  </si>
  <si>
    <t>150, Zabolotnogo Str., Kyiv, 03680</t>
  </si>
  <si>
    <t>+380445222458</t>
  </si>
  <si>
    <t>v.g.bdzhola@imbg.org.ua</t>
  </si>
  <si>
    <t>CU00009</t>
  </si>
  <si>
    <t>Bernd</t>
  </si>
  <si>
    <t>Becker</t>
  </si>
  <si>
    <t>PostDoc</t>
  </si>
  <si>
    <t>b.becker@imb.uq.edu.au</t>
  </si>
  <si>
    <t>CU00178</t>
  </si>
  <si>
    <t>CG00106</t>
  </si>
  <si>
    <t>Floyd</t>
  </si>
  <si>
    <t>Beckford</t>
  </si>
  <si>
    <t>Van Daniel Endowed Chair in Chemistry</t>
  </si>
  <si>
    <t>Natural Sciences</t>
  </si>
  <si>
    <t>1 College Avenue, Wise VA 24293</t>
  </si>
  <si>
    <t>276-376-4657</t>
  </si>
  <si>
    <t>fab5b@uvawise.edu</t>
  </si>
  <si>
    <t>CU00234</t>
  </si>
  <si>
    <t>CG00137</t>
  </si>
  <si>
    <t>Stephen</t>
  </si>
  <si>
    <t>Bell</t>
  </si>
  <si>
    <t>Senior Lecturer</t>
  </si>
  <si>
    <t>Department of Chemistry, School of Physical Sciences</t>
  </si>
  <si>
    <t>University of Adelaide, Adelaide, 5005</t>
  </si>
  <si>
    <t>61883134822</t>
  </si>
  <si>
    <t>stephen.bell@adelaide.edu.au</t>
  </si>
  <si>
    <t>CU00235</t>
  </si>
  <si>
    <t>CG00138</t>
  </si>
  <si>
    <t>Halima</t>
  </si>
  <si>
    <t>Benbouze</t>
  </si>
  <si>
    <t>Director</t>
  </si>
  <si>
    <t>Biotechnology Research Centre (C.R.B.t)</t>
  </si>
  <si>
    <t>Biotechnology Research Centre (C.R.Bt), UV 03, BP E73, New city Ali Mendjli , 31000-Constantine, Algeria</t>
  </si>
  <si>
    <t>Algeria</t>
  </si>
  <si>
    <t>00213.31.67.22.10</t>
  </si>
  <si>
    <t>h.benbouza@crbt.dz</t>
  </si>
  <si>
    <t>CU00221</t>
  </si>
  <si>
    <t>CG00130</t>
  </si>
  <si>
    <t>Martin</t>
  </si>
  <si>
    <t>Berger</t>
  </si>
  <si>
    <t>University of Vienna</t>
  </si>
  <si>
    <t>Department of Organic Chemistry</t>
  </si>
  <si>
    <t>Währingerstrasse 38, 1090 Vienna</t>
  </si>
  <si>
    <t>Austria</t>
  </si>
  <si>
    <t>0043-650-9264825</t>
  </si>
  <si>
    <t>martin_berger@univie.ac.at</t>
  </si>
  <si>
    <t>CU00776</t>
  </si>
  <si>
    <t>Frédéric</t>
  </si>
  <si>
    <t>Berthet</t>
  </si>
  <si>
    <t>Senior Research Assistant</t>
  </si>
  <si>
    <t>Evotec France</t>
  </si>
  <si>
    <t>Sample Management</t>
  </si>
  <si>
    <t>Campus Curie 
195, route d’Espagne
31036 Toulouse CEDEX</t>
  </si>
  <si>
    <t>France</t>
  </si>
  <si>
    <t>+33-0-5-34-63-27-79</t>
  </si>
  <si>
    <t>frederic.berthet@evotec.com</t>
  </si>
  <si>
    <t>CU00478</t>
  </si>
  <si>
    <t>CG00264</t>
  </si>
  <si>
    <t>Richard Mbi</t>
  </si>
  <si>
    <t>Beteck</t>
  </si>
  <si>
    <t>Rhodes University</t>
  </si>
  <si>
    <t>Chemistry Department</t>
  </si>
  <si>
    <t>F43, Pharmaceutical Sciences Building, Cnr of University &amp; Artillery Roads, Grahamstown, 6139PO Box 94, Grahamstown, 6140</t>
  </si>
  <si>
    <t>+27721840920</t>
  </si>
  <si>
    <t>richmbi1@yahoo.com</t>
  </si>
  <si>
    <t>CU00323</t>
  </si>
  <si>
    <t>CG00181</t>
  </si>
  <si>
    <t>Saket</t>
  </si>
  <si>
    <t>Bhagat</t>
  </si>
  <si>
    <t>Senior Reseach Fellow</t>
  </si>
  <si>
    <t>Institute of Chemical Technology Mumbai</t>
  </si>
  <si>
    <t>Pharmaceutical Sciences and Technology</t>
  </si>
  <si>
    <t>Institute of Chemical Technology, Nathalal Parekh Marg, Near Dos Bosco School, Matunga, Mumbai-400019</t>
  </si>
  <si>
    <t>993096897</t>
  </si>
  <si>
    <t>saketbhagat@gmail.com</t>
  </si>
  <si>
    <t>CU00793</t>
  </si>
  <si>
    <t>CG00385</t>
  </si>
  <si>
    <t>Roop</t>
  </si>
  <si>
    <t>Bhangu</t>
  </si>
  <si>
    <t>CERC Postdoc Fellow</t>
  </si>
  <si>
    <t>Commonwealth Scientific and Industrial Research (CSIRO)</t>
  </si>
  <si>
    <t>Biomedical Manufacturing</t>
  </si>
  <si>
    <t>Research Way, Clayton VIC 3168</t>
  </si>
  <si>
    <t>+61-469-610-173</t>
  </si>
  <si>
    <t>Roop.Bhangu@csiro.au</t>
  </si>
  <si>
    <t>CU00553</t>
  </si>
  <si>
    <t>Allaka</t>
  </si>
  <si>
    <t>Bhargava Sai</t>
  </si>
  <si>
    <t>Lab No. 602, Department of Chemistry, National Institute of Technology, warangal, Telangana-506004</t>
  </si>
  <si>
    <t>9-849641984-9</t>
  </si>
  <si>
    <t>bhargav735@gmail.com</t>
  </si>
  <si>
    <t>CU00312</t>
  </si>
  <si>
    <t>CG00176</t>
  </si>
  <si>
    <t>Yi</t>
  </si>
  <si>
    <t>Bi</t>
  </si>
  <si>
    <t>Yantai University</t>
  </si>
  <si>
    <t>30 QINGQUAN ROAD,YANTAI,264005,CHINA</t>
  </si>
  <si>
    <t>China</t>
  </si>
  <si>
    <t>(+86)535-670-6285</t>
  </si>
  <si>
    <t>13361368686@163.com</t>
  </si>
  <si>
    <t>CU00769</t>
  </si>
  <si>
    <t>CG00384</t>
  </si>
  <si>
    <t>Kyle</t>
  </si>
  <si>
    <t>Biggar</t>
  </si>
  <si>
    <t>Carleton University</t>
  </si>
  <si>
    <t>Biochemistry</t>
  </si>
  <si>
    <t>1125 Colonel By Drive, Ottawa, Ontario K1S 5B6</t>
  </si>
  <si>
    <t>1-613-520-2600-4487-</t>
  </si>
  <si>
    <t>kyle.biggar@carleton.ca</t>
  </si>
  <si>
    <t>CU00801</t>
  </si>
  <si>
    <t>CG00396</t>
  </si>
  <si>
    <t>Muhammad</t>
  </si>
  <si>
    <t>Bilal Hassan Mahboob</t>
  </si>
  <si>
    <t>Monash Institute of Pharmaceutical Sciences (MIPS)</t>
  </si>
  <si>
    <t>381 Royal Parade, Parkville VIC 3052</t>
  </si>
  <si>
    <t>4-52054143-8</t>
  </si>
  <si>
    <t>Muhammad.mahboob@monash.edu</t>
  </si>
  <si>
    <t>CU00469</t>
  </si>
  <si>
    <t>CG00068</t>
  </si>
  <si>
    <t>Muriel</t>
  </si>
  <si>
    <t>Billamboz</t>
  </si>
  <si>
    <t>Laboratory of Pharmacochemistry</t>
  </si>
  <si>
    <t>13 rue de Toul - 59000 LILLE</t>
  </si>
  <si>
    <t>muriel.billamboz@yncrea.fr</t>
  </si>
  <si>
    <t>CU00209</t>
  </si>
  <si>
    <t>CG00124</t>
  </si>
  <si>
    <t>Junie</t>
  </si>
  <si>
    <t>Billones</t>
  </si>
  <si>
    <t>Program Leader</t>
  </si>
  <si>
    <t>University of the Philippines-Manila</t>
  </si>
  <si>
    <t>Department of Physical Sciences and Mathematics</t>
  </si>
  <si>
    <t>Philippines</t>
  </si>
  <si>
    <t>02-7085571</t>
  </si>
  <si>
    <t>jbbillones@up.edu.ph</t>
  </si>
  <si>
    <t>CU00481</t>
  </si>
  <si>
    <t>CG00265</t>
  </si>
  <si>
    <t>Joshua</t>
  </si>
  <si>
    <t>Bittker</t>
  </si>
  <si>
    <t>Director, Lead Discovery (former)</t>
  </si>
  <si>
    <t>Broad Institute</t>
  </si>
  <si>
    <t>Center for the Development of Therapeutics</t>
  </si>
  <si>
    <t>415 Main St. Cambridge, MA 02142</t>
  </si>
  <si>
    <t>(617) 714-7373</t>
  </si>
  <si>
    <t>jbittker@broadinstitute.org</t>
  </si>
  <si>
    <t>CU00382</t>
  </si>
  <si>
    <t>Beatriz</t>
  </si>
  <si>
    <t>Blanco-Rodriguez</t>
  </si>
  <si>
    <t>NHMRC Postdoctoral Research Officer</t>
  </si>
  <si>
    <t>Badger LaboratoriesThe University of Adelaide,North Terrace, Adelaide South Australia 5005, Australia</t>
  </si>
  <si>
    <t>+61466578920</t>
  </si>
  <si>
    <t>bea_blanco_r@hotmail.com</t>
  </si>
  <si>
    <t>CU00586</t>
  </si>
  <si>
    <t>Benjamin</t>
  </si>
  <si>
    <t>Blasco</t>
  </si>
  <si>
    <t>Discovery Senior Project Manager</t>
  </si>
  <si>
    <t>bblasco@gardp.org</t>
  </si>
  <si>
    <t>CU00406</t>
  </si>
  <si>
    <t>Blaskovich</t>
  </si>
  <si>
    <t>61 7 334 62994</t>
  </si>
  <si>
    <t>m.blaskovich@imb.uq.edu.au</t>
  </si>
  <si>
    <t>CU00345</t>
  </si>
  <si>
    <t>CG00018</t>
  </si>
  <si>
    <t>Alex</t>
  </si>
  <si>
    <t>Boddy</t>
  </si>
  <si>
    <t>Imperial College London</t>
  </si>
  <si>
    <t>South Kensington Campus, London, SW7 2AZ</t>
  </si>
  <si>
    <t>+44-0-20-7594-5811</t>
  </si>
  <si>
    <t>alexander.boddy16@imperial.ac.uk</t>
  </si>
  <si>
    <t>CU00125</t>
  </si>
  <si>
    <t>CG00072</t>
  </si>
  <si>
    <t>Jeffrey</t>
  </si>
  <si>
    <t>Bode</t>
  </si>
  <si>
    <t>ETH Zurich</t>
  </si>
  <si>
    <t>Department of Chemistry and Applied Biosciences</t>
  </si>
  <si>
    <t>Laboratorium für Organische Chemie, HCI F 308, Vladimir-Prelog-Weg 3, 8093 Zürich, Switzerland</t>
  </si>
  <si>
    <t>0041 44 63 32 103</t>
  </si>
  <si>
    <t>bode@org.chem.ethz.ch</t>
  </si>
  <si>
    <t>CU00717</t>
  </si>
  <si>
    <t>Gareth</t>
  </si>
  <si>
    <t>Boer</t>
  </si>
  <si>
    <t>School of Life and Environmental Sciences</t>
  </si>
  <si>
    <t>+61-3-5227-1439</t>
  </si>
  <si>
    <t>geboer@deakin.edu.au</t>
  </si>
  <si>
    <t>CU00477</t>
  </si>
  <si>
    <t>CG00178</t>
  </si>
  <si>
    <t>Michele</t>
  </si>
  <si>
    <t>Boghi</t>
  </si>
  <si>
    <t>University of Alberta</t>
  </si>
  <si>
    <t>Department of Chemistry, 11227 Saskatchewan Dr NW, University of Alberta, Edmonton, AB T6G 2G2 Canada</t>
  </si>
  <si>
    <t>1-587-594-8029</t>
  </si>
  <si>
    <t>boghi@ualberta.ca</t>
  </si>
  <si>
    <t>CU00759</t>
  </si>
  <si>
    <t>CG00381</t>
  </si>
  <si>
    <t>Joanna</t>
  </si>
  <si>
    <t>Bojarska</t>
  </si>
  <si>
    <t>Technical University of Lodz</t>
  </si>
  <si>
    <t>Zeromskiego 116, 90-924 Lodz</t>
  </si>
  <si>
    <t>Poland</t>
  </si>
  <si>
    <t>48,882,627,461</t>
  </si>
  <si>
    <t>joanna.bojarska@p.lodz.pl</t>
  </si>
  <si>
    <t/>
  </si>
  <si>
    <t>CU00128</t>
  </si>
  <si>
    <t>CG00074</t>
  </si>
  <si>
    <t>Carsten</t>
  </si>
  <si>
    <t>Bolm</t>
  </si>
  <si>
    <t>Professor of Organic Chemistry</t>
  </si>
  <si>
    <t>RWTH Aachen University</t>
  </si>
  <si>
    <t>Landoltweg 1, 52056 Aachen</t>
  </si>
  <si>
    <t>00 49 241 8094675</t>
  </si>
  <si>
    <t>carsten.bolm@oc.rwth-aachen.de</t>
  </si>
  <si>
    <t>CU00422</t>
  </si>
  <si>
    <t>CG00236</t>
  </si>
  <si>
    <t>Fernanda</t>
  </si>
  <si>
    <t>Borges</t>
  </si>
  <si>
    <t>University of Porto</t>
  </si>
  <si>
    <t>Rua do Campo Alegre, s/n, 4169-007 Porta</t>
  </si>
  <si>
    <t>00351-220-402-000</t>
  </si>
  <si>
    <t>fborges@fc.up.pt</t>
  </si>
  <si>
    <t>CU00361</t>
  </si>
  <si>
    <t>CG00202</t>
  </si>
  <si>
    <t>Dipl Chem</t>
  </si>
  <si>
    <t>Daniel</t>
  </si>
  <si>
    <t>Borowski</t>
  </si>
  <si>
    <t>Scientific employee</t>
  </si>
  <si>
    <t>University of Tuebingen</t>
  </si>
  <si>
    <t>Auf der Morgenstelle 18, 72076 Tübingen</t>
  </si>
  <si>
    <t>+49 (0)7071 29-78743</t>
  </si>
  <si>
    <t>daniel.borowski@uni-tuebingen.de</t>
  </si>
  <si>
    <t>CU00806</t>
  </si>
  <si>
    <t>BOUKELLAL</t>
  </si>
  <si>
    <t>Boubaker</t>
  </si>
  <si>
    <t>Industrial Biotechnology Division</t>
  </si>
  <si>
    <t>Centre de Recherche en Biotechnologie Ali Mendjli Nouvelle Ville UV 03 BP E73 Constantine - Algerie</t>
  </si>
  <si>
    <t>213667260431</t>
  </si>
  <si>
    <t>b.boukellal@crbt.dz</t>
  </si>
  <si>
    <t>CU00704</t>
  </si>
  <si>
    <t>CG00359</t>
  </si>
  <si>
    <t>Said</t>
  </si>
  <si>
    <t>Boukhris</t>
  </si>
  <si>
    <t>Ibn Tofail University</t>
  </si>
  <si>
    <t>Morocco</t>
  </si>
  <si>
    <t>00212-6-24-31-28-50</t>
  </si>
  <si>
    <t>nsboukhris@yahoo.com</t>
  </si>
  <si>
    <t>CU00013</t>
  </si>
  <si>
    <t>CG00006</t>
  </si>
  <si>
    <t>Rolf</t>
  </si>
  <si>
    <t>Breinbauer</t>
  </si>
  <si>
    <t>Technical University of Graz</t>
  </si>
  <si>
    <t>Institute of Organic Chemistry</t>
  </si>
  <si>
    <t>+43-316-873-32400</t>
  </si>
  <si>
    <t>breinbauer@tugraz.at</t>
  </si>
  <si>
    <t>CU00051</t>
  </si>
  <si>
    <t>CG00030</t>
  </si>
  <si>
    <t>Margaret</t>
  </si>
  <si>
    <t>Brimble</t>
  </si>
  <si>
    <t>School of Chemical Sciences</t>
  </si>
  <si>
    <t>+6493737599</t>
  </si>
  <si>
    <t>m.brimble@auckland.ac.nz</t>
  </si>
  <si>
    <t>CU00017</t>
  </si>
  <si>
    <t>CG00008</t>
  </si>
  <si>
    <t>Cheyenne</t>
  </si>
  <si>
    <t>Brindle</t>
  </si>
  <si>
    <t>Trinity College</t>
  </si>
  <si>
    <t>8602972479</t>
  </si>
  <si>
    <t>cheyenne.brindle@trincoll.edu</t>
  </si>
  <si>
    <t>CU00559</t>
  </si>
  <si>
    <t>CG00302</t>
  </si>
  <si>
    <t>William</t>
  </si>
  <si>
    <t>Brittain</t>
  </si>
  <si>
    <t>Durham University</t>
  </si>
  <si>
    <t>South Road, Durham, DH1 3LE</t>
  </si>
  <si>
    <t>44-7913125890</t>
  </si>
  <si>
    <t>william.d.brittain@durham.ac.uk</t>
  </si>
  <si>
    <t>CU00258</t>
  </si>
  <si>
    <t>CG00156</t>
  </si>
  <si>
    <t>Robert</t>
  </si>
  <si>
    <t>Brkljaca</t>
  </si>
  <si>
    <t>Research Officer (NMR)</t>
  </si>
  <si>
    <t>RMIT University</t>
  </si>
  <si>
    <t>School of Science (SSCI) Discipline of Chemistry</t>
  </si>
  <si>
    <t>GPO Box 2476, Melbourne, 3001, Victoria</t>
  </si>
  <si>
    <t>431478721</t>
  </si>
  <si>
    <t>robert.brkljaca@rmit.edu.au</t>
  </si>
  <si>
    <t>CU00201</t>
  </si>
  <si>
    <t>Alistair</t>
  </si>
  <si>
    <t>Brown</t>
  </si>
  <si>
    <t>PhD student, Biotechnology</t>
  </si>
  <si>
    <t>(+64)44638097</t>
  </si>
  <si>
    <t>alistair.brown@vuw.ac.nz</t>
  </si>
  <si>
    <t>CU00126</t>
  </si>
  <si>
    <t>CG00073</t>
  </si>
  <si>
    <t>Lauren</t>
  </si>
  <si>
    <t>Boston University</t>
  </si>
  <si>
    <t>Center for Molecular Discovery</t>
  </si>
  <si>
    <t>590 Commonwealth Ave. Boston, MA 02215</t>
  </si>
  <si>
    <t>617-358-6044</t>
  </si>
  <si>
    <t>brownle@bu.edu</t>
  </si>
  <si>
    <t>CU00648</t>
  </si>
  <si>
    <t>CG00338</t>
  </si>
  <si>
    <t>Alice</t>
  </si>
  <si>
    <t>Bruce</t>
  </si>
  <si>
    <t>University of Maine</t>
  </si>
  <si>
    <t>5706 Aubert Hall, University of Maine, Orono, Maine 04469-5706</t>
  </si>
  <si>
    <t>207-581-1182</t>
  </si>
  <si>
    <t>abruce@maine.edu</t>
  </si>
  <si>
    <t>Professor and Chair</t>
  </si>
  <si>
    <t>CU00649</t>
  </si>
  <si>
    <t>Mitchell</t>
  </si>
  <si>
    <t>Profess</t>
  </si>
  <si>
    <t>207-581-1190</t>
  </si>
  <si>
    <t>mbruce@maine.edu</t>
  </si>
  <si>
    <t>CU00001</t>
  </si>
  <si>
    <t>Andreas</t>
  </si>
  <si>
    <t>Brust</t>
  </si>
  <si>
    <t>+61 7 3346 2985 (0404518755)</t>
  </si>
  <si>
    <t>a.brust@imb.uq.edu.au</t>
  </si>
  <si>
    <t>CU00183</t>
  </si>
  <si>
    <t>CG00111</t>
  </si>
  <si>
    <t>Stefan</t>
  </si>
  <si>
    <t>Bräse</t>
  </si>
  <si>
    <t>Karlsruhe Institute of Technology (KIT)</t>
  </si>
  <si>
    <t>Institute of Toxicology and Genetics</t>
  </si>
  <si>
    <t>Institute of Toxicology and Genetics (ITG)Hermann-von-Helmholtz-Platz 1Building 341; Room 15576344 Eggenstein-Leopoldshafen</t>
  </si>
  <si>
    <t>+49 721 608 42902</t>
  </si>
  <si>
    <t>stefan.braese@kit.edu</t>
  </si>
  <si>
    <t>CU00451</t>
  </si>
  <si>
    <t>Srinivasa</t>
  </si>
  <si>
    <t>Budagumpi</t>
  </si>
  <si>
    <t>Assistant Proffesor</t>
  </si>
  <si>
    <t>9008375705</t>
  </si>
  <si>
    <t>b.srinivasa@jainuniversity.ac.in</t>
  </si>
  <si>
    <t>CU00032</t>
  </si>
  <si>
    <t>James</t>
  </si>
  <si>
    <t>Bull</t>
  </si>
  <si>
    <t>(44) 020 7594 5811</t>
  </si>
  <si>
    <t>j.bull@imperial.ac.uk</t>
  </si>
  <si>
    <t>CU00150</t>
  </si>
  <si>
    <t>CG00089</t>
  </si>
  <si>
    <t>Steve</t>
  </si>
  <si>
    <t>Head of Organic Chemistry at University of Bath</t>
  </si>
  <si>
    <t>University of Bath</t>
  </si>
  <si>
    <t>+44 (0) 1225 383551</t>
  </si>
  <si>
    <t>s.d.bull@bath.ac.uk</t>
  </si>
  <si>
    <t>CU00025</t>
  </si>
  <si>
    <t>CG00025</t>
  </si>
  <si>
    <t>Ewa</t>
  </si>
  <si>
    <t>Burchacka</t>
  </si>
  <si>
    <t>University of Technology</t>
  </si>
  <si>
    <t>Medicinal Chemistry and Microbiology</t>
  </si>
  <si>
    <t>48-71-530-269-659</t>
  </si>
  <si>
    <t>ewa.burchacka@pwr.edu.pl</t>
  </si>
  <si>
    <t>CU00506</t>
  </si>
  <si>
    <t>CG00274</t>
  </si>
  <si>
    <t>Anita</t>
  </si>
  <si>
    <t>Burger</t>
  </si>
  <si>
    <t>Research and Innovation Manager</t>
  </si>
  <si>
    <t>University of the Western Cape</t>
  </si>
  <si>
    <t>Institute for Microbial Biotechnology and Metagenomics</t>
  </si>
  <si>
    <t>Department of Biotechnology, Office 2.102 Level 2 Core 2,Life Sciences Building,Bellville 7535,Cape Town</t>
  </si>
  <si>
    <t>+27 21 959 2083</t>
  </si>
  <si>
    <t>alburger@uwc.ac.za</t>
  </si>
  <si>
    <t>CU00609</t>
  </si>
  <si>
    <t>CG00320</t>
  </si>
  <si>
    <t>Gabriela</t>
  </si>
  <si>
    <t>Cabrera</t>
  </si>
  <si>
    <t>Ciudad Universitaria, Pabellón 2 (1428)</t>
  </si>
  <si>
    <t>5411-4576-3385</t>
  </si>
  <si>
    <t>gabyc@qo.fcen.uba.ar</t>
  </si>
  <si>
    <t>CU00712</t>
  </si>
  <si>
    <t>CG00238</t>
  </si>
  <si>
    <t>Melissa</t>
  </si>
  <si>
    <t>Cadelis</t>
  </si>
  <si>
    <t>Research fellow</t>
  </si>
  <si>
    <t>23 Symonds Street, Auckland</t>
  </si>
  <si>
    <t>m.cadelis@auckland.ac.nz</t>
  </si>
  <si>
    <t>CU00019</t>
  </si>
  <si>
    <t>CG00004</t>
  </si>
  <si>
    <t>Conor</t>
  </si>
  <si>
    <t>Caffrey</t>
  </si>
  <si>
    <t>University of California San Francisco (UCSF)</t>
  </si>
  <si>
    <t>Department of Pharmaceutical Chemistry</t>
  </si>
  <si>
    <t>conor.caffrey@ucsf.edu</t>
  </si>
  <si>
    <t>CU00617</t>
  </si>
  <si>
    <t>CG00322</t>
  </si>
  <si>
    <t>PhD</t>
  </si>
  <si>
    <t>Fernando</t>
  </si>
  <si>
    <t>Cagide</t>
  </si>
  <si>
    <t>Chemistry and Biochemistry, Faculty of Sciences</t>
  </si>
  <si>
    <t>Rua do Campo Alegre, s/n, 4169-007 PORTO, PORTUGAL</t>
  </si>
  <si>
    <t>+351-220-402-000</t>
  </si>
  <si>
    <t>fernando.cagide@fc.up.pt</t>
  </si>
  <si>
    <t>CU00665</t>
  </si>
  <si>
    <t>CG00343</t>
  </si>
  <si>
    <t>Todd</t>
  </si>
  <si>
    <t>Camenisch</t>
  </si>
  <si>
    <t>Professor, Chair</t>
  </si>
  <si>
    <t>St John Fisher College</t>
  </si>
  <si>
    <t>Wegmans School of Pharmacy</t>
  </si>
  <si>
    <t>3690 East Ave</t>
  </si>
  <si>
    <t>585-385-8125</t>
  </si>
  <si>
    <t>tcamenisch@sjfc.edu</t>
  </si>
  <si>
    <t>CU00282</t>
  </si>
  <si>
    <t>Tarley</t>
  </si>
  <si>
    <t>Cameron</t>
  </si>
  <si>
    <t>Client Relationship Manager</t>
  </si>
  <si>
    <t>Evotec USA</t>
  </si>
  <si>
    <t>Commercial Project Management</t>
  </si>
  <si>
    <t>385 Oyster Point BlvdSuite 1South San FranciscoCA, 94080</t>
  </si>
  <si>
    <t>+ 1-650-228-1251</t>
  </si>
  <si>
    <t>tarley.cameron@evotec.com</t>
  </si>
  <si>
    <t>CU00749</t>
  </si>
  <si>
    <t>CG00376</t>
  </si>
  <si>
    <t>Jemimah</t>
  </si>
  <si>
    <t>Canning</t>
  </si>
  <si>
    <t>Research Student</t>
  </si>
  <si>
    <t>Australian National University (ANU)</t>
  </si>
  <si>
    <t>Research School of Chemistry</t>
  </si>
  <si>
    <t>Building 137, Sullivans Creek Rd, Acton ACT 2601</t>
  </si>
  <si>
    <t>Jemimah.Canning@anu.edu.au</t>
  </si>
  <si>
    <t>CU00124</t>
  </si>
  <si>
    <t>Trung</t>
  </si>
  <si>
    <t>Cao</t>
  </si>
  <si>
    <t>Postdoctoral researcher</t>
  </si>
  <si>
    <t>0041 44 63 22 988</t>
  </si>
  <si>
    <t>tcao@org.chem.ethz.ch</t>
  </si>
  <si>
    <t>CU00541</t>
  </si>
  <si>
    <t>CG00160</t>
  </si>
  <si>
    <t>Pablo</t>
  </si>
  <si>
    <t>Carames-Mendez</t>
  </si>
  <si>
    <t>University of Leeds</t>
  </si>
  <si>
    <t>Chemistry Stores, School of Chemistry,University of Leeds, Woodhouse Lane, Leeds, West Yorkshire, LS2 9JT, UK</t>
  </si>
  <si>
    <t>0113-34-36419</t>
  </si>
  <si>
    <t>chmpca@leeds.ac.uk</t>
  </si>
  <si>
    <t>CU00016</t>
  </si>
  <si>
    <t>CG00243</t>
  </si>
  <si>
    <t>Shmuel</t>
  </si>
  <si>
    <t>Carmeli</t>
  </si>
  <si>
    <t>Tel Aviv University</t>
  </si>
  <si>
    <t>School of Chemistry, Faculty of Exact Science</t>
  </si>
  <si>
    <t>Israel</t>
  </si>
  <si>
    <t>97236408550</t>
  </si>
  <si>
    <t>carmeli@post.tau.ac.il</t>
  </si>
  <si>
    <t>CU00419</t>
  </si>
  <si>
    <t>CG00234</t>
  </si>
  <si>
    <t>Naga Raju</t>
  </si>
  <si>
    <t>Chamarthi</t>
  </si>
  <si>
    <t>Sri Venkateswara University</t>
  </si>
  <si>
    <t>House No:15-70/1 Upstairs, Padmavathi Nagar, M. R. Palle, Tirupati -517502, Chittoor District, Andhra Pradesh, India.</t>
  </si>
  <si>
    <t>9.703193375E9</t>
  </si>
  <si>
    <t>rajuchamarthi10@gmail.com</t>
  </si>
  <si>
    <t>CU00566</t>
  </si>
  <si>
    <t>CG00305</t>
  </si>
  <si>
    <t>Schuyler</t>
  </si>
  <si>
    <t>Chambers</t>
  </si>
  <si>
    <t>Vanderbilt University</t>
  </si>
  <si>
    <t>1234 STEVENSON CENTER LN    STEVENSON CTR 7300                  NASHVILLE TN 37240</t>
  </si>
  <si>
    <t>615-343-9411</t>
  </si>
  <si>
    <t>schuyler.a.chambers@vanderbilt.edu</t>
  </si>
  <si>
    <t>CU00195</t>
  </si>
  <si>
    <t>CG00116</t>
  </si>
  <si>
    <t>Alec</t>
  </si>
  <si>
    <t>Charlson</t>
  </si>
  <si>
    <t>Honory Associate</t>
  </si>
  <si>
    <t>Macquarie University</t>
  </si>
  <si>
    <t>Department of Chemistry and Biomolecular Science</t>
  </si>
  <si>
    <t>Building F7B, 220 Balaclava Road, North Ryde NSW 2109</t>
  </si>
  <si>
    <t>61 2 9850-8313</t>
  </si>
  <si>
    <t>alec.charlson@gmail.com</t>
  </si>
  <si>
    <t>CU00688</t>
  </si>
  <si>
    <t>CG00355</t>
  </si>
  <si>
    <t>Jayanta</t>
  </si>
  <si>
    <t>Chatterjee</t>
  </si>
  <si>
    <t>Indian Institute of Science</t>
  </si>
  <si>
    <t>Molecular Biophysics Unit</t>
  </si>
  <si>
    <t>CV Raman Road, Malleswaram, Bangalore 560012, Karnataka</t>
  </si>
  <si>
    <t>9-17760806765-11</t>
  </si>
  <si>
    <t>jayanta@iisc.ac.in</t>
  </si>
  <si>
    <t>CU00160</t>
  </si>
  <si>
    <t>Chawner</t>
  </si>
  <si>
    <t>Postgraduate student</t>
  </si>
  <si>
    <t>7.932357193E9</t>
  </si>
  <si>
    <t>s.chawner13@imperial.ac.uk</t>
  </si>
  <si>
    <t>CU00696</t>
  </si>
  <si>
    <t>CG00360</t>
  </si>
  <si>
    <t>Prinessa</t>
  </si>
  <si>
    <t>Chellan</t>
  </si>
  <si>
    <t>Department of Chemistry and Polymer Science</t>
  </si>
  <si>
    <t>De Beers Building, Merriman Ave, Stellenbosch</t>
  </si>
  <si>
    <t>+27-21-808-3327</t>
  </si>
  <si>
    <t>pchellan@sun.ac.za</t>
  </si>
  <si>
    <t>CU00731</t>
  </si>
  <si>
    <t>CG00369</t>
  </si>
  <si>
    <t>Jack</t>
  </si>
  <si>
    <t>Chen</t>
  </si>
  <si>
    <t>Senior Lecturer in Chemistry</t>
  </si>
  <si>
    <t>Auckland University of Technology</t>
  </si>
  <si>
    <t>School of Sciences</t>
  </si>
  <si>
    <t>34 St Paul St, Auckland, 1142</t>
  </si>
  <si>
    <t>+64-22-644-1832</t>
  </si>
  <si>
    <t>jack.chen@aut.ac.nz</t>
  </si>
  <si>
    <t>CU00293</t>
  </si>
  <si>
    <t>CG00166</t>
  </si>
  <si>
    <t>Feng</t>
  </si>
  <si>
    <t>University of Warwick</t>
  </si>
  <si>
    <t>CV4 7AL</t>
  </si>
  <si>
    <t>f.chen@warwick.ac.uk</t>
  </si>
  <si>
    <t>CU00329</t>
  </si>
  <si>
    <t>Ao</t>
  </si>
  <si>
    <t>Australian Institute for Bioengineering and Nanotechnology (AIBN)</t>
  </si>
  <si>
    <t>Building 75, The University of Queensland, St Lucia 4072, Queensland</t>
  </si>
  <si>
    <t>412069897</t>
  </si>
  <si>
    <t>a.chen@uq.edu.au</t>
  </si>
  <si>
    <t>CU00639</t>
  </si>
  <si>
    <t>CG00335</t>
  </si>
  <si>
    <t>Emily</t>
  </si>
  <si>
    <t>Research Scientist (HTS)</t>
  </si>
  <si>
    <t>California Institute for Biomedical Research (Calibr)</t>
  </si>
  <si>
    <t>11119 N Torrey Pines Rd, La Jolla, CA 92037</t>
  </si>
  <si>
    <t>(858) 242-1130</t>
  </si>
  <si>
    <t>echen@scripps.edu</t>
  </si>
  <si>
    <t>CU00120</t>
  </si>
  <si>
    <t>CG00069</t>
  </si>
  <si>
    <t>Olivier</t>
  </si>
  <si>
    <t>Cheneval</t>
  </si>
  <si>
    <t>Bld 80 Carmody Road St Lucia, 4072</t>
  </si>
  <si>
    <t>+61733462324</t>
  </si>
  <si>
    <t>o.cheneval@imb.uq.edu.au</t>
  </si>
  <si>
    <t>CU00098</t>
  </si>
  <si>
    <t>CG00054</t>
  </si>
  <si>
    <t>Kelly</t>
  </si>
  <si>
    <t>Chibale</t>
  </si>
  <si>
    <t>University of Capetown</t>
  </si>
  <si>
    <t>27-21-650-2553</t>
  </si>
  <si>
    <t>kelly.chibale@uct.ac.za</t>
  </si>
  <si>
    <t>CU00358</t>
  </si>
  <si>
    <t>CG00199</t>
  </si>
  <si>
    <t>Chinmay</t>
  </si>
  <si>
    <t>Chowdury</t>
  </si>
  <si>
    <t>Principal Scientist</t>
  </si>
  <si>
    <t>Indian Institute of Chemical Biology</t>
  </si>
  <si>
    <t>Oraganic and Medicinal Chemistry</t>
  </si>
  <si>
    <t>4, RAJA S.C. MULLICK ROAD, JADAVPUR, KOLKATA -32</t>
  </si>
  <si>
    <t>9007685961</t>
  </si>
  <si>
    <t>chinmay@iicb.res.in</t>
  </si>
  <si>
    <t>CU00257</t>
  </si>
  <si>
    <t>CG00147</t>
  </si>
  <si>
    <t>Clark</t>
  </si>
  <si>
    <t>Senior Research Fellow</t>
  </si>
  <si>
    <t>School of Biomedical Sciences</t>
  </si>
  <si>
    <t>3365 1527</t>
  </si>
  <si>
    <t>richard.clark@uq.edu.au</t>
  </si>
  <si>
    <t>CU00521</t>
  </si>
  <si>
    <t>Clegg</t>
  </si>
  <si>
    <t xml:space="preserve">Associate Professor </t>
  </si>
  <si>
    <t>j.clegg@uq.edu.au</t>
  </si>
  <si>
    <t>CU00549</t>
  </si>
  <si>
    <t>Steven</t>
  </si>
  <si>
    <t>Cobb</t>
  </si>
  <si>
    <t>Reader</t>
  </si>
  <si>
    <t>44-191-33-42086</t>
  </si>
  <si>
    <t>s.l.cobb@durham.ac.uk</t>
  </si>
  <si>
    <t>CU00479</t>
  </si>
  <si>
    <t>CG00263</t>
  </si>
  <si>
    <t>Rachel</t>
  </si>
  <si>
    <t>Codd</t>
  </si>
  <si>
    <t>Principal investigator</t>
  </si>
  <si>
    <t>Discipline of Pharmacology</t>
  </si>
  <si>
    <t>Room 777, Molecular Bioscience Building G08, The University of Sydney, NSW 2008</t>
  </si>
  <si>
    <t>+61 2 9351 6738</t>
  </si>
  <si>
    <t>rachel.codd@sydney.edu.au</t>
  </si>
  <si>
    <t>CU00136</t>
  </si>
  <si>
    <t>CG00080</t>
  </si>
  <si>
    <t>Collins</t>
  </si>
  <si>
    <t>Chemist</t>
  </si>
  <si>
    <t>University of New South Wales, Australian Defence Force Academy (UNSW/ADFA)</t>
  </si>
  <si>
    <t>School of Physical, Environmental and Mathematical Sciences</t>
  </si>
  <si>
    <t>PO Box 7916, CANBERRA BC 2610</t>
  </si>
  <si>
    <t>61 2 6286 8077</t>
  </si>
  <si>
    <t>g.collins@adfa.edu.au</t>
  </si>
  <si>
    <t>CU00251</t>
  </si>
  <si>
    <t>CG00144</t>
  </si>
  <si>
    <t>Stuart</t>
  </si>
  <si>
    <t>Lecturer of Organic Chemistry</t>
  </si>
  <si>
    <t>University College Cork</t>
  </si>
  <si>
    <t>Ireland</t>
  </si>
  <si>
    <t>353214901717</t>
  </si>
  <si>
    <t>stuart.collins@ucc.ie</t>
  </si>
  <si>
    <t>CU00148</t>
  </si>
  <si>
    <t>CG00088</t>
  </si>
  <si>
    <t>Arnaud</t>
  </si>
  <si>
    <t>Comte</t>
  </si>
  <si>
    <t>Compound Library Manager</t>
  </si>
  <si>
    <t>Université Lyon 1</t>
  </si>
  <si>
    <t>ICBMS UMR5246</t>
  </si>
  <si>
    <t>43, Boulevard du 11 Novembre 1918 69100 Villeurbane</t>
  </si>
  <si>
    <t>+33472431417</t>
  </si>
  <si>
    <t>arnaud.comte@univ-lyon1.fr</t>
  </si>
  <si>
    <t>CU00223</t>
  </si>
  <si>
    <t>CG00131</t>
  </si>
  <si>
    <t>López</t>
  </si>
  <si>
    <t>Concepción</t>
  </si>
  <si>
    <t>Prof.</t>
  </si>
  <si>
    <t>Universitat de Barcelona</t>
  </si>
  <si>
    <t>Química Inorgánica</t>
  </si>
  <si>
    <t>Martí i Franquès 1-11; 08028-Barcelona</t>
  </si>
  <si>
    <t>Spain</t>
  </si>
  <si>
    <t>(+34)934039138</t>
  </si>
  <si>
    <t>concepcion.lopez@ub.edu</t>
  </si>
  <si>
    <t>CU00184</t>
  </si>
  <si>
    <t>CG00112</t>
  </si>
  <si>
    <t>Conda-Sheridan</t>
  </si>
  <si>
    <t>University of Nebraska Medical Center</t>
  </si>
  <si>
    <t>Department of Pharmaceutical Sciences</t>
  </si>
  <si>
    <t>DRC1 #1038985830 University of Nebraska Medical CenterOmaha, NE 68198-5830</t>
  </si>
  <si>
    <t>402-559-9361</t>
  </si>
  <si>
    <t>martin.condasheridan@unmc.edu</t>
  </si>
  <si>
    <t>CU00050</t>
  </si>
  <si>
    <t>CG00244</t>
  </si>
  <si>
    <t>Luke</t>
  </si>
  <si>
    <t>Connal</t>
  </si>
  <si>
    <t>University of Melbourne</t>
  </si>
  <si>
    <t>Department of Chemical and Biomolecular Engineering</t>
  </si>
  <si>
    <t>61  0390353578</t>
  </si>
  <si>
    <t>luke.connal@unimelb.edu.au</t>
  </si>
  <si>
    <t>CU00155</t>
  </si>
  <si>
    <t>CG00093</t>
  </si>
  <si>
    <t>Mike</t>
  </si>
  <si>
    <t>Coogan</t>
  </si>
  <si>
    <t>Lancaster University</t>
  </si>
  <si>
    <t>Dept. Chemistry, Faraday Building, Lancaster University, Bailrigg, Lancaster LA1 4YB</t>
  </si>
  <si>
    <t>1524592342</t>
  </si>
  <si>
    <t>m.coogan@lancs.ac.uk</t>
  </si>
  <si>
    <t>CU00231</t>
  </si>
  <si>
    <t>CG00135</t>
  </si>
  <si>
    <t>Cook</t>
  </si>
  <si>
    <t>Distinguished Professor</t>
  </si>
  <si>
    <t>UW-Milwaukee</t>
  </si>
  <si>
    <t>Chemistry and Biochemistry</t>
  </si>
  <si>
    <t>1-414-229-5856</t>
  </si>
  <si>
    <t>capncook@uwm.edu</t>
  </si>
  <si>
    <t>CU00228</t>
  </si>
  <si>
    <t>CG00134</t>
  </si>
  <si>
    <t>Greg</t>
  </si>
  <si>
    <t>University of Otago</t>
  </si>
  <si>
    <t>Microbiology &amp; Immunology</t>
  </si>
  <si>
    <t>720 Cumberland St, North Dunedin, Dunedin 9016</t>
  </si>
  <si>
    <t>+64 3 479 7722</t>
  </si>
  <si>
    <t>greg.cook@otago.ac.nz</t>
  </si>
  <si>
    <t>CU00226</t>
  </si>
  <si>
    <t>CG00133</t>
  </si>
  <si>
    <t>Gregory R</t>
  </si>
  <si>
    <t>Prof. and Chair</t>
  </si>
  <si>
    <t>North Dakota State University (NDSU)</t>
  </si>
  <si>
    <t>NDSU Ladd Hall 208, 1231 Albrecht Blvd, Fargo-58102</t>
  </si>
  <si>
    <t>7012317413</t>
  </si>
  <si>
    <t>gregory.cook@ndsu.edu</t>
  </si>
  <si>
    <t>CU00139</t>
  </si>
  <si>
    <t>Matthew</t>
  </si>
  <si>
    <t>Cooper</t>
  </si>
  <si>
    <t>61 7 334 62044</t>
  </si>
  <si>
    <t>m.cooper@uq.edu.au</t>
  </si>
  <si>
    <t>CU00425</t>
  </si>
  <si>
    <t>Brent</t>
  </si>
  <si>
    <t>Copp</t>
  </si>
  <si>
    <t>Deputy Head of School (Academic)</t>
  </si>
  <si>
    <t>+64-9-373-7599</t>
  </si>
  <si>
    <t>b.copp@auckland.ac.nz</t>
  </si>
  <si>
    <t>CU00239</t>
  </si>
  <si>
    <t>Peter</t>
  </si>
  <si>
    <t>Cossar</t>
  </si>
  <si>
    <t>Chemistry Department, School of Environmental and Life Sciences</t>
  </si>
  <si>
    <t>+61 422686867</t>
  </si>
  <si>
    <t>peter.cossar@uon.edu.au</t>
  </si>
  <si>
    <t>CU00052</t>
  </si>
  <si>
    <t>CG00031</t>
  </si>
  <si>
    <t>Coster</t>
  </si>
  <si>
    <t>Griffith University</t>
  </si>
  <si>
    <t>Griffith Institute for Drug Discovery</t>
  </si>
  <si>
    <t>Building N75,Brisbane Innovation Park, Don Young Road, Nathan Qld 4111</t>
  </si>
  <si>
    <t>07 3735 6037</t>
  </si>
  <si>
    <t>m.coster@griffith.edu.au</t>
  </si>
  <si>
    <t>CU00024</t>
  </si>
  <si>
    <t>CG00012</t>
  </si>
  <si>
    <t>Elizabeth</t>
  </si>
  <si>
    <t>Coulson</t>
  </si>
  <si>
    <t>Queensland Brain Institute</t>
  </si>
  <si>
    <t>+61 7 334 66392</t>
  </si>
  <si>
    <t>elizabeth.coulson@uq.edu.au</t>
  </si>
  <si>
    <t>CU00244</t>
  </si>
  <si>
    <t>CG00142</t>
  </si>
  <si>
    <t>Evans</t>
  </si>
  <si>
    <t>Coutinho</t>
  </si>
  <si>
    <t>Bombay College of Pharmacy</t>
  </si>
  <si>
    <t>Bombay College of Pharmacy, Sundernagar, Kalina, Santacruz East, Mumbai- 4000098</t>
  </si>
  <si>
    <t>evanscoutinho@gmail.com</t>
  </si>
  <si>
    <t>+91 022 2667 0905</t>
  </si>
  <si>
    <t>evans@bcpindia.org</t>
  </si>
  <si>
    <t>CU00010</t>
  </si>
  <si>
    <t>Barny</t>
  </si>
  <si>
    <t>Cox</t>
  </si>
  <si>
    <t>+44 (0)20 7679 9000</t>
  </si>
  <si>
    <t>b.cox@uclb.com</t>
  </si>
  <si>
    <t>CU00679</t>
  </si>
  <si>
    <t>CG00327</t>
  </si>
  <si>
    <t>Craig</t>
  </si>
  <si>
    <t>Associate Professor of Chemistry</t>
  </si>
  <si>
    <t>McDaniel College</t>
  </si>
  <si>
    <t>2 College Hill, Westminster, MD, 21157</t>
  </si>
  <si>
    <t>410-857-2494</t>
  </si>
  <si>
    <t>pcraig@mcdaniel.edu</t>
  </si>
  <si>
    <t>CU00121</t>
  </si>
  <si>
    <t>Craik</t>
  </si>
  <si>
    <t>306 Carmody Road, St Lucia, Brisbane</t>
  </si>
  <si>
    <t>61733462019</t>
  </si>
  <si>
    <t>d.craik@imb.uq.edu.au</t>
  </si>
  <si>
    <t>CU00377</t>
  </si>
  <si>
    <t>CG00211</t>
  </si>
  <si>
    <t>Rhiannon</t>
  </si>
  <si>
    <t>Creasey</t>
  </si>
  <si>
    <t>School of Chemical Engineering</t>
  </si>
  <si>
    <t>Level 3 Don Nicklin Building 74, College Rd, St Lucia 4072</t>
  </si>
  <si>
    <t>0478663273</t>
  </si>
  <si>
    <t>r.creasey@uq.edu.au</t>
  </si>
  <si>
    <t>CU00205</t>
  </si>
  <si>
    <t>CG00122</t>
  </si>
  <si>
    <t>Margarita</t>
  </si>
  <si>
    <t>Crespo</t>
  </si>
  <si>
    <t>Dpt Química Inorgànica</t>
  </si>
  <si>
    <t>Diagonal, 645- 08028 Barcelona</t>
  </si>
  <si>
    <t>34934039132</t>
  </si>
  <si>
    <t>margarita.crespo@qi.ub.es</t>
  </si>
  <si>
    <t>CU00681</t>
  </si>
  <si>
    <t>CG00351</t>
  </si>
  <si>
    <t>Sidney</t>
  </si>
  <si>
    <t>Creutz</t>
  </si>
  <si>
    <t>assistant professor</t>
  </si>
  <si>
    <t>Mississippi State University</t>
  </si>
  <si>
    <t>310 President's Circle
Mississippi State University
Mississippi State, MS 39762-9573</t>
  </si>
  <si>
    <t>662-518-9530</t>
  </si>
  <si>
    <t>screutz@chemistry.msstate.edu</t>
  </si>
  <si>
    <t>CU00260</t>
  </si>
  <si>
    <t>CG00148</t>
  </si>
  <si>
    <t>Crooks</t>
  </si>
  <si>
    <t>University of Arkansas For Medical Sciences</t>
  </si>
  <si>
    <t>15016866495</t>
  </si>
  <si>
    <t>pacrooks@uams.edu</t>
  </si>
  <si>
    <t>CU00807</t>
  </si>
  <si>
    <t>CG00398</t>
  </si>
  <si>
    <t>Crowley</t>
  </si>
  <si>
    <t>Union Place, Dunedin North, Dunedin 9016</t>
  </si>
  <si>
    <t>64-3-479-7731</t>
  </si>
  <si>
    <t>jcrowley@chemistry.otago.ac.nz</t>
  </si>
  <si>
    <t>CU00734</t>
  </si>
  <si>
    <t>Csucker</t>
  </si>
  <si>
    <t>Winterthurerstr. 190</t>
  </si>
  <si>
    <t>4-144635458-10</t>
  </si>
  <si>
    <t>joshua.csucker@chem.uzh.ch</t>
  </si>
  <si>
    <t>CU00454</t>
  </si>
  <si>
    <t>CG00254</t>
  </si>
  <si>
    <t>Yun</t>
  </si>
  <si>
    <t>Cui</t>
  </si>
  <si>
    <t>Research Assistant</t>
  </si>
  <si>
    <t>Université de Montréal</t>
  </si>
  <si>
    <t>Pharmacology and Physiology</t>
  </si>
  <si>
    <t>2900 Edouard Montpetit, Office V-437-1, Montreal, Qc, H3T 1J4</t>
  </si>
  <si>
    <t>(514) 343-6111 (3070)</t>
  </si>
  <si>
    <t>yun.cui@umontreal.ca</t>
  </si>
  <si>
    <t>CU00756</t>
  </si>
  <si>
    <t>CG00379</t>
  </si>
  <si>
    <t>Yuhan</t>
  </si>
  <si>
    <t>Cun</t>
  </si>
  <si>
    <t>University of Wollongong</t>
  </si>
  <si>
    <t>School of Chemistry and Molecular Bioscience</t>
  </si>
  <si>
    <t>Building 18 Northfields Avenue Wollongong, NSW 2522</t>
  </si>
  <si>
    <t>+61-2-4221-3509</t>
  </si>
  <si>
    <t>ywc538@uowmail.edu.au</t>
  </si>
  <si>
    <t>CU00376</t>
  </si>
  <si>
    <t>Rodrigo</t>
  </si>
  <si>
    <t>Cunha</t>
  </si>
  <si>
    <t>+55 1149968384</t>
  </si>
  <si>
    <t>rlorcunha@gmail.com</t>
  </si>
  <si>
    <t>CU00590</t>
  </si>
  <si>
    <t>Renata</t>
  </si>
  <si>
    <t>Da Costa</t>
  </si>
  <si>
    <t>Project Officer</t>
  </si>
  <si>
    <t>rdacosta@dndi.org</t>
  </si>
  <si>
    <t>CU00004</t>
  </si>
  <si>
    <t>Alberto Boucas</t>
  </si>
  <si>
    <t>Da Silva</t>
  </si>
  <si>
    <t>334 62747</t>
  </si>
  <si>
    <t>a.silva@imb.uq.edu.au</t>
  </si>
  <si>
    <t>CU00499</t>
  </si>
  <si>
    <t>CG00271</t>
  </si>
  <si>
    <t>Ramesh</t>
  </si>
  <si>
    <t>Dalavai</t>
  </si>
  <si>
    <t>VIT University</t>
  </si>
  <si>
    <t>Organic Chemistry</t>
  </si>
  <si>
    <t>Katpadi Road, Vellore, Tamil Nadu 632014</t>
  </si>
  <si>
    <t>9738639507</t>
  </si>
  <si>
    <t>ramesh.dalavai003@gmail.com</t>
  </si>
  <si>
    <t>CU00063</t>
  </si>
  <si>
    <t>CG00038</t>
  </si>
  <si>
    <t>Norelle</t>
  </si>
  <si>
    <t>Daly</t>
  </si>
  <si>
    <t>Australian Institute of Tropical Health &amp; Medicine</t>
  </si>
  <si>
    <t>61742321815</t>
  </si>
  <si>
    <t>norelle.daly@jcu.edu.au</t>
  </si>
  <si>
    <t>CU00727</t>
  </si>
  <si>
    <t>CG00368</t>
  </si>
  <si>
    <t>College Rd, Cork</t>
  </si>
  <si>
    <t>353862411376</t>
  </si>
  <si>
    <t>112441022@umail.ucc.ie</t>
  </si>
  <si>
    <t>CU00802</t>
  </si>
  <si>
    <t>College Road, University College Cork, Cork</t>
  </si>
  <si>
    <t>8-51598971-8</t>
  </si>
  <si>
    <t>120391591@umail.ucc.ie</t>
  </si>
  <si>
    <t>CU00189</t>
  </si>
  <si>
    <t>CG00113</t>
  </si>
  <si>
    <t>Svitlana</t>
  </si>
  <si>
    <t>Danylchenko</t>
  </si>
  <si>
    <t>National University of Pharmacy</t>
  </si>
  <si>
    <t>Department of Innovation Management</t>
  </si>
  <si>
    <t>Kharkiv, Pushkinska st. 53</t>
  </si>
  <si>
    <t>+380 50 2414544; +380 57 706-30-71</t>
  </si>
  <si>
    <t>povstenko@gmail.com</t>
  </si>
  <si>
    <t>CU00465</t>
  </si>
  <si>
    <t>Dash</t>
  </si>
  <si>
    <t>Craik Group. 306 carmody road, St Lucia, 4072 Queensland</t>
  </si>
  <si>
    <t>61733462023</t>
  </si>
  <si>
    <t>t.dash@uq.net.au</t>
  </si>
  <si>
    <t>CU00076</t>
  </si>
  <si>
    <t>CG00045</t>
  </si>
  <si>
    <t>Rohan</t>
  </si>
  <si>
    <t>Davis</t>
  </si>
  <si>
    <t>+61 7 3735 6043</t>
  </si>
  <si>
    <t>r.davis@griffith.edu.au</t>
  </si>
  <si>
    <t>CU00137</t>
  </si>
  <si>
    <t>CG00081</t>
  </si>
  <si>
    <t>Anthony</t>
  </si>
  <si>
    <t>Day</t>
  </si>
  <si>
    <t>Senior lecturer</t>
  </si>
  <si>
    <t>School of Science</t>
  </si>
  <si>
    <t>Northcott drive campbell, Act, 2612</t>
  </si>
  <si>
    <t>432599642</t>
  </si>
  <si>
    <t>a.day@adfa.edu.au</t>
  </si>
  <si>
    <t>CU00611</t>
  </si>
  <si>
    <t>Daïch</t>
  </si>
  <si>
    <t>Profesor</t>
  </si>
  <si>
    <t>University of Le Havre Normandy</t>
  </si>
  <si>
    <t>25 Rue Philippe Lebon, BP. 112376063 LE HAVRE Cedex</t>
  </si>
  <si>
    <t>+33-232-744-403</t>
  </si>
  <si>
    <t>adam.daich@univ-lehavre.fr</t>
  </si>
  <si>
    <t>CU00299</t>
  </si>
  <si>
    <t>CG00170</t>
  </si>
  <si>
    <t>De Jonghe</t>
  </si>
  <si>
    <t>Industrial Research Manager</t>
  </si>
  <si>
    <t>KU Leuven</t>
  </si>
  <si>
    <t>Rega Institute, Lab of Medicinal Chemistry</t>
  </si>
  <si>
    <t>Minderbroedersstraat 10 ; 3000 Leuven</t>
  </si>
  <si>
    <t>Belgium</t>
  </si>
  <si>
    <t>32 (0)16 / 32 26 62</t>
  </si>
  <si>
    <t>steven.dejonghe@kuleuven.be</t>
  </si>
  <si>
    <t>CU00298</t>
  </si>
  <si>
    <t>CG00169</t>
  </si>
  <si>
    <t>Dilip</t>
  </si>
  <si>
    <t>De Silva</t>
  </si>
  <si>
    <t>Senior Professor</t>
  </si>
  <si>
    <t>University of Colombo</t>
  </si>
  <si>
    <t>Cumaranatunga Munidasa Mw.</t>
  </si>
  <si>
    <t>Sri Lanka</t>
  </si>
  <si>
    <t>(+94) 77 5732786</t>
  </si>
  <si>
    <t>dilip@chem.cmb.ac.lk</t>
  </si>
  <si>
    <t>CU00350</t>
  </si>
  <si>
    <t>Anke</t>
  </si>
  <si>
    <t>Deckers</t>
  </si>
  <si>
    <t>Compound Platform Screening Manager</t>
  </si>
  <si>
    <t>+49 721 608 24697</t>
  </si>
  <si>
    <t>anke.deckers@kit.edu</t>
  </si>
  <si>
    <t>CU00544</t>
  </si>
  <si>
    <t>Mathilde</t>
  </si>
  <si>
    <t>Desselle</t>
  </si>
  <si>
    <t>Project manager</t>
  </si>
  <si>
    <t>mathilde.desselle@qut.edu.au</t>
  </si>
  <si>
    <t>CU00775</t>
  </si>
  <si>
    <t>CG00387</t>
  </si>
  <si>
    <t>Amy</t>
  </si>
  <si>
    <t>Deveau</t>
  </si>
  <si>
    <t>tenured professor</t>
  </si>
  <si>
    <t>University of New England</t>
  </si>
  <si>
    <t>School of Mathematical &amp; Physical Sciences</t>
  </si>
  <si>
    <t>11 Hills Beach Road</t>
  </si>
  <si>
    <t>1-207-468-2595</t>
  </si>
  <si>
    <t>adeveau@une.edu</t>
  </si>
  <si>
    <t>CU00736</t>
  </si>
  <si>
    <t>CG00370</t>
  </si>
  <si>
    <t>Pramod</t>
  </si>
  <si>
    <t>Dhokrat</t>
  </si>
  <si>
    <t>Dr. Babasaheb Ambedkar Marathwada University</t>
  </si>
  <si>
    <t>Chemistry Department, Dr. BAMU University, Sub Campus, Osmnabad, Maharashtra-4135011</t>
  </si>
  <si>
    <t>9-763338372-9</t>
  </si>
  <si>
    <t>pramod.a.dhokrat@gmail.com</t>
  </si>
  <si>
    <t>CU00677</t>
  </si>
  <si>
    <t>Rana</t>
  </si>
  <si>
    <t>Diab</t>
  </si>
  <si>
    <t>2-01112571135-11</t>
  </si>
  <si>
    <t>r.diab@zu.edu.eg</t>
  </si>
  <si>
    <t>CU00142</t>
  </si>
  <si>
    <t>CG00083</t>
  </si>
  <si>
    <t>Dick</t>
  </si>
  <si>
    <t>National University of Singapore (NUS)</t>
  </si>
  <si>
    <t>Department of Microbiology</t>
  </si>
  <si>
    <t>National University of Singapore, Department of Microbiology, Yong Loo Lin School of MedicineMD4 #05-03K, 5 Science Drive 2, Singapore 117545</t>
  </si>
  <si>
    <t>(+65)6516-6741</t>
  </si>
  <si>
    <t>thomas_dick@nuhs.edu.sg</t>
  </si>
  <si>
    <t>CU00012</t>
  </si>
  <si>
    <t>CG00043</t>
  </si>
  <si>
    <t>Bruno</t>
  </si>
  <si>
    <t>Didier</t>
  </si>
  <si>
    <t>Centre national de la recherche scientifique (CNRS)</t>
  </si>
  <si>
    <t>+33 3 68 85 43 20</t>
  </si>
  <si>
    <t>bdidier@unistra.fr</t>
  </si>
  <si>
    <t>CU00636</t>
  </si>
  <si>
    <t>CG00333</t>
  </si>
  <si>
    <t>Josh</t>
  </si>
  <si>
    <t>Dilly</t>
  </si>
  <si>
    <t>IMB</t>
  </si>
  <si>
    <t>306 Carmody Road</t>
  </si>
  <si>
    <t>3-3462107-7</t>
  </si>
  <si>
    <t>joshua.dilly@uq.net.au</t>
  </si>
  <si>
    <t>CU00548</t>
  </si>
  <si>
    <t>CG00152</t>
  </si>
  <si>
    <t>Reddy</t>
  </si>
  <si>
    <t>Dinesh</t>
  </si>
  <si>
    <t>Scientist-C</t>
  </si>
  <si>
    <t>Centre for Nano and Material Sciences</t>
  </si>
  <si>
    <t>Jain University, Jain Global Campus, Jakkasandra Post, Kanakapura Taluk, Ramanagara-562112, Karnataka</t>
  </si>
  <si>
    <t>9-916153019-9</t>
  </si>
  <si>
    <t>dineshchem07@gmail.com</t>
  </si>
  <si>
    <t>CU00297</t>
  </si>
  <si>
    <t>Ranga</t>
  </si>
  <si>
    <t>Dissanayake</t>
  </si>
  <si>
    <t>(94) 771283011</t>
  </si>
  <si>
    <t>ranga@chem.cmb.ac.lk</t>
  </si>
  <si>
    <t>CU00596</t>
  </si>
  <si>
    <t>CG00314</t>
  </si>
  <si>
    <t>Maksim</t>
  </si>
  <si>
    <t>Dmitriev</t>
  </si>
  <si>
    <t>Perm State University</t>
  </si>
  <si>
    <t>Department of Chemistry, Perm State University, ul. Bukireva 15,
Perm 614990, Russian Federation</t>
  </si>
  <si>
    <t>Russia</t>
  </si>
  <si>
    <t>7902-6491694</t>
  </si>
  <si>
    <t>maxperm@yandex.ru</t>
  </si>
  <si>
    <t>CU00571</t>
  </si>
  <si>
    <t>CG00047</t>
  </si>
  <si>
    <t>Chris</t>
  </si>
  <si>
    <t>Dobie</t>
  </si>
  <si>
    <t>School of Chemistry
University of Wollongong
Northfields Avenue
WOLLONGONG NSW 2522
AUSTRALIA</t>
  </si>
  <si>
    <t>61-2- 42-21-4001</t>
  </si>
  <si>
    <t>cd959@uowmail.edu.au</t>
  </si>
  <si>
    <t>CU00384</t>
  </si>
  <si>
    <t>Eman</t>
  </si>
  <si>
    <t>Dokla</t>
  </si>
  <si>
    <t>Lecturer of Pharmaceutical Chemistry</t>
  </si>
  <si>
    <t>002 01114551524</t>
  </si>
  <si>
    <t>emanelawady@pharma.asu.edu.eg</t>
  </si>
  <si>
    <t>CU00100</t>
  </si>
  <si>
    <t>CG00056</t>
  </si>
  <si>
    <t>Naven</t>
  </si>
  <si>
    <t>Dolla</t>
  </si>
  <si>
    <t>CU00077</t>
  </si>
  <si>
    <t>Doran</t>
  </si>
  <si>
    <t>r.doran@imperial.ac.uk</t>
  </si>
  <si>
    <t>CU00304</t>
  </si>
  <si>
    <t>CG00172</t>
  </si>
  <si>
    <t>Cynthia</t>
  </si>
  <si>
    <t>Dowd</t>
  </si>
  <si>
    <t>George Washington University</t>
  </si>
  <si>
    <t>202-994-8405</t>
  </si>
  <si>
    <t>cdowd@gwu.edu</t>
  </si>
  <si>
    <t>CU00283</t>
  </si>
  <si>
    <t>Angelique</t>
  </si>
  <si>
    <t>Doy</t>
  </si>
  <si>
    <t>Project Manager</t>
  </si>
  <si>
    <t>pathogenbox@mmv.org</t>
  </si>
  <si>
    <t>+41 22 555 03 11</t>
  </si>
  <si>
    <t>doya@mmv.org</t>
  </si>
  <si>
    <t>CU00597</t>
  </si>
  <si>
    <t>CG00315</t>
  </si>
  <si>
    <t>Michael</t>
  </si>
  <si>
    <t>Doyle</t>
  </si>
  <si>
    <t>The Rita/John Feik Distinguished University Chair in Medicinal Chemistry</t>
  </si>
  <si>
    <t>University of Texas at San Antonio</t>
  </si>
  <si>
    <t>4.306, BSE Building, One UTSA Circle San Antonio, TX 78249</t>
  </si>
  <si>
    <t>210-458-4196</t>
  </si>
  <si>
    <t>michael.doyle@UTSA.edu</t>
  </si>
  <si>
    <t>CU00326</t>
  </si>
  <si>
    <t>CG00183</t>
  </si>
  <si>
    <t>Jason</t>
  </si>
  <si>
    <t>Draper</t>
  </si>
  <si>
    <t>adjunct faculty member</t>
  </si>
  <si>
    <t>Biology and Biochemistry</t>
  </si>
  <si>
    <t>3003 Snelling Ave N, St. Paul, MN 55113</t>
  </si>
  <si>
    <t>651-347-7402</t>
  </si>
  <si>
    <t>jadraper@unwsp.edu</t>
  </si>
  <si>
    <t>CU00443</t>
  </si>
  <si>
    <t>CG00248</t>
  </si>
  <si>
    <t>Nyssa</t>
  </si>
  <si>
    <t>Drinkwater</t>
  </si>
  <si>
    <t>Biomedicine Discovery Institute</t>
  </si>
  <si>
    <t>Department of Microbiology, Scenic Blvd &amp; Wellington Road, Clayton VIC 3800</t>
  </si>
  <si>
    <t>03-99029371</t>
  </si>
  <si>
    <t>nyssa.drinkwater@monash.edu</t>
  </si>
  <si>
    <t>CU00334</t>
  </si>
  <si>
    <t>CG00187</t>
  </si>
  <si>
    <t>Mikhail</t>
  </si>
  <si>
    <t>Dubovis</t>
  </si>
  <si>
    <t>Mendeleev University of Chemical Technology of Russia</t>
  </si>
  <si>
    <t>Geroev Panfilovtsev st., 20, 125480 Moscow</t>
  </si>
  <si>
    <t>+7 915 326 6143</t>
  </si>
  <si>
    <t>mdubovis@gmail.com</t>
  </si>
  <si>
    <t>CU00487</t>
  </si>
  <si>
    <t>Duffy</t>
  </si>
  <si>
    <t>Associate Director, Drug Discovery</t>
  </si>
  <si>
    <t>duffyj@mmv.org</t>
  </si>
  <si>
    <t>CU00229</t>
  </si>
  <si>
    <t>Elyse</t>
  </si>
  <si>
    <t>Dunn</t>
  </si>
  <si>
    <t>+64 3 479 6463</t>
  </si>
  <si>
    <t>elyse.a.dunn@gmail.com</t>
  </si>
  <si>
    <t>CU00527</t>
  </si>
  <si>
    <t>CG00285</t>
  </si>
  <si>
    <t>Fernando Javier</t>
  </si>
  <si>
    <t>Duran</t>
  </si>
  <si>
    <t>Universidad de Buenos Aires</t>
  </si>
  <si>
    <t>Departamento de Química Orgánica. Facultad de Ciencias Exactas y Naturales. Universidad de Buenos Aires. Pabellón 2, Piso 3, Ciudad Universitaria. C1428EHA Buenos Aires</t>
  </si>
  <si>
    <t>+5411-45763385;-+54911-54746652</t>
  </si>
  <si>
    <t>fduran@qo.fcen.uba.ar</t>
  </si>
  <si>
    <t>CU00466</t>
  </si>
  <si>
    <t>Durek</t>
  </si>
  <si>
    <t>Post Doc</t>
  </si>
  <si>
    <t>306 carmody road, st Lucia, Brisbane</t>
  </si>
  <si>
    <t>+61 7 334 62021</t>
  </si>
  <si>
    <t>t.durek@imb.uq.edu.au</t>
  </si>
  <si>
    <t>CU00369</t>
  </si>
  <si>
    <t>CG00207</t>
  </si>
  <si>
    <t>Narine</t>
  </si>
  <si>
    <t>Durgaryan</t>
  </si>
  <si>
    <t>Head of Organic Chemistry Department</t>
  </si>
  <si>
    <t>Yerevan State University</t>
  </si>
  <si>
    <t>Alex Manoogian 1, Yerevan, 025,</t>
  </si>
  <si>
    <t>Armenia</t>
  </si>
  <si>
    <t>37491320631</t>
  </si>
  <si>
    <t>n.durgaryan@ysu.am</t>
  </si>
  <si>
    <t>CU00740</t>
  </si>
  <si>
    <t>Dutton</t>
  </si>
  <si>
    <t>The Learning Commons
(TLC Building), Room 105 or 118
Kingsbury Drive
Bundoora
Victoria
3083</t>
  </si>
  <si>
    <t>j.dutton@latrobe.edu.au</t>
  </si>
  <si>
    <t>CU00272</t>
  </si>
  <si>
    <t>CG00155</t>
  </si>
  <si>
    <t>Brian</t>
  </si>
  <si>
    <t>Dymock</t>
  </si>
  <si>
    <t>Pharmacy</t>
  </si>
  <si>
    <t>18 Science Drive 4S4A L3Singapore 117543</t>
  </si>
  <si>
    <t>6566012495</t>
  </si>
  <si>
    <t>phadbw@nus.edu.sg</t>
  </si>
  <si>
    <t>CU00429</t>
  </si>
  <si>
    <t>CG00240</t>
  </si>
  <si>
    <t>Dyson</t>
  </si>
  <si>
    <t>Ecole Polytechnique Fédérale de Lausanne (EPFL)</t>
  </si>
  <si>
    <t>Institut des Sciences et Ingénierie Chimique (ISIC)</t>
  </si>
  <si>
    <t>Ecole polytechnique fédérale de Lausanne Institut des sciences et ingénierie chimiques EPFL SB ISIC LCOM BCH 2402 (Batochime) CH-1015 Lausanne</t>
  </si>
  <si>
    <t>+41 (0)21 693 98 54</t>
  </si>
  <si>
    <t>paul.dyson@epfl.ch</t>
  </si>
  <si>
    <t>CU00162</t>
  </si>
  <si>
    <t>CG00096</t>
  </si>
  <si>
    <t>Antonio M.</t>
  </si>
  <si>
    <t>Echavarre</t>
  </si>
  <si>
    <t>Prof. Echavarren Group</t>
  </si>
  <si>
    <t>Av. Països Catalans, 16 43007 Tarragona</t>
  </si>
  <si>
    <t>977920218</t>
  </si>
  <si>
    <t>aechavarren@iciq.es</t>
  </si>
  <si>
    <t>CU00252</t>
  </si>
  <si>
    <t>CG00145</t>
  </si>
  <si>
    <t>Eckert</t>
  </si>
  <si>
    <t>Government Contract Specialist</t>
  </si>
  <si>
    <t>NIH</t>
  </si>
  <si>
    <t>385 Oyster Point BlvdSouth San Francisco, CA 94080</t>
  </si>
  <si>
    <t>1.650.228.1340</t>
  </si>
  <si>
    <t>mike.eckert@evotec.com</t>
  </si>
  <si>
    <t>CU00646</t>
  </si>
  <si>
    <t>CG00337</t>
  </si>
  <si>
    <t>Eckroat</t>
  </si>
  <si>
    <t>Assistant Professor of Chemistry</t>
  </si>
  <si>
    <t>Penn State Behrend</t>
  </si>
  <si>
    <t>4205 College Drive, Erie, Pennsylvania, 16563-0203</t>
  </si>
  <si>
    <t>814-898-6839</t>
  </si>
  <si>
    <t>tje146@psu.edu</t>
  </si>
  <si>
    <t>CU00171</t>
  </si>
  <si>
    <t>CG00102</t>
  </si>
  <si>
    <t>Mardia</t>
  </si>
  <si>
    <t>El Sayed</t>
  </si>
  <si>
    <t>National Research Centre</t>
  </si>
  <si>
    <t>Department of Applied Organic Chemistry</t>
  </si>
  <si>
    <t>El Behous str. Cairo, Dokki,</t>
  </si>
  <si>
    <t>201094983798</t>
  </si>
  <si>
    <t xml:space="preserve">mardia_elsayed2009@yahoo.com </t>
  </si>
  <si>
    <t>CU00773</t>
  </si>
  <si>
    <t>CG00386</t>
  </si>
  <si>
    <t>El-Gamal</t>
  </si>
  <si>
    <t>University of Sharjah</t>
  </si>
  <si>
    <t>College of Pharmacy, Medicinal Chemistry</t>
  </si>
  <si>
    <t>University Campus, Sharjah 27272</t>
  </si>
  <si>
    <t>United Arab Emirates</t>
  </si>
  <si>
    <t>9-71505191436-11</t>
  </si>
  <si>
    <t>malgamal@sharjah.ac.ae</t>
  </si>
  <si>
    <t>CU00695</t>
  </si>
  <si>
    <t>CG00357</t>
  </si>
  <si>
    <t>Soad</t>
  </si>
  <si>
    <t>El-Hawash</t>
  </si>
  <si>
    <t>Emeritus professor</t>
  </si>
  <si>
    <t>Alexandria University</t>
  </si>
  <si>
    <t>1 El-Khartoom Square, El-Azareta, Alexandria, Egypt</t>
  </si>
  <si>
    <t>2-01222834703-11</t>
  </si>
  <si>
    <t>soad.elhawash@alexu.edu.eg</t>
  </si>
  <si>
    <t>CU00745</t>
  </si>
  <si>
    <t>CG00374</t>
  </si>
  <si>
    <t>Aliya</t>
  </si>
  <si>
    <t>El-Newahie</t>
  </si>
  <si>
    <t>Lecturer Assistant</t>
  </si>
  <si>
    <t>October University for Modern Sciences and Arts (MSA)</t>
  </si>
  <si>
    <t>Pharmaceutical Organic Chemistry, Faculty of Pharmacy</t>
  </si>
  <si>
    <t>26 July Mehwar Road intersection with Wahat Road, 6th October City. Cairo, Egypt</t>
  </si>
  <si>
    <t>+2-01110228822</t>
  </si>
  <si>
    <t>anewahie@msa.edu.eg</t>
  </si>
  <si>
    <t>CU00702</t>
  </si>
  <si>
    <t>CG00195</t>
  </si>
  <si>
    <t>Hussein</t>
  </si>
  <si>
    <t>El-Subbagh</t>
  </si>
  <si>
    <t>Prof of Medicinal Chemistry</t>
  </si>
  <si>
    <t>Mansoura University</t>
  </si>
  <si>
    <t>Medicinal chemistry</t>
  </si>
  <si>
    <t xml:space="preserve">Heliopoli, Cairo </t>
  </si>
  <si>
    <t>1-000472311-9</t>
  </si>
  <si>
    <t>menna.attef.15@gmail.com</t>
  </si>
  <si>
    <t>CU00349</t>
  </si>
  <si>
    <t>Hussein Ibrahim</t>
  </si>
  <si>
    <t>professor of pharmaceutical Chemistry</t>
  </si>
  <si>
    <t>Future University in Egypt</t>
  </si>
  <si>
    <t>N 90th Street - Service Ln, Cairo Governorate</t>
  </si>
  <si>
    <t>(+201005373939)</t>
  </si>
  <si>
    <t>subbagh@yahoo.com</t>
  </si>
  <si>
    <t>CU00488</t>
  </si>
  <si>
    <t>CG00266</t>
  </si>
  <si>
    <t>Marwa</t>
  </si>
  <si>
    <t>Ell-Gazzar</t>
  </si>
  <si>
    <t>Associate Professor of Pharmaceutical Chemistry</t>
  </si>
  <si>
    <t>Drug Research</t>
  </si>
  <si>
    <t>3 Ahmed Alzomor Str. Nasr City</t>
  </si>
  <si>
    <t>201277448742</t>
  </si>
  <si>
    <t>marwagalalgazzar@yahoo.com</t>
  </si>
  <si>
    <t>CU00318</t>
  </si>
  <si>
    <t>Alysha</t>
  </si>
  <si>
    <t>Elliott</t>
  </si>
  <si>
    <t>Community for Antimicrobial Drug Discovery (CO-ADD)</t>
  </si>
  <si>
    <t>Bld 80, 306 Carmody Road, St Lucia 4072 Queensland</t>
  </si>
  <si>
    <t>61733462745</t>
  </si>
  <si>
    <t>a.elliott@imb.uq.edu.au</t>
  </si>
  <si>
    <t>CU00742</t>
  </si>
  <si>
    <t>CG00372</t>
  </si>
  <si>
    <t>Tilal</t>
  </si>
  <si>
    <t>Elsaman</t>
  </si>
  <si>
    <t>Jouf University</t>
  </si>
  <si>
    <t>Pharmaceutics, College of Pharmacy</t>
  </si>
  <si>
    <t>Department of Pharmaceutical chemistry, College of Pharmacy, Jouf University, Airport street, Al-Jouf, Sakaka 72388, Saudi Arabia</t>
  </si>
  <si>
    <t>9-66552345796-11</t>
  </si>
  <si>
    <t>tilochem@yahoo.com</t>
  </si>
  <si>
    <t>CU00568</t>
  </si>
  <si>
    <t>CG00306</t>
  </si>
  <si>
    <t>Dalia</t>
  </si>
  <si>
    <t>Elsawah</t>
  </si>
  <si>
    <t>Teaching Assistant</t>
  </si>
  <si>
    <t>Sinai University</t>
  </si>
  <si>
    <t> North Sinai - El Arish - El Masaid - Faculty of Pharmacy, Department of Pharmaceutical Chemistry, Sinai University</t>
  </si>
  <si>
    <t>1-025890971-9</t>
  </si>
  <si>
    <t>Dalia.elsawah@Su.edu.eg</t>
  </si>
  <si>
    <t>CU00449</t>
  </si>
  <si>
    <t>CG00251</t>
  </si>
  <si>
    <t>Nahaed</t>
  </si>
  <si>
    <t>Elsayed</t>
  </si>
  <si>
    <t>Associate profesoor</t>
  </si>
  <si>
    <t>Cairo University</t>
  </si>
  <si>
    <t>Faculty of Pharmacy; Pharmaceutical chemistry</t>
  </si>
  <si>
    <t>Elkasr ElAiny street Faculty of Pharmacy, Cairo University</t>
  </si>
  <si>
    <t>2.01004E+11</t>
  </si>
  <si>
    <t>n.elhalaby@yahoo.com</t>
  </si>
  <si>
    <t>CU00815</t>
  </si>
  <si>
    <t>CG00401</t>
  </si>
  <si>
    <t>Tim</t>
  </si>
  <si>
    <t>Elton</t>
  </si>
  <si>
    <t>Teacher</t>
  </si>
  <si>
    <t>St John the Evangelist Catholic High School</t>
  </si>
  <si>
    <t>31 John Purcell Way, Nowra</t>
  </si>
  <si>
    <t>02-4423-1666</t>
  </si>
  <si>
    <t>eltont01@dow.catholic.edu.au</t>
  </si>
  <si>
    <t>CU00664</t>
  </si>
  <si>
    <t>CG00223</t>
  </si>
  <si>
    <t>Heba</t>
  </si>
  <si>
    <t>Elzahabi</t>
  </si>
  <si>
    <t>Prof in Medicinal Chemistry</t>
  </si>
  <si>
    <t>Medicinal Chemistry Department</t>
  </si>
  <si>
    <t>3A  El Mashtal St., El Shesheni Division Korneech El Maddi, 1st Floor, Dep#6 Cairo</t>
  </si>
  <si>
    <t>2-0100752049-11</t>
  </si>
  <si>
    <t>hebaelzahabi@gmail.com</t>
  </si>
  <si>
    <t>CU00208</t>
  </si>
  <si>
    <t>Inno</t>
  </si>
  <si>
    <t>Emnacen</t>
  </si>
  <si>
    <t>Department of Physical Sciences and Mathematics, College of Arts and Sciences, University of the Philippines-Manila, Padre Faura St. Ermita Manila 1000</t>
  </si>
  <si>
    <t>emnaceninno@gmail.com</t>
  </si>
  <si>
    <t>CU00700</t>
  </si>
  <si>
    <t>CG00358</t>
  </si>
  <si>
    <t>Enosi Tuipulotu</t>
  </si>
  <si>
    <t>The John Curtin School of Medical Research, Department of Immunology and Infectious Disease</t>
  </si>
  <si>
    <t>The John Curtin School of Medical Research,  Building 131, Stores, off Garran Road, Australian National University, Acton, ACT 2601</t>
  </si>
  <si>
    <t>02-612-50387</t>
  </si>
  <si>
    <t>daniel.enosi@anu.edu.au</t>
  </si>
  <si>
    <t>CU00389</t>
  </si>
  <si>
    <t>CG00218</t>
  </si>
  <si>
    <t>Kristen</t>
  </si>
  <si>
    <t>Entwistle</t>
  </si>
  <si>
    <t>Visiting Professor of Chemistry</t>
  </si>
  <si>
    <t>Goshen College</t>
  </si>
  <si>
    <t>Science</t>
  </si>
  <si>
    <t>1700 S Main St, Goshen, Indiana</t>
  </si>
  <si>
    <t>3304095682</t>
  </si>
  <si>
    <t>keentwistle@goshen.edu</t>
  </si>
  <si>
    <t>CU00118</t>
  </si>
  <si>
    <t>CG00067</t>
  </si>
  <si>
    <t>Sabina</t>
  </si>
  <si>
    <t>Eriksson</t>
  </si>
  <si>
    <t>Karolinska Institute</t>
  </si>
  <si>
    <t>Medical Biochemistry and Biophysics</t>
  </si>
  <si>
    <t>SciLifeLab, Alpha-5, Tomtebodavägen 23a, 17165 Solna, Sweden</t>
  </si>
  <si>
    <t>Sweden</t>
  </si>
  <si>
    <t>4.6737121326E10</t>
  </si>
  <si>
    <t>sabina.eriksson@scilifelab.se</t>
  </si>
  <si>
    <t>CU00161</t>
  </si>
  <si>
    <t>Imma</t>
  </si>
  <si>
    <t>Escofet</t>
  </si>
  <si>
    <t>MSc, Laboratory Manager</t>
  </si>
  <si>
    <t>iescofet@iciq.cat</t>
  </si>
  <si>
    <t>CU00348</t>
  </si>
  <si>
    <t>Menna Attef</t>
  </si>
  <si>
    <t>Ewida</t>
  </si>
  <si>
    <t>BSA, Teaching assistant</t>
  </si>
  <si>
    <t>(+201000472311)</t>
  </si>
  <si>
    <t>mennatollah.attef@fue.edu.eg</t>
  </si>
  <si>
    <t>CU00391</t>
  </si>
  <si>
    <t>CG00219</t>
  </si>
  <si>
    <t>Kathryn</t>
  </si>
  <si>
    <t>Fairfull-Smith</t>
  </si>
  <si>
    <t>Future Fellow</t>
  </si>
  <si>
    <t>Science and Engineering Faculty (SEF)</t>
  </si>
  <si>
    <t>2 George St, Brisbane City QLD 4000</t>
  </si>
  <si>
    <t>+61 7 3138 4950</t>
  </si>
  <si>
    <t>k.fairfull-smith@qut.edu.au</t>
  </si>
  <si>
    <t>CU00182</t>
  </si>
  <si>
    <t>CG00110</t>
  </si>
  <si>
    <t>MD</t>
  </si>
  <si>
    <t>Fakhruddin</t>
  </si>
  <si>
    <t>Independent Researcher</t>
  </si>
  <si>
    <t>Pharpur Road, Garden Reach,  Kolkata - 700024</t>
  </si>
  <si>
    <t>+91 90386 29676</t>
  </si>
  <si>
    <t>fakhruddin2014@rediffmail.com</t>
  </si>
  <si>
    <t>CU00808</t>
  </si>
  <si>
    <t>Logan</t>
  </si>
  <si>
    <t>Faulkner</t>
  </si>
  <si>
    <t>lfalkner157@gmail.com</t>
  </si>
  <si>
    <t>CU00768</t>
  </si>
  <si>
    <t>CG00383</t>
  </si>
  <si>
    <t>Verucha</t>
  </si>
  <si>
    <t>Fauzia Putri</t>
  </si>
  <si>
    <t>IPB University</t>
  </si>
  <si>
    <t>Dramaga highway, Babakan, Dramaga District, Bogor Regency, West Java 16680</t>
  </si>
  <si>
    <t>Indonesia</t>
  </si>
  <si>
    <t>6-281411075237-12</t>
  </si>
  <si>
    <t>verucha_fauzia@apps.ipb.ac.id</t>
  </si>
  <si>
    <t>CU00722</t>
  </si>
  <si>
    <t>Jiachen</t>
  </si>
  <si>
    <t>Graduate student</t>
  </si>
  <si>
    <t>PDD 3026, 4040 Emile St</t>
  </si>
  <si>
    <t>jiachen.feng@unmc.edu</t>
  </si>
  <si>
    <t>CU00018</t>
  </si>
  <si>
    <t>CG00005</t>
  </si>
  <si>
    <t>Christiane</t>
  </si>
  <si>
    <t>Fernandes Horn</t>
  </si>
  <si>
    <t>Universidade Estadual do Norte Fluminense Darcy Ribeiro</t>
  </si>
  <si>
    <t>Laboratório de Ciência Químicas</t>
  </si>
  <si>
    <t>chrisuenf@gmail.com</t>
  </si>
  <si>
    <t>CU00750</t>
  </si>
  <si>
    <t>Fernández-Vega</t>
  </si>
  <si>
    <t>787-941-5318</t>
  </si>
  <si>
    <t>lauren.fernandez@upr.edu</t>
  </si>
  <si>
    <t>CU00626</t>
  </si>
  <si>
    <t>Dana</t>
  </si>
  <si>
    <t>Ferraris</t>
  </si>
  <si>
    <t>410-857-2491</t>
  </si>
  <si>
    <t>dferraris@mcdaniel.edu</t>
  </si>
  <si>
    <t>CU00592</t>
  </si>
  <si>
    <t>Field</t>
  </si>
  <si>
    <t>GARDP Australian Representative</t>
  </si>
  <si>
    <t>pfield@dndi.org</t>
  </si>
  <si>
    <t>CU00766</t>
  </si>
  <si>
    <t>CG00382</t>
  </si>
  <si>
    <t>Anthony L</t>
  </si>
  <si>
    <t>Fitzhugh</t>
  </si>
  <si>
    <t>Founder</t>
  </si>
  <si>
    <t>BioCipher LLC</t>
  </si>
  <si>
    <t>R&amp;D</t>
  </si>
  <si>
    <t>1806 Summit Avenue, Ste. 300, Richmond, VA  23230</t>
  </si>
  <si>
    <t>443-538-1499</t>
  </si>
  <si>
    <t>afitzhugh@biocipherllc.net</t>
  </si>
  <si>
    <t>CU00241</t>
  </si>
  <si>
    <t>CG00140</t>
  </si>
  <si>
    <t>Mario Alberto</t>
  </si>
  <si>
    <t>Flores Valdez</t>
  </si>
  <si>
    <t>Group leader</t>
  </si>
  <si>
    <t>Ciatej AC, Conacyt</t>
  </si>
  <si>
    <t>Medical and Pharmaceutical Biotechnology</t>
  </si>
  <si>
    <t>Av. Normalistas 800</t>
  </si>
  <si>
    <t>Mexico</t>
  </si>
  <si>
    <t>+52 (33) 3345-5200 ext. 1301</t>
  </si>
  <si>
    <t>floresv@ciatej.mx</t>
  </si>
  <si>
    <t>CU00197</t>
  </si>
  <si>
    <t>CG00118</t>
  </si>
  <si>
    <t>Sophie</t>
  </si>
  <si>
    <t>Fourmentin-Lamotte</t>
  </si>
  <si>
    <t>Unite de Chimie Environnementale et Interactions sur le Vivant (EA 4492)</t>
  </si>
  <si>
    <t>145, Avenue Maurice SchumannMREI 159140 Dunkerque</t>
  </si>
  <si>
    <t>03 28 65 82 54</t>
  </si>
  <si>
    <t>sophie.fourmentin@univ-littoral.fr</t>
  </si>
  <si>
    <t>CU00591</t>
  </si>
  <si>
    <t>François</t>
  </si>
  <si>
    <t>Franceschi</t>
  </si>
  <si>
    <t>Project Leader, AMREP</t>
  </si>
  <si>
    <t>ffranceschi@dndi.org</t>
  </si>
  <si>
    <t>CU00379</t>
  </si>
  <si>
    <t>Stefano</t>
  </si>
  <si>
    <t>Freguia</t>
  </si>
  <si>
    <t>+61 7 334 63221</t>
  </si>
  <si>
    <t>s.freguia@awmc.uq.edu.au</t>
  </si>
  <si>
    <t>CU00533</t>
  </si>
  <si>
    <t>CG00001</t>
  </si>
  <si>
    <t>Angelo</t>
  </si>
  <si>
    <t>Frei</t>
  </si>
  <si>
    <t>Post-Doc</t>
  </si>
  <si>
    <t>+61 499 249 333</t>
  </si>
  <si>
    <t>angelo.frei@unibe.ch</t>
  </si>
  <si>
    <t>CU00709</t>
  </si>
  <si>
    <t>Louise</t>
  </si>
  <si>
    <t>Friberg</t>
  </si>
  <si>
    <t>4-81862708-8</t>
  </si>
  <si>
    <t>uqlfribe@uq.edu.au</t>
  </si>
  <si>
    <t>CU00316</t>
  </si>
  <si>
    <t>Ed</t>
  </si>
  <si>
    <t>Fu</t>
  </si>
  <si>
    <t>Technician</t>
  </si>
  <si>
    <t>Department of Chemistry,  11227 Saskatchewan Dr NW,  University of Alberta,  Edmonton, AB T6G 2G2  Canada</t>
  </si>
  <si>
    <t>1-780-492-5155</t>
  </si>
  <si>
    <t>hfu@ualberta.ca</t>
  </si>
  <si>
    <t>CU00457</t>
  </si>
  <si>
    <t>CG00255</t>
  </si>
  <si>
    <t>Adele</t>
  </si>
  <si>
    <t>Gabba</t>
  </si>
  <si>
    <t>National University of Ireland Galway</t>
  </si>
  <si>
    <t>College Road, Galway</t>
  </si>
  <si>
    <t>00353-91-492465</t>
  </si>
  <si>
    <t>A.gabba1@nuigalway.ie</t>
  </si>
  <si>
    <t>CU00524</t>
  </si>
  <si>
    <t>CG00283</t>
  </si>
  <si>
    <t>Armen</t>
  </si>
  <si>
    <t>Galstyan</t>
  </si>
  <si>
    <t>Head of Laboratory</t>
  </si>
  <si>
    <t>0025, 1 Alex Manoogian, Yerevan</t>
  </si>
  <si>
    <t>+37491853516</t>
  </si>
  <si>
    <t>a_galstyan@ysu.am</t>
  </si>
  <si>
    <t>CU00365</t>
  </si>
  <si>
    <t>CG00205</t>
  </si>
  <si>
    <t>Ilgiz</t>
  </si>
  <si>
    <t>Galyautdinov</t>
  </si>
  <si>
    <t>Vice director</t>
  </si>
  <si>
    <t>Institute of Petrochemistry and Catalysis</t>
  </si>
  <si>
    <t>Organic chemistry laboratory</t>
  </si>
  <si>
    <t>450075, Ufa, prospekt Oktyabrya, 141</t>
  </si>
  <si>
    <t>7347284275</t>
  </si>
  <si>
    <t>ilgizphd@mail.ru</t>
  </si>
  <si>
    <t>CU00694</t>
  </si>
  <si>
    <t>CG00356</t>
  </si>
  <si>
    <t>Dinorah</t>
  </si>
  <si>
    <t>Gambino</t>
  </si>
  <si>
    <t>Full Professor of Inorganic Chemistry</t>
  </si>
  <si>
    <t>Pedeciba Universidad de la República</t>
  </si>
  <si>
    <t>Facultad de Química, Química Inorgánica</t>
  </si>
  <si>
    <t>General Flores 2124, Montevideo</t>
  </si>
  <si>
    <t>Uruguay</t>
  </si>
  <si>
    <t>00598-99222637</t>
  </si>
  <si>
    <t>dgambino@fq.edu.uy</t>
  </si>
  <si>
    <t>CU00620</t>
  </si>
  <si>
    <t>CG00323</t>
  </si>
  <si>
    <t>Gamrat</t>
  </si>
  <si>
    <t>Attn: Giulia Mancini, Dr. John Tomsho Department of Chemistry &amp; Biochemistry , University of Sciences , 600 S 43rd street  Philadelphia, PA 19104</t>
  </si>
  <si>
    <t>jgamrat@mail.usciences.edu</t>
  </si>
  <si>
    <t>CU00525</t>
  </si>
  <si>
    <t>CG00284</t>
  </si>
  <si>
    <t>Madhu</t>
  </si>
  <si>
    <t>Ganesh</t>
  </si>
  <si>
    <t>BMS College of Engineering</t>
  </si>
  <si>
    <t>Bull Temple Rd, Basavanagudi, Bengaluru, Karnataka 560019</t>
  </si>
  <si>
    <t>+91-9900431832</t>
  </si>
  <si>
    <t>madhug.chem@bmsce.ac.in</t>
  </si>
  <si>
    <t>CU00715</t>
  </si>
  <si>
    <t>CG00364</t>
  </si>
  <si>
    <t>Abel</t>
  </si>
  <si>
    <t>Garcia Pino</t>
  </si>
  <si>
    <t>Universite Libre de Bruxelles</t>
  </si>
  <si>
    <t>Department of Molecular Biology</t>
  </si>
  <si>
    <t>Campus Plaine
Boulevard du Triomphe, Acces 2 
1050 Brussels</t>
  </si>
  <si>
    <t>+32-2-650-53-77</t>
  </si>
  <si>
    <t>Abel.Garcia.Pino@ulb.be</t>
  </si>
  <si>
    <t>CU00332</t>
  </si>
  <si>
    <t>CG00125</t>
  </si>
  <si>
    <t>Garcia Rivera</t>
  </si>
  <si>
    <t>Director, Center for Natural Products</t>
  </si>
  <si>
    <t>Universidad de La Habana</t>
  </si>
  <si>
    <t>Facultad de Quimica</t>
  </si>
  <si>
    <t>Center for Natural Products Research, Faculty of Chemistry, University of Havana, Zapata y G, 10400, La Habana, Cuba</t>
  </si>
  <si>
    <t>Cuba</t>
  </si>
  <si>
    <t>+53 78792331</t>
  </si>
  <si>
    <t>dgr@fq.uh.cu</t>
  </si>
  <si>
    <t>CU00762</t>
  </si>
  <si>
    <t>Miguel</t>
  </si>
  <si>
    <t>Garcia-Alfonzo</t>
  </si>
  <si>
    <t>Undergraduate Student</t>
  </si>
  <si>
    <t>787-356-2687</t>
  </si>
  <si>
    <t>miguel.garcia16@upr.edu</t>
  </si>
  <si>
    <t>CU00821</t>
  </si>
  <si>
    <t>Caitlin</t>
  </si>
  <si>
    <t>Gare</t>
  </si>
  <si>
    <t>0401-107-254</t>
  </si>
  <si>
    <t>caitlin.gare@anu.edu.au</t>
  </si>
  <si>
    <t>CU00423</t>
  </si>
  <si>
    <t>Alexandra</t>
  </si>
  <si>
    <t>Gaspar</t>
  </si>
  <si>
    <t>Researcher, PhD student</t>
  </si>
  <si>
    <t>00351 220 402 000</t>
  </si>
  <si>
    <t>alexandra.gaspar@fc.up.pt</t>
  </si>
  <si>
    <t>CU00536</t>
  </si>
  <si>
    <t>CG00290</t>
  </si>
  <si>
    <t>Gilles</t>
  </si>
  <si>
    <t>Gasser</t>
  </si>
  <si>
    <t>Chimie ParisTech PSL University</t>
  </si>
  <si>
    <t>Laboratory for Inorganic Chemical Biology</t>
  </si>
  <si>
    <t>11, rue Pierre et Marie Curie
F-75005 Paris</t>
  </si>
  <si>
    <t>+33-1-44-27-56-02</t>
  </si>
  <si>
    <t>gilles.gasser@chimieparistech.psl.eu</t>
  </si>
  <si>
    <t>CU00340</t>
  </si>
  <si>
    <t>Dr Ing</t>
  </si>
  <si>
    <t>Odd Reidar</t>
  </si>
  <si>
    <t>Gautun</t>
  </si>
  <si>
    <t>73594101</t>
  </si>
  <si>
    <t>odd.r.gautun@ntnu.no</t>
  </si>
  <si>
    <t>CU00682</t>
  </si>
  <si>
    <t>Ryan</t>
  </si>
  <si>
    <t>Gaynor</t>
  </si>
  <si>
    <t>graduate research assistant</t>
  </si>
  <si>
    <t>rbg123@msstate.edu</t>
  </si>
  <si>
    <t>CU00130</t>
  </si>
  <si>
    <t>CG00076</t>
  </si>
  <si>
    <t>Sandra</t>
  </si>
  <si>
    <t>Gemma</t>
  </si>
  <si>
    <t>University of Siena</t>
  </si>
  <si>
    <t>Department of Biotechnology, Chemistry and Pharmacy</t>
  </si>
  <si>
    <t>via Aldo Moro 2, 53100 Siena, Italy</t>
  </si>
  <si>
    <t>+390577234326</t>
  </si>
  <si>
    <t>gemma@unisi.it</t>
  </si>
  <si>
    <t>CU00038</t>
  </si>
  <si>
    <t>CG00023</t>
  </si>
  <si>
    <t>George</t>
  </si>
  <si>
    <t>Univeristy of Adelaide</t>
  </si>
  <si>
    <t>Faculty of Chemistry</t>
  </si>
  <si>
    <t>08 83 135 494</t>
  </si>
  <si>
    <t>jonathan.george@adelaide.edu.au</t>
  </si>
  <si>
    <t>CU00122</t>
  </si>
  <si>
    <t>CG00070</t>
  </si>
  <si>
    <t>Paris</t>
  </si>
  <si>
    <t>Georghiou</t>
  </si>
  <si>
    <t>Memorial University of Newfoundland</t>
  </si>
  <si>
    <t>280 Prince Philip Drive, St. John's, A1B3X7 NL</t>
  </si>
  <si>
    <t>1-709-864-8517</t>
  </si>
  <si>
    <t>parisg@mun.ca</t>
  </si>
  <si>
    <t>CU00278</t>
  </si>
  <si>
    <t>Laura</t>
  </si>
  <si>
    <t>Ghandhi</t>
  </si>
  <si>
    <t>0113 34 36419</t>
  </si>
  <si>
    <t>cmlhg@leeds.ac.uk</t>
  </si>
  <si>
    <t>CU00119</t>
  </si>
  <si>
    <t>Alina</t>
  </si>
  <si>
    <t>Ghinet</t>
  </si>
  <si>
    <t>Chemistry Textiles and Innovation Processes</t>
  </si>
  <si>
    <t>13 Rue de Toul  - BP 41290 59014 LILLE Cedex</t>
  </si>
  <si>
    <t>0328384858</t>
  </si>
  <si>
    <t>alina.ghinet@hei.fr</t>
  </si>
  <si>
    <t>CU00781</t>
  </si>
  <si>
    <t>CG00389</t>
  </si>
  <si>
    <t>Maria</t>
  </si>
  <si>
    <t>Gil-Moles</t>
  </si>
  <si>
    <t>Postdoc</t>
  </si>
  <si>
    <t>Technische Universität Braunschweig</t>
  </si>
  <si>
    <t>Institute of Medicinal and Pharmaceutical Chemistry</t>
  </si>
  <si>
    <t>Beethovenstr. 55, 38106 Braunschweig, Germany</t>
  </si>
  <si>
    <t>0049-531-391-2761</t>
  </si>
  <si>
    <t>m.gil-moles@tu-bs.de</t>
  </si>
  <si>
    <t>CU00046</t>
  </si>
  <si>
    <t>CG00014</t>
  </si>
  <si>
    <t>Lee</t>
  </si>
  <si>
    <t>Gloyne</t>
  </si>
  <si>
    <t>Griffith School of Pharmacy</t>
  </si>
  <si>
    <t>0409490611</t>
  </si>
  <si>
    <t>l.gloyne@griffith.edu.au</t>
  </si>
  <si>
    <t>CU00060</t>
  </si>
  <si>
    <t>CG00035</t>
  </si>
  <si>
    <t>Mei Lin</t>
  </si>
  <si>
    <t>Go</t>
  </si>
  <si>
    <t>Dept of Pharmacy</t>
  </si>
  <si>
    <t>65-65162654</t>
  </si>
  <si>
    <t>meilin.go@nus.edu.sg</t>
  </si>
  <si>
    <t>CU00400</t>
  </si>
  <si>
    <t>CG00225</t>
  </si>
  <si>
    <t>Godhani</t>
  </si>
  <si>
    <t>Maharaja Krishnakumarsinhji Bhavnagar University</t>
  </si>
  <si>
    <t>Mahatma Gandhi Campus,MK Bhavnagar University,Bhavnagar, 364002.Gujarat, India.</t>
  </si>
  <si>
    <t>(+91) 968 761 5488</t>
  </si>
  <si>
    <t>drgodhani@yahoo.com</t>
  </si>
  <si>
    <t>CU00698</t>
  </si>
  <si>
    <t>CG00015</t>
  </si>
  <si>
    <t>Mohaddeseh</t>
  </si>
  <si>
    <t>Goduarzi</t>
  </si>
  <si>
    <t>Institute for Molecular Bioscience</t>
  </si>
  <si>
    <t>Building 80, The University of Queensland, St Lucia 4120</t>
  </si>
  <si>
    <t>0419712754</t>
  </si>
  <si>
    <t>m.goudarzi@uqconnect.edu.au</t>
  </si>
  <si>
    <t>CU00172</t>
  </si>
  <si>
    <t>CG00103</t>
  </si>
  <si>
    <t>Rosario</t>
  </si>
  <si>
    <t>González Muñiz</t>
  </si>
  <si>
    <t>Investigador Científico</t>
  </si>
  <si>
    <t>Consejo Superior de Investigaciones Científicas</t>
  </si>
  <si>
    <t>Instituto de Química Médica</t>
  </si>
  <si>
    <t>C/ Juan de la Cierva, 3. 28006 Madrid</t>
  </si>
  <si>
    <t>34 915680063</t>
  </si>
  <si>
    <t>iqmg313@iqm.csic.es</t>
  </si>
  <si>
    <t>CU00554</t>
  </si>
  <si>
    <t>CG00299</t>
  </si>
  <si>
    <t>Gossage</t>
  </si>
  <si>
    <t>Ryerson Unversity</t>
  </si>
  <si>
    <t>Chemistry and Biology</t>
  </si>
  <si>
    <t>350 Victoria St.                                              Toronto, Ontario M5B 2K3</t>
  </si>
  <si>
    <t>+1-416-979-5000-2056</t>
  </si>
  <si>
    <t>gossage@ryerson.ca</t>
  </si>
  <si>
    <t>CU00714</t>
  </si>
  <si>
    <t>Cedric</t>
  </si>
  <si>
    <t>Govaerts</t>
  </si>
  <si>
    <t>Campus Plaine
Building BC, Room 1C4 203 
Boulevard du Triomphe, Acces 2 
1050 Brussels</t>
  </si>
  <si>
    <t>cedric.govaerts@ulb.be</t>
  </si>
  <si>
    <t>CU00296</t>
  </si>
  <si>
    <t>CG00168</t>
  </si>
  <si>
    <t>Thiru</t>
  </si>
  <si>
    <t>Govender</t>
  </si>
  <si>
    <t>University of KwaZulu-Natal</t>
  </si>
  <si>
    <t>Pharmacy Department</t>
  </si>
  <si>
    <t>312607357</t>
  </si>
  <si>
    <t>govenderth@ukzn.ac.za</t>
  </si>
  <si>
    <t>CU00206</t>
  </si>
  <si>
    <t>Jaume</t>
  </si>
  <si>
    <t>Granell</t>
  </si>
  <si>
    <t>Full professor</t>
  </si>
  <si>
    <t>jaume.granell@qi.ub.es</t>
  </si>
  <si>
    <t>CU00028</t>
  </si>
  <si>
    <t>Gary</t>
  </si>
  <si>
    <t>School of Pharmacy and Pharmacology, Gold Coast Campus, Griffith University, QLD 4222</t>
  </si>
  <si>
    <t>0417-706-242</t>
  </si>
  <si>
    <t>g.grant@griffith.edu.au</t>
  </si>
  <si>
    <t>CU00680</t>
  </si>
  <si>
    <t>CG00349</t>
  </si>
  <si>
    <t>Grasa</t>
  </si>
  <si>
    <t>Universidad de Zaragoza</t>
  </si>
  <si>
    <t>Department of Physiology</t>
  </si>
  <si>
    <t>Facultad de Veterinaria, Calle Miguel Servet 117, Postal Code 50013, Zaragoza</t>
  </si>
  <si>
    <t>+34-976-761650 </t>
  </si>
  <si>
    <t>lgralo@unizar.es</t>
  </si>
  <si>
    <t>CU00115</t>
  </si>
  <si>
    <t>CG00066</t>
  </si>
  <si>
    <t>Greaney</t>
  </si>
  <si>
    <t>University of Manchester</t>
  </si>
  <si>
    <t>Oxford Road, M13 9PL</t>
  </si>
  <si>
    <t>0161 2760574</t>
  </si>
  <si>
    <t>michael.greaney@manchester.ac.uk</t>
  </si>
  <si>
    <t>CU00439</t>
  </si>
  <si>
    <t>CG00246</t>
  </si>
  <si>
    <t>Ben</t>
  </si>
  <si>
    <t>Greatrex</t>
  </si>
  <si>
    <t>Science and Technology</t>
  </si>
  <si>
    <t>Riggs Building, University of New England, Armidale NSW 2351</t>
  </si>
  <si>
    <t>(02) 67732402</t>
  </si>
  <si>
    <t>bgreatre@une.edu.au</t>
  </si>
  <si>
    <t>CU00657</t>
  </si>
  <si>
    <t>Franciele</t>
  </si>
  <si>
    <t>Grego Esteves</t>
  </si>
  <si>
    <t>PhD Student/Visitor</t>
  </si>
  <si>
    <t>St. Lucia, QLD 4072, Australia</t>
  </si>
  <si>
    <t>61-4-0669-9829</t>
  </si>
  <si>
    <t>franciele.g.esteves@unesp.br</t>
  </si>
  <si>
    <t>CU00011</t>
  </si>
  <si>
    <t>CG00052</t>
  </si>
  <si>
    <t>Barbara</t>
  </si>
  <si>
    <t>Grischek</t>
  </si>
  <si>
    <t>University of Graz</t>
  </si>
  <si>
    <t>Institute of Chemistry</t>
  </si>
  <si>
    <t>barbara.grischek@uni-graz.at</t>
  </si>
  <si>
    <t>CU00791</t>
  </si>
  <si>
    <t>CG00393</t>
  </si>
  <si>
    <t>Catherine</t>
  </si>
  <si>
    <t>Grosdemange-Billiard</t>
  </si>
  <si>
    <t>Team Leader, Professor</t>
  </si>
  <si>
    <t>Université de Strasbourg</t>
  </si>
  <si>
    <t>Institut de Chimie, Lab CBMB</t>
  </si>
  <si>
    <t>4 rue Blaise Pascal, 67081 Strasbourg, cedex</t>
  </si>
  <si>
    <t>3-3368851349-10</t>
  </si>
  <si>
    <t>grosdemange@unistra.fr</t>
  </si>
  <si>
    <t>CU00067</t>
  </si>
  <si>
    <t>Groundwater</t>
  </si>
  <si>
    <t>61291141232</t>
  </si>
  <si>
    <t>paul.groundwater@sydney.edu.au</t>
  </si>
  <si>
    <t>CU00532</t>
  </si>
  <si>
    <t>CG00287</t>
  </si>
  <si>
    <t>Gruber</t>
  </si>
  <si>
    <t>Medical University of Vienna</t>
  </si>
  <si>
    <t>Center for Physiology and Pharmacology</t>
  </si>
  <si>
    <t>Schwarzspanierstr. 17, 1090 Vienna</t>
  </si>
  <si>
    <t>0043-1-40160-31390</t>
  </si>
  <si>
    <t>christian.w.gruber@meduniwien.ac.at</t>
  </si>
  <si>
    <t>CU00290</t>
  </si>
  <si>
    <t>CG00165</t>
  </si>
  <si>
    <t>Sridevi</t>
  </si>
  <si>
    <t>Gundi</t>
  </si>
  <si>
    <t>Nanakram Bhagwandas Science College</t>
  </si>
  <si>
    <t>Flat G1, Sevenhills moon apts, Snehapuri colony, Road No.4, Nacharam, Hyderabad, Telangana, 500076</t>
  </si>
  <si>
    <t>91-9949354214</t>
  </si>
  <si>
    <t>drsridevikalyani@gmail.com</t>
  </si>
  <si>
    <t>CU00747</t>
  </si>
  <si>
    <t>CG00375</t>
  </si>
  <si>
    <t>Vrinda</t>
  </si>
  <si>
    <t>Gupta</t>
  </si>
  <si>
    <t>Research School of Biology</t>
  </si>
  <si>
    <t>Building 134, Linnaeus Way, Acton ACT 2601</t>
  </si>
  <si>
    <t>+61422430010</t>
  </si>
  <si>
    <t>vrinda.gupta@anu.edu.au</t>
  </si>
  <si>
    <t>CU00779</t>
  </si>
  <si>
    <t>CG00388</t>
  </si>
  <si>
    <t>Dominik</t>
  </si>
  <si>
    <t>Gurvic</t>
  </si>
  <si>
    <t>University of Dundee</t>
  </si>
  <si>
    <t>Computational Biology</t>
  </si>
  <si>
    <t>Dow St, Dundee, DD1 5EH, Scotland</t>
  </si>
  <si>
    <t>+44-01382-381261</t>
  </si>
  <si>
    <t>dgurvic@dundee.ac.uk</t>
  </si>
  <si>
    <t>CU00238</t>
  </si>
  <si>
    <t>CG00139</t>
  </si>
  <si>
    <t>Juan</t>
  </si>
  <si>
    <t>Guzman</t>
  </si>
  <si>
    <t>Universidad del Norte</t>
  </si>
  <si>
    <t>Departamento de Quimica y Biologia</t>
  </si>
  <si>
    <t>Km 5 via Puerto Colombia, Barranquilla 081007</t>
  </si>
  <si>
    <t>Colombia</t>
  </si>
  <si>
    <t>57535095093237</t>
  </si>
  <si>
    <t>jguzmand@uninorte.edu.co</t>
  </si>
  <si>
    <t>CU00291</t>
  </si>
  <si>
    <t>Abraha</t>
  </si>
  <si>
    <t>Habtemariam</t>
  </si>
  <si>
    <t>Senior Research Fellows</t>
  </si>
  <si>
    <t>(+44) 2476572867</t>
  </si>
  <si>
    <t>a.habtemariam@warwick.ac.uk</t>
  </si>
  <si>
    <t>CU00140</t>
  </si>
  <si>
    <t>CG00082</t>
  </si>
  <si>
    <t>Hall</t>
  </si>
  <si>
    <t>Newcastle University</t>
  </si>
  <si>
    <t>Bedson Building, Newcastle</t>
  </si>
  <si>
    <t>+447770539887</t>
  </si>
  <si>
    <t>michael.hall@newcastle.ac.uk</t>
  </si>
  <si>
    <t>CU00317</t>
  </si>
  <si>
    <t>Dennis</t>
  </si>
  <si>
    <t>University Professor</t>
  </si>
  <si>
    <t>1-780-492-3141</t>
  </si>
  <si>
    <t>dennis.hall@ualberta.ca</t>
  </si>
  <si>
    <t>CU00437</t>
  </si>
  <si>
    <t>CG00245</t>
  </si>
  <si>
    <t>Hamann</t>
  </si>
  <si>
    <t>Professor of Drug Discovery</t>
  </si>
  <si>
    <t>Medical University of South Carolina</t>
  </si>
  <si>
    <t>Drug Discovery and Biomedical Sciences</t>
  </si>
  <si>
    <t>70 President Street. 4th Floor Lab DD430. Charleston, SC 29425</t>
  </si>
  <si>
    <t>843-876-2316</t>
  </si>
  <si>
    <t>hamannm@musc.edu</t>
  </si>
  <si>
    <t>CU00082</t>
  </si>
  <si>
    <t>CG00037</t>
  </si>
  <si>
    <t>Rukman Awang</t>
  </si>
  <si>
    <t>Hamat</t>
  </si>
  <si>
    <t>Universiti Putra Malaysia</t>
  </si>
  <si>
    <t>Medical Microbiology and Parasitology</t>
  </si>
  <si>
    <t>Malaysia</t>
  </si>
  <si>
    <t>rukman@upm.edu.my</t>
  </si>
  <si>
    <t>CU00426</t>
  </si>
  <si>
    <t>Hamed</t>
  </si>
  <si>
    <t>Faculty of Pharmacy, Medicinal Chemistry</t>
  </si>
  <si>
    <t>1060063393</t>
  </si>
  <si>
    <t>drrehab.hamed2015@yahoo.com</t>
  </si>
  <si>
    <t>CU00797</t>
  </si>
  <si>
    <t>Hinna</t>
  </si>
  <si>
    <t>Hamid</t>
  </si>
  <si>
    <t>Chemistry,SCLS</t>
  </si>
  <si>
    <t>9-999908696-9</t>
  </si>
  <si>
    <t>hhamid@jamiahamdard.ac.in</t>
  </si>
  <si>
    <t>CU00798</t>
  </si>
  <si>
    <t>CU00489</t>
  </si>
  <si>
    <t>Shimaa</t>
  </si>
  <si>
    <t>Hammad</t>
  </si>
  <si>
    <t>shimaagamalhammad@gmail.com</t>
  </si>
  <si>
    <t>CU00311</t>
  </si>
  <si>
    <t>CG00175</t>
  </si>
  <si>
    <t>Lars</t>
  </si>
  <si>
    <t>Hammarström</t>
  </si>
  <si>
    <t>Senior Scientist</t>
  </si>
  <si>
    <t>+46-733-745034</t>
  </si>
  <si>
    <t>lars.gj.hammarstrom@ki.se</t>
  </si>
  <si>
    <t>CU00675</t>
  </si>
  <si>
    <t>Hamoud</t>
  </si>
  <si>
    <t>490929254</t>
  </si>
  <si>
    <t>m.hamoud@unsw.edu.au</t>
  </si>
  <si>
    <t>CU00138</t>
  </si>
  <si>
    <t>Karl</t>
  </si>
  <si>
    <t>Hansford</t>
  </si>
  <si>
    <t>Senior Chemist</t>
  </si>
  <si>
    <t>61-7-334-62107</t>
  </si>
  <si>
    <t>k.hansford@imb.uq.edu.au</t>
  </si>
  <si>
    <t>CU00180</t>
  </si>
  <si>
    <t>CG00108</t>
  </si>
  <si>
    <t>Harris</t>
  </si>
  <si>
    <t>1481 Wilton Creek Road, Hartfield, VA 23071</t>
  </si>
  <si>
    <t>(804) 776-6987</t>
  </si>
  <si>
    <t>thomas.m.harris@vanderbilt.edu</t>
  </si>
  <si>
    <t>CU00520</t>
  </si>
  <si>
    <t>CG00281</t>
  </si>
  <si>
    <t xml:space="preserve">Tristan </t>
  </si>
  <si>
    <t>Harrison</t>
  </si>
  <si>
    <t>Graduent Student</t>
  </si>
  <si>
    <t>Western University</t>
  </si>
  <si>
    <t>ChemBioStores, 1151 Richmond St. Chemistry Bldg. Rm 003, Dock 11. London, ON, N6A 5B7</t>
  </si>
  <si>
    <t>519-661-2168-80049</t>
  </si>
  <si>
    <t>tharri32@uwo.ca</t>
  </si>
  <si>
    <t>CU00040</t>
  </si>
  <si>
    <t>Hayton</t>
  </si>
  <si>
    <t>0435 396 584</t>
  </si>
  <si>
    <t>joshua.hayton@griffithuni.edu.au</t>
  </si>
  <si>
    <t>CU00820</t>
  </si>
  <si>
    <t>Qishu</t>
  </si>
  <si>
    <t>He</t>
  </si>
  <si>
    <t>heqi7738@student.otago.ac.nz</t>
  </si>
  <si>
    <t>CU00367</t>
  </si>
  <si>
    <t>CG00206</t>
  </si>
  <si>
    <t>Alan</t>
  </si>
  <si>
    <t>Healy</t>
  </si>
  <si>
    <t>Yale University</t>
  </si>
  <si>
    <t>350 Edwards StreetNew Haven, CT 06511</t>
  </si>
  <si>
    <t>1(203)4329729</t>
  </si>
  <si>
    <t>alan.healy@yale.edu</t>
  </si>
  <si>
    <t>CU00305</t>
  </si>
  <si>
    <t>Kenneth</t>
  </si>
  <si>
    <t>Heidel</t>
  </si>
  <si>
    <t>202-994-9088</t>
  </si>
  <si>
    <t>kennyheidel@gwmail.gwu.edu</t>
  </si>
  <si>
    <t>CU00117</t>
  </si>
  <si>
    <t>Helleday</t>
  </si>
  <si>
    <t>thomas.helleday@scilifelab.se</t>
  </si>
  <si>
    <t>CU00300</t>
  </si>
  <si>
    <t>Piet</t>
  </si>
  <si>
    <t>Herdewijn</t>
  </si>
  <si>
    <t>32 (0)16 / 32 26 57</t>
  </si>
  <si>
    <t>piet.herdewijn@kuleuven.be</t>
  </si>
  <si>
    <t>CU00623</t>
  </si>
  <si>
    <t>CG00325</t>
  </si>
  <si>
    <t>Hermann</t>
  </si>
  <si>
    <t>Natural Product Manager</t>
  </si>
  <si>
    <t>Microbial Natural Products</t>
  </si>
  <si>
    <t>Saarland University, Campus Building E8.1 66123 Saarbrücken</t>
  </si>
  <si>
    <t>+49-681-98806-3101</t>
  </si>
  <si>
    <t>jennifer.herrmann@helmholtz-hips.de</t>
  </si>
  <si>
    <t>CU00789</t>
  </si>
  <si>
    <t>CG00392</t>
  </si>
  <si>
    <t>Inge</t>
  </si>
  <si>
    <t>Herrmann</t>
  </si>
  <si>
    <t>Department of Mechanical &amp; Process Engineering Institute of Process Engineering</t>
  </si>
  <si>
    <t>Sonneggstrasse 3, 8092 Zurich</t>
  </si>
  <si>
    <t>+41587657153</t>
  </si>
  <si>
    <t>ingeh@ethz.ch</t>
  </si>
  <si>
    <t>CU00093</t>
  </si>
  <si>
    <t>Volker</t>
  </si>
  <si>
    <t>Herzig</t>
  </si>
  <si>
    <t>617334 62018</t>
  </si>
  <si>
    <t>v.herzig@imb.uq.edu.au</t>
  </si>
  <si>
    <t>CU00368</t>
  </si>
  <si>
    <t>Seth</t>
  </si>
  <si>
    <t>Herzon</t>
  </si>
  <si>
    <t>1(203)436-8571</t>
  </si>
  <si>
    <t>seth.herzon@yale.edu</t>
  </si>
  <si>
    <t>CU00314</t>
  </si>
  <si>
    <t>CG00177</t>
  </si>
  <si>
    <t>Shane</t>
  </si>
  <si>
    <t>Hickey</t>
  </si>
  <si>
    <t>Postdoctoral Research Assistant</t>
  </si>
  <si>
    <t>University of South Australia</t>
  </si>
  <si>
    <t>School of Pharmacy and Medical Sciences</t>
  </si>
  <si>
    <t>Reid Building, Frome Road, Adelaide</t>
  </si>
  <si>
    <t>415459638</t>
  </si>
  <si>
    <t>shane.hickey@unisa.edu.au</t>
  </si>
  <si>
    <t>CU00655</t>
  </si>
  <si>
    <t>CG00331</t>
  </si>
  <si>
    <t>Hill</t>
  </si>
  <si>
    <t>Canberra ACT 2600</t>
  </si>
  <si>
    <t>+61-2-61258577</t>
  </si>
  <si>
    <t>a.hill@anu.edu.au</t>
  </si>
  <si>
    <t>CU00214</t>
  </si>
  <si>
    <t>james.hill3@uq.net.au</t>
  </si>
  <si>
    <t>CU00467</t>
  </si>
  <si>
    <t>Simon</t>
  </si>
  <si>
    <t>Hinkley</t>
  </si>
  <si>
    <t>64275018811</t>
  </si>
  <si>
    <t>simon.hinkley@vuw.ac.nz</t>
  </si>
  <si>
    <t>CU00575</t>
  </si>
  <si>
    <t>CG00308</t>
  </si>
  <si>
    <t>Jamie</t>
  </si>
  <si>
    <t>Hinks</t>
  </si>
  <si>
    <t>Nanyang Technological University</t>
  </si>
  <si>
    <t>Singapore Centre on Environmental Life Sciences Engineering</t>
  </si>
  <si>
    <t>SBS-01n-27, 60 Nanyang Dr, Singapore 637551</t>
  </si>
  <si>
    <t>+65-97661397</t>
  </si>
  <si>
    <t>JHinks@ntu.edu.sg</t>
  </si>
  <si>
    <t>CU00049</t>
  </si>
  <si>
    <t>Lacy</t>
  </si>
  <si>
    <t>Hizartzidis</t>
  </si>
  <si>
    <t>School of Environmental and Life Sciences (Chemistry)</t>
  </si>
  <si>
    <t>02 49 215 464</t>
  </si>
  <si>
    <t>lacey.hizartzidis@newcastle.edu.au</t>
  </si>
  <si>
    <t>CU00114</t>
  </si>
  <si>
    <t>Holden</t>
  </si>
  <si>
    <t>catherine.holden@manchester.ac.uk</t>
  </si>
  <si>
    <t>CU00755</t>
  </si>
  <si>
    <t>CG00378</t>
  </si>
  <si>
    <t>Homer</t>
  </si>
  <si>
    <t>Research Investigator</t>
  </si>
  <si>
    <t>Cold Springs Harbor Laboratory</t>
  </si>
  <si>
    <t>Research Division</t>
  </si>
  <si>
    <t>1 Bungtown Rd, Cold Spring Harbor, NY 1174</t>
  </si>
  <si>
    <t>516-862-8106-</t>
  </si>
  <si>
    <t>homer@cshl.edu</t>
  </si>
  <si>
    <t>CU00508</t>
  </si>
  <si>
    <t>Cindy</t>
  </si>
  <si>
    <t>Hon</t>
  </si>
  <si>
    <t>cindyhon@broadinstitute.org</t>
  </si>
  <si>
    <t>CU00344</t>
  </si>
  <si>
    <t>CG00193</t>
  </si>
  <si>
    <t>Hope</t>
  </si>
  <si>
    <t>Team Leader</t>
  </si>
  <si>
    <t>Drug Discovery Unit</t>
  </si>
  <si>
    <t>Drug Discovery UniSchool of Life ScienceUniversity of DundeeDow StreetDundee, DD1 5EHUK</t>
  </si>
  <si>
    <t>01382 381248</t>
  </si>
  <si>
    <t>a.g.hope@dundee.ac.uk</t>
  </si>
  <si>
    <t>CU00327</t>
  </si>
  <si>
    <t>CG00184</t>
  </si>
  <si>
    <t>Corey R</t>
  </si>
  <si>
    <t>Hopkins</t>
  </si>
  <si>
    <t>College of Pharmacy, Department of Pharmaceutical Sciences</t>
  </si>
  <si>
    <t>PDD 2032601 S. Saddle Creek Rd.Omaha, NE 68106, USA</t>
  </si>
  <si>
    <t>402.559.9729</t>
  </si>
  <si>
    <t>corey.hopkins@unmc.edu</t>
  </si>
  <si>
    <t>CU00006</t>
  </si>
  <si>
    <t>Adolfo Jr.</t>
  </si>
  <si>
    <t>Horn</t>
  </si>
  <si>
    <t>adolfouenf@gmail.com</t>
  </si>
  <si>
    <t>CU00737</t>
  </si>
  <si>
    <t>Sevan</t>
  </si>
  <si>
    <t>Houston</t>
  </si>
  <si>
    <t>School of Life Sciences</t>
  </si>
  <si>
    <t>+61-450-431-673</t>
  </si>
  <si>
    <t>s.houston@latrobe.edu.au</t>
  </si>
  <si>
    <t>CU00103</t>
  </si>
  <si>
    <t>CG00058</t>
  </si>
  <si>
    <t>Institute of Glycomics</t>
  </si>
  <si>
    <t>(07)55527051</t>
  </si>
  <si>
    <t>t.houston@griffith.edu.au</t>
  </si>
  <si>
    <t>CU00219</t>
  </si>
  <si>
    <t>CG00128</t>
  </si>
  <si>
    <t>John</t>
  </si>
  <si>
    <t>Howl</t>
  </si>
  <si>
    <t>Professor of Molecular Pharmacology</t>
  </si>
  <si>
    <t>University of Wolverhampton</t>
  </si>
  <si>
    <t>Wulfuna Street</t>
  </si>
  <si>
    <t>44-1902321131</t>
  </si>
  <si>
    <t>j.howl@wlv.ac.uk</t>
  </si>
  <si>
    <t>CU00321</t>
  </si>
  <si>
    <t>CG00180</t>
  </si>
  <si>
    <t>Hoye</t>
  </si>
  <si>
    <t>University of Minnesota</t>
  </si>
  <si>
    <t>612-625-1891</t>
  </si>
  <si>
    <t>hoyex001@umn.edu</t>
  </si>
  <si>
    <t>CU00754</t>
  </si>
  <si>
    <t>Halyna</t>
  </si>
  <si>
    <t>Hryhoriv</t>
  </si>
  <si>
    <t>Assistant</t>
  </si>
  <si>
    <t>Pharmaceutical Chemistry Department</t>
  </si>
  <si>
    <t>53 Pushkinska str., Kharkiv, Ukraine, 61002</t>
  </si>
  <si>
    <t>+380664816847-</t>
  </si>
  <si>
    <t>galkagrigoriv@gmail.com</t>
  </si>
  <si>
    <t>CU00640</t>
  </si>
  <si>
    <t>Hull</t>
  </si>
  <si>
    <t>Principal Investigator, Automation and HTS</t>
  </si>
  <si>
    <t xml:space="preserve">858 242-1023 </t>
  </si>
  <si>
    <t>mhull@scripps.edu</t>
  </si>
  <si>
    <t>CU00031</t>
  </si>
  <si>
    <t>CG00017</t>
  </si>
  <si>
    <t>Hulme</t>
  </si>
  <si>
    <t>University of Arizona</t>
  </si>
  <si>
    <t>BIO5 Translational Drug Discovery Center</t>
  </si>
  <si>
    <t xml:space="preserve">(520)-626-5322 </t>
  </si>
  <si>
    <t>hulme@pharmacy.arizona.edu</t>
  </si>
  <si>
    <t>CU00503</t>
  </si>
  <si>
    <t>CG00272</t>
  </si>
  <si>
    <t>Kristin</t>
  </si>
  <si>
    <t>Hulsaver</t>
  </si>
  <si>
    <t>Administrative assistant</t>
  </si>
  <si>
    <t>Memorial Sloan Kettering Cancer Center (MSKCC)</t>
  </si>
  <si>
    <t>Chemical Biology</t>
  </si>
  <si>
    <t>417 E. 68th Street, New York, NY, 10065</t>
  </si>
  <si>
    <t>646-888-2554</t>
  </si>
  <si>
    <t>hulsavek@mskcc.org</t>
  </si>
  <si>
    <t>CU00047</t>
  </si>
  <si>
    <t>CG00029</t>
  </si>
  <si>
    <t>Hunter</t>
  </si>
  <si>
    <t>University of New South Wales</t>
  </si>
  <si>
    <t>+61293854474</t>
  </si>
  <si>
    <t>l.hunter@unsw.edu.au</t>
  </si>
  <si>
    <t>CU00402</t>
  </si>
  <si>
    <t>CG00226</t>
  </si>
  <si>
    <t>Mustafa</t>
  </si>
  <si>
    <t>Hussain</t>
  </si>
  <si>
    <t>Dalain University of Technology</t>
  </si>
  <si>
    <t>State Key Laboratory of Fine Chemicals</t>
  </si>
  <si>
    <t>Building E Rm 308, Dalian 116024 P.R</t>
  </si>
  <si>
    <t>18842874283</t>
  </si>
  <si>
    <t>hussain.mustafa74@yahoo.com</t>
  </si>
  <si>
    <t>CU00396</t>
  </si>
  <si>
    <t>Mona</t>
  </si>
  <si>
    <t>Hussin</t>
  </si>
  <si>
    <t>College of Pharmacy , Medicinal Chemistry</t>
  </si>
  <si>
    <t>3A El Mashtal St., kornish El Maadi, Elshesheni Devision,  1st floor, App. #6.</t>
  </si>
  <si>
    <t>21117551600</t>
  </si>
  <si>
    <t>dr.mona.hussein@gmail.com</t>
  </si>
  <si>
    <t>CU00434</t>
  </si>
  <si>
    <t>CG00242</t>
  </si>
  <si>
    <t>Olga</t>
  </si>
  <si>
    <t>Igglessi-Markopoulou</t>
  </si>
  <si>
    <t>Professor Emeritus of Organic Chemistry</t>
  </si>
  <si>
    <t>National Technical University of Athens</t>
  </si>
  <si>
    <t>Laboratory of Organic Chemistry, School of Chemical Engineering</t>
  </si>
  <si>
    <t>Iroon Polytechniou 9, Zografou Campus, 15780, Athens</t>
  </si>
  <si>
    <t>Greece</t>
  </si>
  <si>
    <t>+306944651378</t>
  </si>
  <si>
    <t>ojmark@chemeng.ntua.gr</t>
  </si>
  <si>
    <t>CU00335</t>
  </si>
  <si>
    <t>Alexander</t>
  </si>
  <si>
    <t>Ignatov</t>
  </si>
  <si>
    <t>+7 903 233 0871</t>
  </si>
  <si>
    <t>alex.ignatov.8@gmail.com</t>
  </si>
  <si>
    <t>CU00686</t>
  </si>
  <si>
    <t>CG00354</t>
  </si>
  <si>
    <t>Tom</t>
  </si>
  <si>
    <t>Ippoliti</t>
  </si>
  <si>
    <t>2115 Summit Ave, St. Paul, MN 55105</t>
  </si>
  <si>
    <t>6-512781659-9</t>
  </si>
  <si>
    <t>jtippoliti@stthomas.edu</t>
  </si>
  <si>
    <t>CU00644</t>
  </si>
  <si>
    <t>CG00336</t>
  </si>
  <si>
    <t>Nwabisa</t>
  </si>
  <si>
    <t>Jafta</t>
  </si>
  <si>
    <t>Student researcher</t>
  </si>
  <si>
    <t>Council for Scientific and Industrial Research (CSIR)</t>
  </si>
  <si>
    <t>Chemicals</t>
  </si>
  <si>
    <t>Council for Scientific and Industrial Research (CSIR), Meiring Naude Rd, Brummeria, Pretoria, 0001</t>
  </si>
  <si>
    <t>2-7769694811-10</t>
  </si>
  <si>
    <t>nwabisajf@gmail.com</t>
  </si>
  <si>
    <t>CU00628</t>
  </si>
  <si>
    <t>CG00328</t>
  </si>
  <si>
    <t>Sangeeta</t>
  </si>
  <si>
    <t>Jagtap</t>
  </si>
  <si>
    <t>Savitribai Phule Pune University</t>
  </si>
  <si>
    <t>Baburaoji Gholap College, Department of Chemistry</t>
  </si>
  <si>
    <t>Baburaoji Gholap College, 
Department of Chemistry, 
Sangvi, Pune-411027.</t>
  </si>
  <si>
    <t>9-850008249-9</t>
  </si>
  <si>
    <t>jagtapsv@pdeapune.org</t>
  </si>
  <si>
    <t>CU00561</t>
  </si>
  <si>
    <t>CG00303</t>
  </si>
  <si>
    <t>Sajid</t>
  </si>
  <si>
    <t>Jahangir</t>
  </si>
  <si>
    <t>Federal Urdu University of Arts, Science and Technology</t>
  </si>
  <si>
    <t>Dr Iqbal Choudhary Research laboratory, depatrment of chemistry,Federal urdu university of arts science and technology</t>
  </si>
  <si>
    <t>Pakistan</t>
  </si>
  <si>
    <t>9-23152405956-11</t>
  </si>
  <si>
    <t>sajid.jahangir@fuuast.edu.pk</t>
  </si>
  <si>
    <t>CU00074</t>
  </si>
  <si>
    <t>CG00021</t>
  </si>
  <si>
    <t>Priya</t>
  </si>
  <si>
    <t>Jaishankar</t>
  </si>
  <si>
    <t>priya.jaishankar@ucsf.edu</t>
  </si>
  <si>
    <t>CU00758</t>
  </si>
  <si>
    <t>CG00380</t>
  </si>
  <si>
    <t>Bernhard</t>
  </si>
  <si>
    <t>Jandl</t>
  </si>
  <si>
    <t>Währinger Str. 38 1090 Vienna</t>
  </si>
  <si>
    <t>+436645415924</t>
  </si>
  <si>
    <t>bernhard.jandl@univie.ac.at</t>
  </si>
  <si>
    <t>CU00003</t>
  </si>
  <si>
    <t>Angie</t>
  </si>
  <si>
    <t>Jarrad</t>
  </si>
  <si>
    <t>617334 62156</t>
  </si>
  <si>
    <t>a.jarrad@imb.uq.edu.au</t>
  </si>
  <si>
    <t>CU00070</t>
  </si>
  <si>
    <t>Philippe</t>
  </si>
  <si>
    <t>Jauffert</t>
  </si>
  <si>
    <t>04 67 14 43 35</t>
  </si>
  <si>
    <t>philippe.jauffret@chimiotheque-nationale.org</t>
  </si>
  <si>
    <t>CU00440</t>
  </si>
  <si>
    <t>CG00247</t>
  </si>
  <si>
    <t>Maharaja</t>
  </si>
  <si>
    <t>Jayapal</t>
  </si>
  <si>
    <t>Alkhod, Muscat, Sultanate of Oman</t>
  </si>
  <si>
    <t>00 968 99216392</t>
  </si>
  <si>
    <t>maharaja.jpn@gmail.com</t>
  </si>
  <si>
    <t>CU00670</t>
  </si>
  <si>
    <t>CG00344</t>
  </si>
  <si>
    <t>Omobolanle Janet</t>
  </si>
  <si>
    <t>Jesumoroti</t>
  </si>
  <si>
    <t>North-West University</t>
  </si>
  <si>
    <t>Room 111, Building G2, 11, Hoffman Street, School of Pharmacy</t>
  </si>
  <si>
    <t>2-74562948-9</t>
  </si>
  <si>
    <t>dinaofy2k@yahoo.com</t>
  </si>
  <si>
    <t>CU00101</t>
  </si>
  <si>
    <t>CG00060</t>
  </si>
  <si>
    <t>Husen Ari</t>
  </si>
  <si>
    <t>Jia</t>
  </si>
  <si>
    <t>755528221</t>
  </si>
  <si>
    <t>h.jia@griffith.edu.au</t>
  </si>
  <si>
    <t>CU00218</t>
  </si>
  <si>
    <t>Sarah</t>
  </si>
  <si>
    <t>Jones</t>
  </si>
  <si>
    <t>Reader in Pharmacology</t>
  </si>
  <si>
    <t>Wulfruna Street</t>
  </si>
  <si>
    <t>44-1902322748</t>
  </si>
  <si>
    <t>s.jones4@wlv.ac.uk</t>
  </si>
  <si>
    <t>CU00039</t>
  </si>
  <si>
    <t>CG00024</t>
  </si>
  <si>
    <t>Subash</t>
  </si>
  <si>
    <t>Jonnalgadda</t>
  </si>
  <si>
    <t>Rowan University</t>
  </si>
  <si>
    <t>1-856-256-5452</t>
  </si>
  <si>
    <t>jonnalagadda@rowan.edu</t>
  </si>
  <si>
    <t>CU00564</t>
  </si>
  <si>
    <t>CG00304</t>
  </si>
  <si>
    <t>Jiney</t>
  </si>
  <si>
    <t>Jose</t>
  </si>
  <si>
    <t>Auckland Cancer Society Research Centre, Faculty of Medical and Health Sciences</t>
  </si>
  <si>
    <t>85 Park Road, Grafton
Auckland 102</t>
  </si>
  <si>
    <t>64-09-923-2233-822-33</t>
  </si>
  <si>
    <t>j.jose@auckland.ac.nz</t>
  </si>
  <si>
    <t>CU00804</t>
  </si>
  <si>
    <t>CG00397</t>
  </si>
  <si>
    <t>Cassiem</t>
  </si>
  <si>
    <t>Joseph</t>
  </si>
  <si>
    <t>University of the Witwatersrand</t>
  </si>
  <si>
    <t>Humphrey Raikes Building, Office C309/Lab 119B, School of Chemistry, Braamfontein East Campus, University of the Witwatersrand, 1 Jan Smuts Avenue, Johannesburg, 2001, South Africa</t>
  </si>
  <si>
    <t>2-7735345956-10</t>
  </si>
  <si>
    <t>moegamat.joseph@wits.ac.za</t>
  </si>
  <si>
    <t>CU00404</t>
  </si>
  <si>
    <t>Nicole</t>
  </si>
  <si>
    <t>Jung</t>
  </si>
  <si>
    <t>Head of Reserach Group</t>
  </si>
  <si>
    <t>Fritz-Haber-Weg 6Bldg. 30.4276131 Karlsruhe</t>
  </si>
  <si>
    <t>nicole.jung@kit.edu</t>
  </si>
  <si>
    <t>CU00490</t>
  </si>
  <si>
    <t>CG00267</t>
  </si>
  <si>
    <t>Nawaz</t>
  </si>
  <si>
    <t>Kahn</t>
  </si>
  <si>
    <t>#40/67, 2nd Floor, 5th Cross, Jaimaruthi Nagar, Nandini Layout, Bangalore-96, Karnataka</t>
  </si>
  <si>
    <t>9444234609</t>
  </si>
  <si>
    <t>NAWAZ_F@YAHOO.CO.IN</t>
  </si>
  <si>
    <t>CU00295</t>
  </si>
  <si>
    <t>Rahul</t>
  </si>
  <si>
    <t>Kalhapure</t>
  </si>
  <si>
    <t>Westville, Durban-4000</t>
  </si>
  <si>
    <t>kalhapure@ukzn.ac.za</t>
  </si>
  <si>
    <t>CU00701</t>
  </si>
  <si>
    <t>CG00294</t>
  </si>
  <si>
    <t>Dumisani Vincent</t>
  </si>
  <si>
    <t>Kama</t>
  </si>
  <si>
    <t>Senior Lecture</t>
  </si>
  <si>
    <t>University of The Free State</t>
  </si>
  <si>
    <t>205 Nelson Mandela Dr, Park West, Bloemfontein, 9301</t>
  </si>
  <si>
    <t>+27-514013655</t>
  </si>
  <si>
    <t>KamaDv@ufs.ac.za</t>
  </si>
  <si>
    <t>CU00606</t>
  </si>
  <si>
    <t>CG00319</t>
  </si>
  <si>
    <t>Vinuta</t>
  </si>
  <si>
    <t>Kamat</t>
  </si>
  <si>
    <t>Mangalore University</t>
  </si>
  <si>
    <t>Konaje</t>
  </si>
  <si>
    <t>7-848888596-9</t>
  </si>
  <si>
    <t>vinutakamat24@gmail.com</t>
  </si>
  <si>
    <t>CU00397</t>
  </si>
  <si>
    <t>CG00224</t>
  </si>
  <si>
    <t>Ajit</t>
  </si>
  <si>
    <t>Kandale</t>
  </si>
  <si>
    <t>SCMB</t>
  </si>
  <si>
    <t>Cooper Road, St Lucia-4072,</t>
  </si>
  <si>
    <t>40651777</t>
  </si>
  <si>
    <t>a.kandale@uq.edu.au</t>
  </si>
  <si>
    <t>CU00043</t>
  </si>
  <si>
    <t>CG00027</t>
  </si>
  <si>
    <t>Kantevari</t>
  </si>
  <si>
    <t>CSIR-Indian Institute of Chemical Technology</t>
  </si>
  <si>
    <t>Academy of Scientific and Innovative Research (AcSIR)</t>
  </si>
  <si>
    <t>+91 40 2719 3234</t>
  </si>
  <si>
    <t>kantevari@yahoo.com</t>
  </si>
  <si>
    <t>CU00459</t>
  </si>
  <si>
    <t>Nirav</t>
  </si>
  <si>
    <t>Kapadia</t>
  </si>
  <si>
    <t>Post Doctoral Research Associate</t>
  </si>
  <si>
    <t>Structural Genomics Consortium; Chemical Biology and Medicinal Chemistry</t>
  </si>
  <si>
    <t>120 Mason Farm Road, CB#7356; Chapel Hill, NC 27599; USA</t>
  </si>
  <si>
    <t>nrkkapadia086@gmail.com</t>
  </si>
  <si>
    <t>CU00635</t>
  </si>
  <si>
    <t>CG00332</t>
  </si>
  <si>
    <t>Karim</t>
  </si>
  <si>
    <t>Professor, Head of Department</t>
  </si>
  <si>
    <t>Tennessee State University</t>
  </si>
  <si>
    <t>3500 John A. Merritt Blvd, Nashville TN, 37209</t>
  </si>
  <si>
    <t>615-963-5344</t>
  </si>
  <si>
    <t>mkarim@tnstate.edu</t>
  </si>
  <si>
    <t>CU00338</t>
  </si>
  <si>
    <t>CG00190</t>
  </si>
  <si>
    <t>Karuso</t>
  </si>
  <si>
    <t>+61-2-9850-8290</t>
  </si>
  <si>
    <t>peter.karuso@mq.edu.au</t>
  </si>
  <si>
    <t>CU00044</t>
  </si>
  <si>
    <t>Yoel</t>
  </si>
  <si>
    <t>Kashman</t>
  </si>
  <si>
    <t>972-3-6408419</t>
  </si>
  <si>
    <t>kashman@post.tau.ac.il</t>
  </si>
  <si>
    <t>CU00424</t>
  </si>
  <si>
    <t>CG00237</t>
  </si>
  <si>
    <t>Shaymaa</t>
  </si>
  <si>
    <t>Kassab</t>
  </si>
  <si>
    <t>Damanhour University</t>
  </si>
  <si>
    <t>425 El-Nargess Buildings- 3rd floor (Apt 8), North teseen st, 5th Settlement, New Cairo 11835.</t>
  </si>
  <si>
    <t>20100526757</t>
  </si>
  <si>
    <t>shaymaakassab@yahoo.com</t>
  </si>
  <si>
    <t>CU00593</t>
  </si>
  <si>
    <t>Katz</t>
  </si>
  <si>
    <t>Head of Development</t>
  </si>
  <si>
    <t>jkatz@dndi.org</t>
  </si>
  <si>
    <t>CU00602</t>
  </si>
  <si>
    <t>Angela</t>
  </si>
  <si>
    <t>Kavangh</t>
  </si>
  <si>
    <t>+61-7-334-62</t>
  </si>
  <si>
    <t>a.badillovega@imb.uq.edu.au</t>
  </si>
  <si>
    <t>CU00616</t>
  </si>
  <si>
    <t>CG00321</t>
  </si>
  <si>
    <t>Oxana</t>
  </si>
  <si>
    <t>Kazakova</t>
  </si>
  <si>
    <t>Ufa Institute of Chemistry</t>
  </si>
  <si>
    <t>Insect Bioregulatory Laboratory</t>
  </si>
  <si>
    <t>450054, Ufa, prospekt Oktyabrya, 69</t>
  </si>
  <si>
    <t>7-3472356066-10</t>
  </si>
  <si>
    <t>obf@anrb.ru</t>
  </si>
  <si>
    <t>CU00250</t>
  </si>
  <si>
    <t>JJ</t>
  </si>
  <si>
    <t>Keating</t>
  </si>
  <si>
    <t>Lecturer of Medicinal Chemistry</t>
  </si>
  <si>
    <t>School of Pharmacy, Cavanagh Pharmacy Building, University College Cork, College Road, Cork, Ireland</t>
  </si>
  <si>
    <t>353214901692</t>
  </si>
  <si>
    <t>jj.keating@ucc.ie</t>
  </si>
  <si>
    <t>CU00264</t>
  </si>
  <si>
    <t>CG00151</t>
  </si>
  <si>
    <t>Genny</t>
  </si>
  <si>
    <t>Keefe</t>
  </si>
  <si>
    <t>University of Edinburgh</t>
  </si>
  <si>
    <t>Joseph Black Building, David Brewster Road, Edinbrugh EH9 3FJ, United Kingdom</t>
  </si>
  <si>
    <t>44 7784175418</t>
  </si>
  <si>
    <t>gennykeefe@gmail.com</t>
  </si>
  <si>
    <t>CU00600</t>
  </si>
  <si>
    <t>Jamin</t>
  </si>
  <si>
    <t>Keith</t>
  </si>
  <si>
    <t>1234 STEVENSON CENTER LN STEVENSON CTR 7300 NASHVILLE TN 37240</t>
  </si>
  <si>
    <t>jamin.keith@vanderbilt.edu</t>
  </si>
  <si>
    <t>CU00045</t>
  </si>
  <si>
    <t>CG00028</t>
  </si>
  <si>
    <t>Keller</t>
  </si>
  <si>
    <t>Northfields Ave, Wollongong NSW 2522</t>
  </si>
  <si>
    <t>+61-2-4221-4692</t>
  </si>
  <si>
    <t>keller@uow.edu.au</t>
  </si>
  <si>
    <t>CU00539</t>
  </si>
  <si>
    <t>CG00292</t>
  </si>
  <si>
    <t>Kelner</t>
  </si>
  <si>
    <t>University of California San Diego (UCSD)</t>
  </si>
  <si>
    <t>Pathology</t>
  </si>
  <si>
    <t>10300 Campus Point Drive, Suite 150, San Diego CA 92121</t>
  </si>
  <si>
    <t>858-657-5731</t>
  </si>
  <si>
    <t>mkelner@ucsd.edu</t>
  </si>
  <si>
    <t>CU00061</t>
  </si>
  <si>
    <t>CG00036</t>
  </si>
  <si>
    <t>Kelso</t>
  </si>
  <si>
    <t>Associated Professor</t>
  </si>
  <si>
    <t>Northfields Ave, Wollongong 2522, NSW</t>
  </si>
  <si>
    <t>61-2-4221-5085</t>
  </si>
  <si>
    <t>mkelso@uow.edu.au</t>
  </si>
  <si>
    <t>CU00145</t>
  </si>
  <si>
    <t>CG00085</t>
  </si>
  <si>
    <t>Francesca</t>
  </si>
  <si>
    <t>Kerton</t>
  </si>
  <si>
    <t>17098648089</t>
  </si>
  <si>
    <t>fkerton@mun.ca</t>
  </si>
  <si>
    <t>CU00129</t>
  </si>
  <si>
    <t>CG00075</t>
  </si>
  <si>
    <t>Graham</t>
  </si>
  <si>
    <t>Kerven</t>
  </si>
  <si>
    <t>School of Agriculture and Food Science</t>
  </si>
  <si>
    <t>Heartley Teakle building, room N203St. Lucia</t>
  </si>
  <si>
    <t>+61 7 3365 1171</t>
  </si>
  <si>
    <t>g.kerven@uq.edu.au</t>
  </si>
  <si>
    <t>CU00530</t>
  </si>
  <si>
    <t>CG00286</t>
  </si>
  <si>
    <t>V</t>
  </si>
  <si>
    <t>Kesavan</t>
  </si>
  <si>
    <t>IIT Madras</t>
  </si>
  <si>
    <t>Deartment of Biotechnology</t>
  </si>
  <si>
    <t>Department of Biotechnology, Bhupat and Jyoti Mehta School of Biosciences, IIT Madras, Chennai, 600036, India.</t>
  </si>
  <si>
    <t>044-22574124</t>
  </si>
  <si>
    <t>vkesavan@iitm.ac.in</t>
  </si>
  <si>
    <t>CU00685</t>
  </si>
  <si>
    <t>CG00353</t>
  </si>
  <si>
    <t>Gyochang</t>
  </si>
  <si>
    <t>Keum</t>
  </si>
  <si>
    <t>Korea Institute of Science and Technology (KIST)</t>
  </si>
  <si>
    <t>Center for Neuro-Medicine</t>
  </si>
  <si>
    <t>Hwarangro 14-gil 5 Seongbuk-gu, Seoul 02792, Republic of Korea </t>
  </si>
  <si>
    <t>South Korea</t>
  </si>
  <si>
    <t>+82-0-10-5024-6196</t>
  </si>
  <si>
    <t>gkeum@kist.re.kr</t>
  </si>
  <si>
    <t>CU00631</t>
  </si>
  <si>
    <t>Hend</t>
  </si>
  <si>
    <t>Khalifa</t>
  </si>
  <si>
    <t>Assistant Lecturer</t>
  </si>
  <si>
    <t>Faculty of Pharmacy, Pharmaceutical Chemistry Department</t>
  </si>
  <si>
    <t>Main Entrance , Altagmoaa alkhames, New Cairo City, Cairo 11831</t>
  </si>
  <si>
    <t>2-01060543118-11</t>
  </si>
  <si>
    <t>hend.zaghloul@guc.edu.eg</t>
  </si>
  <si>
    <t>CU00461</t>
  </si>
  <si>
    <t>Afreen</t>
  </si>
  <si>
    <t>Khan</t>
  </si>
  <si>
    <t>91902939357</t>
  </si>
  <si>
    <t>786afreenk@gmail.com</t>
  </si>
  <si>
    <t>CU00248</t>
  </si>
  <si>
    <t>CG00143</t>
  </si>
  <si>
    <t>Prashant</t>
  </si>
  <si>
    <t>Kharkar</t>
  </si>
  <si>
    <t>NMIMS</t>
  </si>
  <si>
    <t>4th floor, Lab 404, SPP-SVKM's NMIMS (Deemed to be University), V. L. Mehta Road, Vile Parle, West, Mumbai, Maharashtra - 400 056</t>
  </si>
  <si>
    <t>9819467123</t>
  </si>
  <si>
    <t>prashant.kharkar@nmims.edu</t>
  </si>
  <si>
    <t>CU00177</t>
  </si>
  <si>
    <t>CG00105</t>
  </si>
  <si>
    <t>Khedekar</t>
  </si>
  <si>
    <t>RTM Nagpur University</t>
  </si>
  <si>
    <t>Mahatma Jyotiba Fuley Educational Campus, RTM Nagpur University, Amravati Road, Nagpur 440033, Maharashtra</t>
  </si>
  <si>
    <t>9822472093</t>
  </si>
  <si>
    <t>pbkhedekarudps@gmail.com</t>
  </si>
  <si>
    <t>CU00023</t>
  </si>
  <si>
    <t>CG00011</t>
  </si>
  <si>
    <t>Ranjan</t>
  </si>
  <si>
    <t>Khunt</t>
  </si>
  <si>
    <t>Saurashtra University</t>
  </si>
  <si>
    <t>91 9824831192</t>
  </si>
  <si>
    <t>drrckhunt12@yahoo.com</t>
  </si>
  <si>
    <t>CU00166</t>
  </si>
  <si>
    <t>CG00099</t>
  </si>
  <si>
    <t>Marc</t>
  </si>
  <si>
    <t>Kimber</t>
  </si>
  <si>
    <t>Senior Lecturer in Organic Chemistry</t>
  </si>
  <si>
    <t>University of Loughborough</t>
  </si>
  <si>
    <t>Loughborough, LE11 3TU</t>
  </si>
  <si>
    <t>+44 01509222570</t>
  </si>
  <si>
    <t>m.c.kimber@lboro.ac.uk</t>
  </si>
  <si>
    <t>CU00504</t>
  </si>
  <si>
    <t>CG00273</t>
  </si>
  <si>
    <t>King</t>
  </si>
  <si>
    <t>Wake Forest University</t>
  </si>
  <si>
    <t>455 Vine Street, Room 3812, Winston-Salem, NC 27101</t>
  </si>
  <si>
    <t>336-702-1954</t>
  </si>
  <si>
    <t>kingsb@wfu.edu</t>
  </si>
  <si>
    <t>CU00029</t>
  </si>
  <si>
    <t>Glenn</t>
  </si>
  <si>
    <t>61733462025</t>
  </si>
  <si>
    <t>glenn.king@imb.uq.edu.au</t>
  </si>
  <si>
    <t>CU00380</t>
  </si>
  <si>
    <t>CG00212</t>
  </si>
  <si>
    <t>Bostjan</t>
  </si>
  <si>
    <t>Kobe</t>
  </si>
  <si>
    <t>61 7 3365 2132</t>
  </si>
  <si>
    <t>b.kobe@uq.edu.au</t>
  </si>
  <si>
    <t>CU00266</t>
  </si>
  <si>
    <t>Manasa</t>
  </si>
  <si>
    <t>Kongot</t>
  </si>
  <si>
    <t>Junior Research Fellow</t>
  </si>
  <si>
    <t>Jain Global Campus, Jakkasandra Post, Kanakapura Road, Kanakapura Taluk, Ramanagara District-562112</t>
  </si>
  <si>
    <t>91-9535504427</t>
  </si>
  <si>
    <t>manasakongot@gmail.com</t>
  </si>
  <si>
    <t>CU00284</t>
  </si>
  <si>
    <t>CG00163</t>
  </si>
  <si>
    <t>Andrei</t>
  </si>
  <si>
    <t>Konradi</t>
  </si>
  <si>
    <t>Principal</t>
  </si>
  <si>
    <t>Konradi Molecular</t>
  </si>
  <si>
    <t>Research</t>
  </si>
  <si>
    <t>30 Victoria Rd. Burlingame, CA 94010</t>
  </si>
  <si>
    <t>1-650-669-1014</t>
  </si>
  <si>
    <t>andrei@konradimolecular.com</t>
  </si>
  <si>
    <t>CU00573</t>
  </si>
  <si>
    <t>CG00186</t>
  </si>
  <si>
    <t>Marat</t>
  </si>
  <si>
    <t>Korsik</t>
  </si>
  <si>
    <t>The University of Sydney, F11, Eastern Ave, Sydney NSW 2006</t>
  </si>
  <si>
    <t>4-78927558-8</t>
  </si>
  <si>
    <t>korsik.marat@gmail.com</t>
  </si>
  <si>
    <t>CU00217</t>
  </si>
  <si>
    <t>CG00127</t>
  </si>
  <si>
    <t>Kosma</t>
  </si>
  <si>
    <t>Head of Division Organic Chemistry</t>
  </si>
  <si>
    <t>Muthgasse 18, A-1190 Vienna</t>
  </si>
  <si>
    <t>43-1-47654-6055</t>
  </si>
  <si>
    <t>paul.kosma@boku.ac.at</t>
  </si>
  <si>
    <t>CU00512</t>
  </si>
  <si>
    <t>CG00277</t>
  </si>
  <si>
    <t>Sumana Y</t>
  </si>
  <si>
    <t>Kotian</t>
  </si>
  <si>
    <t>Research scholar</t>
  </si>
  <si>
    <t>University of Mysore</t>
  </si>
  <si>
    <t>DOS in Chemistry</t>
  </si>
  <si>
    <t>Manasagangotri, Mysuru, Karnataka 570006 India</t>
  </si>
  <si>
    <t>9611411484</t>
  </si>
  <si>
    <t>sumanakotian@gmail.com</t>
  </si>
  <si>
    <t>CU00186</t>
  </si>
  <si>
    <t>Kovalenko</t>
  </si>
  <si>
    <t>Docent</t>
  </si>
  <si>
    <t>Department of Quality Management</t>
  </si>
  <si>
    <t>Kharkiv, Bluhera st. 4</t>
  </si>
  <si>
    <t>+380 50 300 87 77; +380 572 65-88-92; 68-09-60</t>
  </si>
  <si>
    <t>claire82@mail.ru</t>
  </si>
  <si>
    <t>CU00095</t>
  </si>
  <si>
    <t>Wolfgang</t>
  </si>
  <si>
    <t>Kroutil</t>
  </si>
  <si>
    <t>+43 (0) 316 3805350</t>
  </si>
  <si>
    <t>wolfgang.kroutil@uni-graz.at</t>
  </si>
  <si>
    <t>CU00579</t>
  </si>
  <si>
    <t>CG00230</t>
  </si>
  <si>
    <t>Julia</t>
  </si>
  <si>
    <t>Kuchar</t>
  </si>
  <si>
    <t>University of Wuppertal</t>
  </si>
  <si>
    <t>Inorganic Chemistry</t>
  </si>
  <si>
    <t>Gaussstr. 2042119 Wuppertal</t>
  </si>
  <si>
    <t>+492024392457</t>
  </si>
  <si>
    <t>kuchar@uni-wuppertal.de</t>
  </si>
  <si>
    <t>CU00581</t>
  </si>
  <si>
    <t>CG00311</t>
  </si>
  <si>
    <t>Mary</t>
  </si>
  <si>
    <t>Kudi</t>
  </si>
  <si>
    <t>University of Central Lancashire</t>
  </si>
  <si>
    <t>School of Pharmacy and Biomedical Sciences</t>
  </si>
  <si>
    <t>University of Central Lancashire Preston PR1 2HE</t>
  </si>
  <si>
    <t>44-7484-800-999</t>
  </si>
  <si>
    <t>mkudi1@uclan.ac.uk</t>
  </si>
  <si>
    <t>CU00193</t>
  </si>
  <si>
    <t>CG00115</t>
  </si>
  <si>
    <t>Klaus</t>
  </si>
  <si>
    <t>Kuemmerer</t>
  </si>
  <si>
    <t>Institute Head</t>
  </si>
  <si>
    <t>Leuphana University Lueneburg</t>
  </si>
  <si>
    <t>Institute for Sustainable Chemistry and Environmental Chemistry</t>
  </si>
  <si>
    <t>Scharnhorststrasse 1; D-21335 Lueneburg</t>
  </si>
  <si>
    <t>0049 4131 677 2893</t>
  </si>
  <si>
    <t>klaus.kuemmerer@uni.leuphana.de</t>
  </si>
  <si>
    <t>CU00713</t>
  </si>
  <si>
    <t>CG00363</t>
  </si>
  <si>
    <t>Damian</t>
  </si>
  <si>
    <t>Kulaga</t>
  </si>
  <si>
    <t>Cracow University of Technology</t>
  </si>
  <si>
    <t>Faculty of Chemical Engineering and Technology</t>
  </si>
  <si>
    <t>Warszawska 24 31-155 Kraków</t>
  </si>
  <si>
    <t>4-851679018-10</t>
  </si>
  <si>
    <t>damian27091990@gmail.com</t>
  </si>
  <si>
    <t>CU00227</t>
  </si>
  <si>
    <t>Kumar</t>
  </si>
  <si>
    <t>Postdoc Fellow</t>
  </si>
  <si>
    <t>701-307-0437</t>
  </si>
  <si>
    <t>dinesh.kumar@ndsu.edu</t>
  </si>
  <si>
    <t>CU00080</t>
  </si>
  <si>
    <t>Rohitesh</t>
  </si>
  <si>
    <t>rohitesh.kumar@griffithuni.edu.au</t>
  </si>
  <si>
    <t>CU00153</t>
  </si>
  <si>
    <t>CG00092</t>
  </si>
  <si>
    <t>Dhanabal</t>
  </si>
  <si>
    <t>Kumarasamy</t>
  </si>
  <si>
    <t>NSHM College of Pharmaceutical Technology</t>
  </si>
  <si>
    <t>124, B. L SAHA ROAD, NSHM Knowledge Campus - Kolkata, KOLKATA, West Bengal, PIN 700053</t>
  </si>
  <si>
    <t>913324032300</t>
  </si>
  <si>
    <t>dhanabal.kumarasamy@nshm.com</t>
  </si>
  <si>
    <t>CU00764</t>
  </si>
  <si>
    <t>Pragya</t>
  </si>
  <si>
    <t>Kumari</t>
  </si>
  <si>
    <t>Chem Stores 024 765 23767
University of Warwick
Dept of Chemistry
Chemistry Stores
Gibbet Hill Rd
Coventry
West Midlands, CV4 7AL
United Kingdom</t>
  </si>
  <si>
    <t>+44-7824049443</t>
  </si>
  <si>
    <t>Pragya.Kumari@warwick.ac.uk</t>
  </si>
  <si>
    <t>CU00048</t>
  </si>
  <si>
    <t>Lalith</t>
  </si>
  <si>
    <t>Kummari</t>
  </si>
  <si>
    <t>+61 7 3346 2204</t>
  </si>
  <si>
    <t>l.kummari@imb.uq.edu.au</t>
  </si>
  <si>
    <t>CU00285</t>
  </si>
  <si>
    <t>Vivian</t>
  </si>
  <si>
    <t>Kwong</t>
  </si>
  <si>
    <t>College of San Mateo</t>
  </si>
  <si>
    <t>Mathematics and Science</t>
  </si>
  <si>
    <t>1700 W. Hillsdale Blvd. San Mateo, CA 94402</t>
  </si>
  <si>
    <t>1-650-579-4882</t>
  </si>
  <si>
    <t>vivianleighkwong@gmail.com</t>
  </si>
  <si>
    <t>CU00689</t>
  </si>
  <si>
    <t>Priyanka</t>
  </si>
  <si>
    <t>Lahiri</t>
  </si>
  <si>
    <t>9-19611187628-11</t>
  </si>
  <si>
    <t>priyankalahiri4@gmail.com</t>
  </si>
  <si>
    <t>CU00099</t>
  </si>
  <si>
    <t>CG00055</t>
  </si>
  <si>
    <t>Kurt</t>
  </si>
  <si>
    <t>Compounds Australia</t>
  </si>
  <si>
    <t>CU00110</t>
  </si>
  <si>
    <t>CG00063</t>
  </si>
  <si>
    <t>Lam</t>
  </si>
  <si>
    <t>University of Nottingham</t>
  </si>
  <si>
    <t>University Park Nottingham</t>
  </si>
  <si>
    <t>0115 748 4677</t>
  </si>
  <si>
    <t>hon.lam@nottingham.ac.uk</t>
  </si>
  <si>
    <t>CU00078</t>
  </si>
  <si>
    <t>CG00126</t>
  </si>
  <si>
    <t>Rebecca</t>
  </si>
  <si>
    <t>Lang</t>
  </si>
  <si>
    <t>07 37 354 448 or 07 37 356 066</t>
  </si>
  <si>
    <t>r.lang@griffith.edu.au</t>
  </si>
  <si>
    <t>CU00765</t>
  </si>
  <si>
    <t>Edward</t>
  </si>
  <si>
    <t>Lant</t>
  </si>
  <si>
    <t>PGR</t>
  </si>
  <si>
    <t>+44-7341848315</t>
  </si>
  <si>
    <t>edward.lant@warwick.ac.uk</t>
  </si>
  <si>
    <t>CU00528</t>
  </si>
  <si>
    <t>Maria Ivana</t>
  </si>
  <si>
    <t>Lapuh</t>
  </si>
  <si>
    <t>+5411-69558398</t>
  </si>
  <si>
    <t>ivana.lapuh@gmail.com</t>
  </si>
  <si>
    <t>CU00430</t>
  </si>
  <si>
    <t>Quentin</t>
  </si>
  <si>
    <t>Laurent</t>
  </si>
  <si>
    <t>+41 21 69 39842</t>
  </si>
  <si>
    <t>quentin.laurent@epfl.ch</t>
  </si>
  <si>
    <t>CU00378</t>
  </si>
  <si>
    <t>Bronwyn</t>
  </si>
  <si>
    <t>Laycock</t>
  </si>
  <si>
    <t>+61 7 334 68882</t>
  </si>
  <si>
    <t>b.laycock@uq.edu.au</t>
  </si>
  <si>
    <t>CU00455</t>
  </si>
  <si>
    <t>Lorraine </t>
  </si>
  <si>
    <t>Leahy</t>
  </si>
  <si>
    <t>00353 86 8653070</t>
  </si>
  <si>
    <t>lorraine.leahy@nuigalway.ie</t>
  </si>
  <si>
    <t>CU00557</t>
  </si>
  <si>
    <t>CG00300</t>
  </si>
  <si>
    <t>Patrice</t>
  </si>
  <si>
    <t>Leclerc</t>
  </si>
  <si>
    <t>Coordonateur</t>
  </si>
  <si>
    <t>Université de Sherbrooke</t>
  </si>
  <si>
    <t>Pharmacology-Physiology</t>
  </si>
  <si>
    <t>3001, 12e Avenue Nord, Sherbrooke, Qc, J1H 5N4</t>
  </si>
  <si>
    <t>1-819-821-8000-#-75815</t>
  </si>
  <si>
    <t>patrice.leclerc@usherbrooke.ca</t>
  </si>
  <si>
    <t>CU00192</t>
  </si>
  <si>
    <t>Christoph</t>
  </si>
  <si>
    <t>Leder</t>
  </si>
  <si>
    <t>0049 4131 677 2872</t>
  </si>
  <si>
    <t>cleder@leuphana.de</t>
  </si>
  <si>
    <t>CU00546</t>
  </si>
  <si>
    <t>CG00296</t>
  </si>
  <si>
    <t>Kathleen</t>
  </si>
  <si>
    <t>Abilene Christian University</t>
  </si>
  <si>
    <t>ACU Box 28132; Abilene, TX 79699-8132</t>
  </si>
  <si>
    <t>1-325-674-2020</t>
  </si>
  <si>
    <t>Kathleen.Lee@acu.edu</t>
  </si>
  <si>
    <t>CU00784</t>
  </si>
  <si>
    <t>Jorge</t>
  </si>
  <si>
    <t>Leitão</t>
  </si>
  <si>
    <t>Institute for Bioengineering and Biosciences</t>
  </si>
  <si>
    <t>+351-218417688</t>
  </si>
  <si>
    <t>jorgeleitao@tecnico.ulisboa.pt</t>
  </si>
  <si>
    <t>CU00225</t>
  </si>
  <si>
    <t>CG00132</t>
  </si>
  <si>
    <t>Rob</t>
  </si>
  <si>
    <t>Leurs</t>
  </si>
  <si>
    <t>Head of department</t>
  </si>
  <si>
    <t>VU University Amsterdam</t>
  </si>
  <si>
    <t>Medicinal Chemistry</t>
  </si>
  <si>
    <t>Netherlands</t>
  </si>
  <si>
    <t>0031205987579</t>
  </si>
  <si>
    <t>r.leurs@vu.nl</t>
  </si>
  <si>
    <t>CU00302</t>
  </si>
  <si>
    <t>CG00171</t>
  </si>
  <si>
    <t>Alison</t>
  </si>
  <si>
    <t>Levens</t>
  </si>
  <si>
    <t>alison.levens@monash.edu</t>
  </si>
  <si>
    <t>CU00730</t>
  </si>
  <si>
    <t>Lever</t>
  </si>
  <si>
    <t>Applied Chemistry and Environmental Science</t>
  </si>
  <si>
    <t>3/1 Coppin Grove, Hawthorn</t>
  </si>
  <si>
    <t>4-03523562-8</t>
  </si>
  <si>
    <t>james.lever@rmit.edu.au</t>
  </si>
  <si>
    <t>CU00585</t>
  </si>
  <si>
    <t>Jakkarin</t>
  </si>
  <si>
    <t>Limwongyut</t>
  </si>
  <si>
    <t>805-453-5077</t>
  </si>
  <si>
    <t>jlimwongyut@chem.ucsb.edu</t>
  </si>
  <si>
    <t>CU00286</t>
  </si>
  <si>
    <t>Sophia</t>
  </si>
  <si>
    <t>Lin</t>
  </si>
  <si>
    <t>1-510-333-6345</t>
  </si>
  <si>
    <t>sslawk8@yahoo.com</t>
  </si>
  <si>
    <t>CU00363</t>
  </si>
  <si>
    <t>CG00203</t>
  </si>
  <si>
    <t>Sing Shy</t>
  </si>
  <si>
    <t>Liow</t>
  </si>
  <si>
    <t>Agency for Science, Technology and Research (A*STAR)</t>
  </si>
  <si>
    <t>Institute of Materials Research and Engineering (IMRE)</t>
  </si>
  <si>
    <t>2 Fusionopolis Way, #08-03, Innovis, Singapore 138634.</t>
  </si>
  <si>
    <t>(65)63194843</t>
  </si>
  <si>
    <t>liowss@imre.a-star.edu.sg</t>
  </si>
  <si>
    <t>CU00403</t>
  </si>
  <si>
    <t>Jianhui</t>
  </si>
  <si>
    <t>Liu</t>
  </si>
  <si>
    <t>86138984261</t>
  </si>
  <si>
    <t>liujh@dlut.edu.cn</t>
  </si>
  <si>
    <t>CU00144</t>
  </si>
  <si>
    <t>CG00084</t>
  </si>
  <si>
    <t>Ph.D student</t>
  </si>
  <si>
    <t>17093517018</t>
  </si>
  <si>
    <t>yl5675@mun.ca</t>
  </si>
  <si>
    <t>CU00313</t>
  </si>
  <si>
    <t>Zeyun</t>
  </si>
  <si>
    <t>1.876656561E10</t>
  </si>
  <si>
    <t>liuzeyun900606@163.com</t>
  </si>
  <si>
    <t>CU00792</t>
  </si>
  <si>
    <t>Lièvremont</t>
  </si>
  <si>
    <t>3-3368851353-10</t>
  </si>
  <si>
    <t>didier.lievremont@unistra.fr</t>
  </si>
  <si>
    <t>CU00116</t>
  </si>
  <si>
    <t>Sabin</t>
  </si>
  <si>
    <t>Llona-Minguez</t>
  </si>
  <si>
    <t>Science for Life Laboratory, Box 1031, S-171 21 Stockholm, Sweden</t>
  </si>
  <si>
    <t>sabin.llona.minguez@scilifelab.se</t>
  </si>
  <si>
    <t>CU00772</t>
  </si>
  <si>
    <t>Kathrine</t>
  </si>
  <si>
    <t>Locock</t>
  </si>
  <si>
    <t>Team Leader, Drug Discovery Chemistry</t>
  </si>
  <si>
    <t xml:space="preserve">Biomedical Manufacturing </t>
  </si>
  <si>
    <t>Room 1.22, Building 207, Research Way, Clayton VIC 3168</t>
  </si>
  <si>
    <t>+61 415 136 654</t>
  </si>
  <si>
    <t>Katherine.Locock@csiro.au</t>
  </si>
  <si>
    <t>CU00697</t>
  </si>
  <si>
    <t>CG00361</t>
  </si>
  <si>
    <t>Nick</t>
  </si>
  <si>
    <t>Long</t>
  </si>
  <si>
    <t>82 Wood Lane</t>
  </si>
  <si>
    <t>+44-0-20-7594-5781</t>
  </si>
  <si>
    <t>n.long@imperial.ac.uk</t>
  </si>
  <si>
    <t>CU00143</t>
  </si>
  <si>
    <t>Jian Liang</t>
  </si>
  <si>
    <t>Low</t>
  </si>
  <si>
    <t>Laboratory Executive</t>
  </si>
  <si>
    <t>(+65)6601-2414</t>
  </si>
  <si>
    <t>micljl@nus.edu.sg</t>
  </si>
  <si>
    <t>CU00627</t>
  </si>
  <si>
    <t>Lowry</t>
  </si>
  <si>
    <t>Administrative Assistant</t>
  </si>
  <si>
    <t>410-857-2400</t>
  </si>
  <si>
    <t>clowry@mcdaniel.edu</t>
  </si>
  <si>
    <t>CU00242</t>
  </si>
  <si>
    <t>CG00141</t>
  </si>
  <si>
    <t>Kongsin</t>
  </si>
  <si>
    <t>Luangruangrong</t>
  </si>
  <si>
    <t>Pharmacist</t>
  </si>
  <si>
    <t>Chulalongkorn University</t>
  </si>
  <si>
    <t>Faculty of Pharmacy, Department of Pharmacognosy and Pharmaceutical Botany</t>
  </si>
  <si>
    <t>254 Phyathai Rd. Wangmai Patumwan Bangkok, 10330, Thailand</t>
  </si>
  <si>
    <t>Thailand</t>
  </si>
  <si>
    <t>02-448-0209; 095-234-6864</t>
  </si>
  <si>
    <t>picerx38@gmail.com</t>
  </si>
  <si>
    <t>CU00770</t>
  </si>
  <si>
    <t>Valentina</t>
  </si>
  <si>
    <t>Lukinovic</t>
  </si>
  <si>
    <t>Post Doctoral Follow</t>
  </si>
  <si>
    <t>valentinalukinovic@cunet.carleton.ca</t>
  </si>
  <si>
    <t>CU00170</t>
  </si>
  <si>
    <t>CG00101</t>
  </si>
  <si>
    <t>Tuoping</t>
  </si>
  <si>
    <t>Luo</t>
  </si>
  <si>
    <t>Peking University</t>
  </si>
  <si>
    <t>College of Chemistry and Molecular Engineering</t>
  </si>
  <si>
    <t>202 Chengfu Road,Beijing</t>
  </si>
  <si>
    <t>+86-10-62769246</t>
  </si>
  <si>
    <t>tuopingluo@pku.edu.cn</t>
  </si>
  <si>
    <t>CU00301</t>
  </si>
  <si>
    <t>Lupton</t>
  </si>
  <si>
    <t>17 Rainforest Walk</t>
  </si>
  <si>
    <t>99020327</t>
  </si>
  <si>
    <t>david.lupton@monash.edu</t>
  </si>
  <si>
    <t>CU00502</t>
  </si>
  <si>
    <t>Michaelyn</t>
  </si>
  <si>
    <t>Lux</t>
  </si>
  <si>
    <t>810-623-5992</t>
  </si>
  <si>
    <t>luxm@mskcc.org</t>
  </si>
  <si>
    <t>CU00652</t>
  </si>
  <si>
    <t>CG00090</t>
  </si>
  <si>
    <t>Luzina</t>
  </si>
  <si>
    <t>Leading reseacher</t>
  </si>
  <si>
    <t>Novosibirsk Institute of Organic Chemistry</t>
  </si>
  <si>
    <t>Lavrentjev av. 9, Novosibirsk, 630090</t>
  </si>
  <si>
    <t>7-383330887-10</t>
  </si>
  <si>
    <t>luzina@nioch.nsc.ru</t>
  </si>
  <si>
    <t>CU00438</t>
  </si>
  <si>
    <t>Dane</t>
  </si>
  <si>
    <t>Lyddiard</t>
  </si>
  <si>
    <t>02-67732381</t>
  </si>
  <si>
    <t>dlyddiar@myune.edu.au</t>
  </si>
  <si>
    <t>dlyddia2@une.edu.au</t>
  </si>
  <si>
    <t>CU00580</t>
  </si>
  <si>
    <t>CG00227</t>
  </si>
  <si>
    <t>Thérèse</t>
  </si>
  <si>
    <t>Lyons</t>
  </si>
  <si>
    <t>Postgraduate Researcher</t>
  </si>
  <si>
    <t>Cavanagh Pharmacy Building, College Road, University College Cork, Cork</t>
  </si>
  <si>
    <t>+353-86-3973840</t>
  </si>
  <si>
    <t>therese.lyons@umail.ucc.ie</t>
  </si>
  <si>
    <t>CU00342</t>
  </si>
  <si>
    <t>CG00192</t>
  </si>
  <si>
    <t>Gloria</t>
  </si>
  <si>
    <t>Profesor de Química Orgánica</t>
  </si>
  <si>
    <t>Facultad de Química Universidad de la República</t>
  </si>
  <si>
    <t>Departamento de Química Orgánica</t>
  </si>
  <si>
    <t>LabS10 (subsuelo). Instituto Pasteur de Montevideo. C.P. 11400. Montevideo</t>
  </si>
  <si>
    <t>59899511046</t>
  </si>
  <si>
    <t>vlopez@fq.edu.uy</t>
  </si>
  <si>
    <t>CU00718</t>
  </si>
  <si>
    <t>MCKEE</t>
  </si>
  <si>
    <t>professor</t>
  </si>
  <si>
    <t>267-574-4831</t>
  </si>
  <si>
    <t>J.mckee@usciences.edu</t>
  </si>
  <si>
    <t>CU00254</t>
  </si>
  <si>
    <t>CG00146</t>
  </si>
  <si>
    <t>Shivanandh</t>
  </si>
  <si>
    <t>MK</t>
  </si>
  <si>
    <t>Tumkur University</t>
  </si>
  <si>
    <t>9845196593</t>
  </si>
  <si>
    <t>shivanmk@yahoo.com</t>
  </si>
  <si>
    <t>CU00733</t>
  </si>
  <si>
    <t>Maashi</t>
  </si>
  <si>
    <t>University of the Sciences in Philadelphia</t>
  </si>
  <si>
    <t>600 South 43rd St,Philadelphia, PA 19104</t>
  </si>
  <si>
    <t>267-678-9860</t>
  </si>
  <si>
    <t>smaashi@mail.usciences.edu</t>
  </si>
  <si>
    <t>CU00401</t>
  </si>
  <si>
    <t>Madio</t>
  </si>
  <si>
    <t>306 Carmody rd, St Lucia, Brisbane, QLD 4067</t>
  </si>
  <si>
    <t>(+61) 478713634</t>
  </si>
  <si>
    <t>b.madio@imb.uq.edu.au</t>
  </si>
  <si>
    <t>CU00442</t>
  </si>
  <si>
    <t>Cecilia</t>
  </si>
  <si>
    <t>Madzivire</t>
  </si>
  <si>
    <t>Leeds, LS2 9JT</t>
  </si>
  <si>
    <t>44 113 343 6419</t>
  </si>
  <si>
    <t>cmcrm@leeds.ac.uk</t>
  </si>
  <si>
    <t>CU00087</t>
  </si>
  <si>
    <t>CG00048</t>
  </si>
  <si>
    <t>Muni Kumar</t>
  </si>
  <si>
    <t>Mahadari</t>
  </si>
  <si>
    <t>+612-42-21-4388</t>
  </si>
  <si>
    <t>mkm933@uowmail.edu.au</t>
  </si>
  <si>
    <t>CU00732</t>
  </si>
  <si>
    <t>Ali</t>
  </si>
  <si>
    <t>Majeed</t>
  </si>
  <si>
    <t>Ph.D. Student</t>
  </si>
  <si>
    <t>Al-Baba Almutham- Baghdad</t>
  </si>
  <si>
    <t>9-647702679244-12</t>
  </si>
  <si>
    <t>amh_phd@yahoo.com</t>
  </si>
  <si>
    <t>CU00360</t>
  </si>
  <si>
    <t>CG00201</t>
  </si>
  <si>
    <t>Max</t>
  </si>
  <si>
    <t>Majireck</t>
  </si>
  <si>
    <t>Hamilton College</t>
  </si>
  <si>
    <t>198 College Hill Road, Clinton, NY 13323</t>
  </si>
  <si>
    <t>(315) 859-4742 (office)</t>
  </si>
  <si>
    <t>mmajirec@hamilton.edu</t>
  </si>
  <si>
    <t>CU00207</t>
  </si>
  <si>
    <t>CG00123</t>
  </si>
  <si>
    <t>Dhruba jyoti</t>
  </si>
  <si>
    <t>Majumdar</t>
  </si>
  <si>
    <t>Tamluk College</t>
  </si>
  <si>
    <t>Tamluk College Department of Chemistry, Tamluk</t>
  </si>
  <si>
    <t>919434054849</t>
  </si>
  <si>
    <t>dmajumdar30@gmail.com</t>
  </si>
  <si>
    <t>CU00748</t>
  </si>
  <si>
    <t>Lara</t>
  </si>
  <si>
    <t>Malins</t>
  </si>
  <si>
    <t>+61-2-6125-9106</t>
  </si>
  <si>
    <t>lara.malins@anu.edu.au</t>
  </si>
  <si>
    <t>CU00656</t>
  </si>
  <si>
    <t>Hanna</t>
  </si>
  <si>
    <t>Maliszewska</t>
  </si>
  <si>
    <t>H.Maliszewska@uea.ac.uk</t>
  </si>
  <si>
    <t>CU00083</t>
  </si>
  <si>
    <t>Sreeman</t>
  </si>
  <si>
    <t>Mamidyala</t>
  </si>
  <si>
    <t>+61 7 3346 2371</t>
  </si>
  <si>
    <t>s.mamidyala@imb.uq.edu</t>
  </si>
  <si>
    <t>CU00699</t>
  </si>
  <si>
    <t>Si Ming</t>
  </si>
  <si>
    <t>Man</t>
  </si>
  <si>
    <t>Principle Investigtator</t>
  </si>
  <si>
    <t>02-612-56793</t>
  </si>
  <si>
    <t>siming.man@anu.edu.au</t>
  </si>
  <si>
    <t>CU00619</t>
  </si>
  <si>
    <t>Giulia</t>
  </si>
  <si>
    <t>Mancini</t>
  </si>
  <si>
    <t>267-207-0652</t>
  </si>
  <si>
    <t>gmancini1000@mail.usciences.edu</t>
  </si>
  <si>
    <t>CU00261</t>
  </si>
  <si>
    <t>CG00149</t>
  </si>
  <si>
    <t>Madhava Rao</t>
  </si>
  <si>
    <t>Mannam</t>
  </si>
  <si>
    <t>Manager</t>
  </si>
  <si>
    <t>Micro Labs Ltd</t>
  </si>
  <si>
    <t>Synthesis devision</t>
  </si>
  <si>
    <t># 43-45, KIADB, IV th Phase, Bommasandra-Jigani Link Road,Anekal Talik, Bangalore-560105</t>
  </si>
  <si>
    <t>9916520016</t>
  </si>
  <si>
    <t>madhav.mannam@gmail.com</t>
  </si>
  <si>
    <t>CU00412</t>
  </si>
  <si>
    <t>CG00231</t>
  </si>
  <si>
    <t>Mansour</t>
  </si>
  <si>
    <t>AvH Fellow Inorganic Chemistry</t>
  </si>
  <si>
    <t>Würzburg University</t>
  </si>
  <si>
    <t>Institut für Anorganische Chemie, Julius-Maximilians-Universität Würzburg,</t>
  </si>
  <si>
    <t>49017629326669</t>
  </si>
  <si>
    <t>mansour@sci.cu.edu.eg</t>
  </si>
  <si>
    <t>CU00104</t>
  </si>
  <si>
    <t>CG00059</t>
  </si>
  <si>
    <t>Fabio</t>
  </si>
  <si>
    <t>Mantellini</t>
  </si>
  <si>
    <t>Universita degli Studi di Urbino Carlo Bo</t>
  </si>
  <si>
    <t>Scienze Biomolecolari</t>
  </si>
  <si>
    <t>+390722303435</t>
  </si>
  <si>
    <t>fabio.mantellini@uniurb.it</t>
  </si>
  <si>
    <t>CU00728</t>
  </si>
  <si>
    <t>Selwyn</t>
  </si>
  <si>
    <t>Mapolie</t>
  </si>
  <si>
    <t>Professor of Inorganic Chemistry</t>
  </si>
  <si>
    <t>Chemistry and Polymer Science</t>
  </si>
  <si>
    <t>Inorganic Chemistry Building, Bosman street, Stellenbosch, Western Cape, 7602</t>
  </si>
  <si>
    <t>021-808-2722</t>
  </si>
  <si>
    <t>smapolie@sun.ac.za</t>
  </si>
  <si>
    <t>CU00146</t>
  </si>
  <si>
    <t>CG00086</t>
  </si>
  <si>
    <t>José Luis</t>
  </si>
  <si>
    <t>Marco-Contelles</t>
  </si>
  <si>
    <t>Instituto de Química Orgánica General (CSIC)</t>
  </si>
  <si>
    <t>Laboratorio de Química Médica</t>
  </si>
  <si>
    <t>3, Juan de la Cierva, 28006-Madrid</t>
  </si>
  <si>
    <t>34 91 5622900</t>
  </si>
  <si>
    <t>iqoc21@iqog.csic.es</t>
  </si>
  <si>
    <t>CU00131</t>
  </si>
  <si>
    <t>CG00077</t>
  </si>
  <si>
    <t>Eric</t>
  </si>
  <si>
    <t>Marsault</t>
  </si>
  <si>
    <t>Institute of Pharmacology</t>
  </si>
  <si>
    <t>3001, 12e av. Nord,  Sherbrooke J1H5N4, PQ</t>
  </si>
  <si>
    <t>18198218000</t>
  </si>
  <si>
    <t>Eric.Marsault@USherbrooke.ca</t>
  </si>
  <si>
    <t>CU00133</t>
  </si>
  <si>
    <t>CG00078</t>
  </si>
  <si>
    <t>Garland</t>
  </si>
  <si>
    <t>Marshall</t>
  </si>
  <si>
    <t>Washington University in Saint Louis</t>
  </si>
  <si>
    <t>Biochemistry and Molecular Biophysics</t>
  </si>
  <si>
    <t>4523 Clayton Ave,  Saint Louis, Missouri, 63110</t>
  </si>
  <si>
    <t>314-935-7911</t>
  </si>
  <si>
    <t>garlandm@gmail.com</t>
  </si>
  <si>
    <t>CU00485</t>
  </si>
  <si>
    <t>Compound Handling Manager</t>
  </si>
  <si>
    <t>Charles River</t>
  </si>
  <si>
    <t>Chesterford Research Park, CB10 1XL, United Kingdom</t>
  </si>
  <si>
    <t>Sarah.Martin@crl.com</t>
  </si>
  <si>
    <t>CU00484</t>
  </si>
  <si>
    <t>Richard.Martin@crl.com</t>
  </si>
  <si>
    <t>CU00204</t>
  </si>
  <si>
    <t>CG00121</t>
  </si>
  <si>
    <t>Lynne</t>
  </si>
  <si>
    <t>Martinez</t>
  </si>
  <si>
    <t>California Institute of Technology (Caltech)</t>
  </si>
  <si>
    <t>Chemistry and Chemical Engineering</t>
  </si>
  <si>
    <t>Alexander Sun/Chemistry/Stoltz Lab 391 S Holliston Ave. Pasadena CA, 91125</t>
  </si>
  <si>
    <t>626-395-4004</t>
  </si>
  <si>
    <t>lynnem@caltech.edu</t>
  </si>
  <si>
    <t>CU00059</t>
  </si>
  <si>
    <t>Guillermo</t>
  </si>
  <si>
    <t>Martinez-Ariza</t>
  </si>
  <si>
    <t>College of Pharmacy, BIO5 Translational Drug Discovery Center</t>
  </si>
  <si>
    <t>(520)-982-4551</t>
  </si>
  <si>
    <t>martinezariza@pharmacy.arizona.edu</t>
  </si>
  <si>
    <t>CU00462</t>
  </si>
  <si>
    <t>Elvis</t>
  </si>
  <si>
    <t>Martis</t>
  </si>
  <si>
    <t>919820831995</t>
  </si>
  <si>
    <t>elvis.martis@bcp.edu.in</t>
  </si>
  <si>
    <t>CU00594</t>
  </si>
  <si>
    <t>Andrey</t>
  </si>
  <si>
    <t>Maslivets</t>
  </si>
  <si>
    <t>7912-7827895</t>
  </si>
  <si>
    <t>koh2@psu.ru</t>
  </si>
  <si>
    <t>CU00333</t>
  </si>
  <si>
    <t>Nicholas</t>
  </si>
  <si>
    <t>Massey</t>
  </si>
  <si>
    <t>Honours Student</t>
  </si>
  <si>
    <t>33462375</t>
  </si>
  <si>
    <t>s4320038@student.uq.edu.au</t>
  </si>
  <si>
    <t>CU00147</t>
  </si>
  <si>
    <t>CG00087</t>
  </si>
  <si>
    <t>Massi</t>
  </si>
  <si>
    <t>Curtin University</t>
  </si>
  <si>
    <t>Kent St Bentley 6102, WA</t>
  </si>
  <si>
    <t>892662838</t>
  </si>
  <si>
    <t>m.massi@curtin.edu.au</t>
  </si>
  <si>
    <t>CU00604</t>
  </si>
  <si>
    <t>CG00318</t>
  </si>
  <si>
    <t>Dimitris</t>
  </si>
  <si>
    <t>Matiadis</t>
  </si>
  <si>
    <t>Post-Doctoral Researcher</t>
  </si>
  <si>
    <t>National Center for Scientific Research (NCSR) Demokritos</t>
  </si>
  <si>
    <t>Institute of Biosciences and Applications</t>
  </si>
  <si>
    <t>Patriarhou Grigoriou E &amp; Neapoleos 27, Agia Paraskevi, 15341, Attica</t>
  </si>
  <si>
    <t>+306944507180</t>
  </si>
  <si>
    <t>matiadis@bio.demokritos.gr</t>
  </si>
  <si>
    <t>CU00433</t>
  </si>
  <si>
    <t>Dimitrios</t>
  </si>
  <si>
    <t>matiadis@mail.ntua.gr</t>
  </si>
  <si>
    <t>CU00222</t>
  </si>
  <si>
    <t>Nuno</t>
  </si>
  <si>
    <t>Maulide</t>
  </si>
  <si>
    <t>Full Professor</t>
  </si>
  <si>
    <t>0043-1-4277-52155</t>
  </si>
  <si>
    <t>nuno.maulide@univie.ac.at</t>
  </si>
  <si>
    <t>CU00744</t>
  </si>
  <si>
    <t>CG00373</t>
  </si>
  <si>
    <t>Udayangani</t>
  </si>
  <si>
    <t>Mawalagedera </t>
  </si>
  <si>
    <t>Australian National Insect Collection</t>
  </si>
  <si>
    <t>Bld 801, Clunies Ross Street, Acton, ACT 2601</t>
  </si>
  <si>
    <t> +61-2-6218-3533</t>
  </si>
  <si>
    <t>juanita.rodriguez@csiro.au</t>
  </si>
  <si>
    <t>CU00555</t>
  </si>
  <si>
    <t>May</t>
  </si>
  <si>
    <t>647-201-8778</t>
  </si>
  <si>
    <t>kathleen.may@ryerson.ca</t>
  </si>
  <si>
    <t>CU00601</t>
  </si>
  <si>
    <t>CG00317</t>
  </si>
  <si>
    <t>Florence</t>
  </si>
  <si>
    <t>McCarthy</t>
  </si>
  <si>
    <t>Lecturer in Pharmaceutical Chemistry</t>
  </si>
  <si>
    <t>School of Chemistry and ABCRF</t>
  </si>
  <si>
    <t>Kane Building, Western Road, Cork.</t>
  </si>
  <si>
    <t>3-53214901695-11</t>
  </si>
  <si>
    <t>f.mccarthy@ucc.ie</t>
  </si>
  <si>
    <t>CU00415</t>
  </si>
  <si>
    <t>McCluskey</t>
  </si>
  <si>
    <t>School of Environmental and Life Sciences, Chemistry Department</t>
  </si>
  <si>
    <t>+61 249215084</t>
  </si>
  <si>
    <t>adam.mccluskey@newcastle.edu.au</t>
  </si>
  <si>
    <t>CU00666</t>
  </si>
  <si>
    <t>Brenda</t>
  </si>
  <si>
    <t>McDermott</t>
  </si>
  <si>
    <t>585-899-3818</t>
  </si>
  <si>
    <t>bmcdermott@sjfc.edu</t>
  </si>
  <si>
    <t>CU00398</t>
  </si>
  <si>
    <t>Ross</t>
  </si>
  <si>
    <t>McGeary</t>
  </si>
  <si>
    <t>07 3365 3955</t>
  </si>
  <si>
    <t>ross@pharmacy.uq.edu.au</t>
  </si>
  <si>
    <t>CU00191</t>
  </si>
  <si>
    <t>CG00114</t>
  </si>
  <si>
    <t>Gerard</t>
  </si>
  <si>
    <t>McGlacken</t>
  </si>
  <si>
    <t>Kane Building, College Rd, University College Cork, Cork</t>
  </si>
  <si>
    <t>+353 214 902 866</t>
  </si>
  <si>
    <t>g.mcglacken@ucc.ie</t>
  </si>
  <si>
    <t>CU00444</t>
  </si>
  <si>
    <t>Sheena</t>
  </si>
  <si>
    <t>McGowan</t>
  </si>
  <si>
    <t>Department of Microbiology, 23 Innovation Walk Clayton Campus, Scenic Blvd &amp; Wellington Road, Clayton VIC 3800</t>
  </si>
  <si>
    <t>03-99029309</t>
  </si>
  <si>
    <t>sheena.mcgowan@monash.edu</t>
  </si>
  <si>
    <t>CU00279</t>
  </si>
  <si>
    <t>Patrick</t>
  </si>
  <si>
    <t>0113-34-36404</t>
  </si>
  <si>
    <t>p.c.mcgowan@leeds.ac.uk</t>
  </si>
  <si>
    <t>CU00662</t>
  </si>
  <si>
    <t>CG00341</t>
  </si>
  <si>
    <t>Ariana</t>
  </si>
  <si>
    <t>McKinnon</t>
  </si>
  <si>
    <t>Undergraduate student</t>
  </si>
  <si>
    <t>Waynesburg University</t>
  </si>
  <si>
    <t>Chemistry and Forensic Science</t>
  </si>
  <si>
    <t>51 W College St, Waynesburg, PA 15370</t>
  </si>
  <si>
    <t>1-208-421-6199</t>
  </si>
  <si>
    <t>hum9614@student.waynesburg.edu</t>
  </si>
  <si>
    <t>CU00007</t>
  </si>
  <si>
    <t>CG00009</t>
  </si>
  <si>
    <t>Angelica</t>
  </si>
  <si>
    <t>Merlot</t>
  </si>
  <si>
    <t>School of Medical Sciences</t>
  </si>
  <si>
    <t xml:space="preserve">+61 2 9351 6720 </t>
  </si>
  <si>
    <t>angelica.merlot@sydney.edu.au</t>
  </si>
  <si>
    <t>CU00813</t>
  </si>
  <si>
    <t>306 Carmody Rd, St Lucia QLD 4067</t>
  </si>
  <si>
    <t>0432670612</t>
  </si>
  <si>
    <t>michael.michael@uq.edu.au</t>
  </si>
  <si>
    <t>CU00058</t>
  </si>
  <si>
    <t>Mariam Martin</t>
  </si>
  <si>
    <t>Mnatsakanyan</t>
  </si>
  <si>
    <t>404789778</t>
  </si>
  <si>
    <t>mariam.mnatsakanyan@sydney.edu.au</t>
  </si>
  <si>
    <t>CU00022</t>
  </si>
  <si>
    <t>CG00010</t>
  </si>
  <si>
    <t>Jayesh. J.</t>
  </si>
  <si>
    <t>Modha</t>
  </si>
  <si>
    <t>Maharshi Dayanand Science College</t>
  </si>
  <si>
    <t>Rajkot</t>
  </si>
  <si>
    <t>+91-9426944476</t>
  </si>
  <si>
    <t>drjjmodha@gmail.com</t>
  </si>
  <si>
    <t>CU00441</t>
  </si>
  <si>
    <t>Ibrahim</t>
  </si>
  <si>
    <t>Mohamed Al-suti</t>
  </si>
  <si>
    <t>Senior Research Associate</t>
  </si>
  <si>
    <t>Gulf College</t>
  </si>
  <si>
    <t>Al-kuwair, Muscat, Sultanate of Oman</t>
  </si>
  <si>
    <t>00 968 90482567</t>
  </si>
  <si>
    <t>maalsuti@gmail.com</t>
  </si>
  <si>
    <t>CU00612</t>
  </si>
  <si>
    <t>Martha</t>
  </si>
  <si>
    <t>Moheb</t>
  </si>
  <si>
    <t>Faculty of Pharmacy - Pharmaceutical Chemistry</t>
  </si>
  <si>
    <t>Faculty of Pharmacy, Nahda University, Benisueif 62764</t>
  </si>
  <si>
    <t>1-224172156-9</t>
  </si>
  <si>
    <t>martha.moheb@nub.edu.eg</t>
  </si>
  <si>
    <t>CU00411</t>
  </si>
  <si>
    <t>Fabian</t>
  </si>
  <si>
    <t>Mohr</t>
  </si>
  <si>
    <t>Bergische Universität Wuppertal</t>
  </si>
  <si>
    <t>Fakultät 4 Chemie</t>
  </si>
  <si>
    <t>Gaußstraße 20, 42119 Wuppertal</t>
  </si>
  <si>
    <t>+49-202-439-3641</t>
  </si>
  <si>
    <t>fmohr@uni-wuppertal.de</t>
  </si>
  <si>
    <t>CU00274</t>
  </si>
  <si>
    <t>CG00157</t>
  </si>
  <si>
    <t>Moloney</t>
  </si>
  <si>
    <t>Professor, Chemistry</t>
  </si>
  <si>
    <t>University of Oxford</t>
  </si>
  <si>
    <t>Chemistry Research Laboratory, Mansfield Rd</t>
  </si>
  <si>
    <t>+44 1865 275656</t>
  </si>
  <si>
    <t>mark.moloney@chem.ox.ac.uk</t>
  </si>
  <si>
    <t>CU00572</t>
  </si>
  <si>
    <t>Montgomery</t>
  </si>
  <si>
    <t>apm977@uowmail.edu.au</t>
  </si>
  <si>
    <t>CU00112</t>
  </si>
  <si>
    <t>CG00064</t>
  </si>
  <si>
    <t>Christopher J</t>
  </si>
  <si>
    <t>Moody</t>
  </si>
  <si>
    <t>Prof of Chemistry</t>
  </si>
  <si>
    <t>University Park</t>
  </si>
  <si>
    <t>0115-846-8500</t>
  </si>
  <si>
    <t>c.j.moody@nottingham.ac.uk</t>
  </si>
  <si>
    <t>CU00154</t>
  </si>
  <si>
    <t>Musfiqua</t>
  </si>
  <si>
    <t>Mookerjee</t>
  </si>
  <si>
    <t>913324032300/01</t>
  </si>
  <si>
    <t>musfiqua.mookerjee@nshm.com</t>
  </si>
  <si>
    <t>CU00818</t>
  </si>
  <si>
    <t>CG00402</t>
  </si>
  <si>
    <t>Pascale</t>
  </si>
  <si>
    <t>Moreau</t>
  </si>
  <si>
    <t>Université Clermont Auvergne - ICCF UMR 6296</t>
  </si>
  <si>
    <t>33-473407963</t>
  </si>
  <si>
    <t>Pascale.Moreau@uca.fr</t>
  </si>
  <si>
    <t>CU00352</t>
  </si>
  <si>
    <t>CG00196</t>
  </si>
  <si>
    <t>Moreira</t>
  </si>
  <si>
    <t>University of Waterloo</t>
  </si>
  <si>
    <t>C2-386, 200 University Avenue West Waterloo, ON, Canada N2L 3G1</t>
  </si>
  <si>
    <t>519-888-4567-36808</t>
  </si>
  <si>
    <t>rmoreira@uwaterloo.ca</t>
  </si>
  <si>
    <t>CU00141</t>
  </si>
  <si>
    <t>Wilfried</t>
  </si>
  <si>
    <t>micwm@nus.edu.sg</t>
  </si>
  <si>
    <t>CU00233</t>
  </si>
  <si>
    <t>CG00136</t>
  </si>
  <si>
    <t>Jeremy</t>
  </si>
  <si>
    <t>Morgan</t>
  </si>
  <si>
    <t>University of North Carolina Wilmington</t>
  </si>
  <si>
    <t>910-962-2429</t>
  </si>
  <si>
    <t>morganj@uncw.edu</t>
  </si>
  <si>
    <t>CU00482</t>
  </si>
  <si>
    <t>Julie</t>
  </si>
  <si>
    <t>Morley</t>
  </si>
  <si>
    <t>Senior Compound Handling Technician Discovery</t>
  </si>
  <si>
    <t>Julie.Morley@crl.com</t>
  </si>
  <si>
    <t>CU00394</t>
  </si>
  <si>
    <t>Moses</t>
  </si>
  <si>
    <t>0419978646</t>
  </si>
  <si>
    <t>j.moses@latrobe.edu.au</t>
  </si>
  <si>
    <t>CU00237</t>
  </si>
  <si>
    <t>Albert</t>
  </si>
  <si>
    <t>Moyano Baldoire</t>
  </si>
  <si>
    <t>Co-supervisor</t>
  </si>
  <si>
    <t>Organic Chemistry department</t>
  </si>
  <si>
    <t>Unity of Organic Chemistry, Marti and Franques , 1-11 , 08028, University of Barcelona, Barcelona</t>
  </si>
  <si>
    <t>0034 934 021 245</t>
  </si>
  <si>
    <t>amoyano@ub.edu</t>
  </si>
  <si>
    <t>CU00805</t>
  </si>
  <si>
    <t>Thabiso</t>
  </si>
  <si>
    <t>Mphuti</t>
  </si>
  <si>
    <t>MSc student</t>
  </si>
  <si>
    <t>1837299@students.wits.ac.za</t>
  </si>
  <si>
    <t>CU00387</t>
  </si>
  <si>
    <t>CG00217</t>
  </si>
  <si>
    <t>Mueller</t>
  </si>
  <si>
    <t>MSc, PhD Student</t>
  </si>
  <si>
    <t>Vladimir-Prelog-Weg 4, 8093 Zurich</t>
  </si>
  <si>
    <t>41446330762</t>
  </si>
  <si>
    <t>alex.mueller@pharma.ethz.ch</t>
  </si>
  <si>
    <t>CU00563</t>
  </si>
  <si>
    <t>Khalid</t>
  </si>
  <si>
    <t>Muhammad Khan</t>
  </si>
  <si>
    <t>Nil</t>
  </si>
  <si>
    <t>9-23002187073-11</t>
  </si>
  <si>
    <t>khalid.khan@iccs.edu</t>
  </si>
  <si>
    <t>CU00399</t>
  </si>
  <si>
    <t>Vishal</t>
  </si>
  <si>
    <t>Mulani</t>
  </si>
  <si>
    <t>Ph.D. Researcher</t>
  </si>
  <si>
    <t>(+91) 903 380 4727</t>
  </si>
  <si>
    <t>mulanivishal2@gmail.com</t>
  </si>
  <si>
    <t>CU00456</t>
  </si>
  <si>
    <t>Murphy</t>
  </si>
  <si>
    <t>Head of School</t>
  </si>
  <si>
    <t>00353 91 492465</t>
  </si>
  <si>
    <t>paul.v.murphy@nuigalway.ie</t>
  </si>
  <si>
    <t>CU00558</t>
  </si>
  <si>
    <t>Alexandre</t>
  </si>
  <si>
    <t>Murza</t>
  </si>
  <si>
    <t>1-819-821-8000-#-75839</t>
  </si>
  <si>
    <t>alexandre.murza@usherbrooke.ca</t>
  </si>
  <si>
    <t>CU00757</t>
  </si>
  <si>
    <t>Markus</t>
  </si>
  <si>
    <t>Muttenthaler</t>
  </si>
  <si>
    <t>Principal Research Fellow</t>
  </si>
  <si>
    <t>m.muttenthaler@imb.uq.edu.au</t>
  </si>
  <si>
    <t>CU00496</t>
  </si>
  <si>
    <t>Muñoz-Herranz</t>
  </si>
  <si>
    <t>0044 (0) 1603597157</t>
  </si>
  <si>
    <t>m.munoz-herranz@uea.ac.uk</t>
  </si>
  <si>
    <t>CU00409</t>
  </si>
  <si>
    <t>Eddie</t>
  </si>
  <si>
    <t>Myers</t>
  </si>
  <si>
    <t>+44 (0) 117 954 6313</t>
  </si>
  <si>
    <t>eddie.myers@bristol.ac.uk</t>
  </si>
  <si>
    <t>CU00822</t>
  </si>
  <si>
    <t>CG00403</t>
  </si>
  <si>
    <t>Integral University</t>
  </si>
  <si>
    <t>Dasauli, Kursi Road, Lucknow</t>
  </si>
  <si>
    <t>91-9919695886</t>
  </si>
  <si>
    <t>malik@iul.ac.in</t>
  </si>
  <si>
    <t>CU00507</t>
  </si>
  <si>
    <t>Partha</t>
  </si>
  <si>
    <t>Nag</t>
  </si>
  <si>
    <t>pnag@broadinstitute.org</t>
  </si>
  <si>
    <t>CU00134</t>
  </si>
  <si>
    <t>Damodara Reddy</t>
  </si>
  <si>
    <t>Nandarapu</t>
  </si>
  <si>
    <t>314-665-9677</t>
  </si>
  <si>
    <t>damodarareddyiisc@gmail.com</t>
  </si>
  <si>
    <t>CU00607</t>
  </si>
  <si>
    <t>Soukhyarani</t>
  </si>
  <si>
    <t>Nayak</t>
  </si>
  <si>
    <t>8-79262962-9</t>
  </si>
  <si>
    <t>soukhyarani@gmail.com</t>
  </si>
  <si>
    <t>CU00605</t>
  </si>
  <si>
    <t>Suresh</t>
  </si>
  <si>
    <t>Retired Professor</t>
  </si>
  <si>
    <t>9-448724552-9</t>
  </si>
  <si>
    <t>sureshpnk@yahoo.com</t>
  </si>
  <si>
    <t>CU00014</t>
  </si>
  <si>
    <t>Briar</t>
  </si>
  <si>
    <t>Naysmith</t>
  </si>
  <si>
    <t>briar.naysmith@auckland.ac.nz</t>
  </si>
  <si>
    <t>CU00538</t>
  </si>
  <si>
    <t>CG00291</t>
  </si>
  <si>
    <t>Yasir</t>
  </si>
  <si>
    <t>Nazir</t>
  </si>
  <si>
    <t>Allama Iqbal Open University Islamabad</t>
  </si>
  <si>
    <t>Sciences Block</t>
  </si>
  <si>
    <t>4-36421832-8</t>
  </si>
  <si>
    <t>y.nazir@imb.uq.edu.au</t>
  </si>
  <si>
    <t>CU00062</t>
  </si>
  <si>
    <t>Vasantha Kumari</t>
  </si>
  <si>
    <t>Neela</t>
  </si>
  <si>
    <t>60123425852</t>
  </si>
  <si>
    <t>neela2000@hotmail.com</t>
  </si>
  <si>
    <t>CU00036</t>
  </si>
  <si>
    <t>Neitz</t>
  </si>
  <si>
    <t>415-476-9804</t>
  </si>
  <si>
    <t>jeffrey.neitz@ucsf.edu</t>
  </si>
  <si>
    <t>CU00574</t>
  </si>
  <si>
    <t>Jingxuan</t>
  </si>
  <si>
    <t>Ni</t>
  </si>
  <si>
    <t>1-786557233-10</t>
  </si>
  <si>
    <t>1079201485@qq.com</t>
  </si>
  <si>
    <t>CU00790</t>
  </si>
  <si>
    <t>Nissler</t>
  </si>
  <si>
    <t>+41-4463-26576</t>
  </si>
  <si>
    <t>rnissler@ethz.ch</t>
  </si>
  <si>
    <t>CU00752</t>
  </si>
  <si>
    <t>CG00377</t>
  </si>
  <si>
    <t>Nitsche</t>
  </si>
  <si>
    <t>4-74943372-8</t>
  </si>
  <si>
    <t>christoph.nitsche@anu.edu.au</t>
  </si>
  <si>
    <t>CU00716</t>
  </si>
  <si>
    <t>Samuel</t>
  </si>
  <si>
    <t>Nitschke</t>
  </si>
  <si>
    <t>Clinical &amp; Health Sciences</t>
  </si>
  <si>
    <t>Level 5, HB Building Cnr North Terrace and, Morphett St, Adelaide SA 5000</t>
  </si>
  <si>
    <t>0458203652</t>
  </si>
  <si>
    <t>samuel.nitschke@mymail.unisa.edu.au</t>
  </si>
  <si>
    <t>CU00711</t>
  </si>
  <si>
    <t>Noden</t>
  </si>
  <si>
    <t>C2-386, 200 University Avenue West
Waterloo, ON, Canada  N2L 3G1</t>
  </si>
  <si>
    <t>226-791-2650</t>
  </si>
  <si>
    <t>mrnoden@uwaterloo.ca</t>
  </si>
  <si>
    <t>CU00613</t>
  </si>
  <si>
    <t>School of Science (Applied Chemistry and Environmental Science</t>
  </si>
  <si>
    <t>GPO Box 2476, Melbourne 3001</t>
  </si>
  <si>
    <t>+61451667159</t>
  </si>
  <si>
    <t>edward.norman@student.rmit.edu.au</t>
  </si>
  <si>
    <t>CU00275</t>
  </si>
  <si>
    <t>CG00158</t>
  </si>
  <si>
    <t>Norris</t>
  </si>
  <si>
    <t>Research Chemist</t>
  </si>
  <si>
    <t>Building 80, Carmody Rd, St Lucia, QLD 4072</t>
  </si>
  <si>
    <t>423102503</t>
  </si>
  <si>
    <t>m.norris@imb.uq.edu.au</t>
  </si>
  <si>
    <t>CU00111</t>
  </si>
  <si>
    <t>Nortcliffe</t>
  </si>
  <si>
    <t>University Park, Nottingham, Nottinghamshire, NG7 2RD</t>
  </si>
  <si>
    <t>441159513577</t>
  </si>
  <si>
    <t>andrew.nortcliffe@nottingham.ac.uk</t>
  </si>
  <si>
    <t>CU00474</t>
  </si>
  <si>
    <t>Raymond</t>
  </si>
  <si>
    <t>Norton</t>
  </si>
  <si>
    <t>ray.norton@monash.edu</t>
  </si>
  <si>
    <t>CU00669</t>
  </si>
  <si>
    <t>Ari</t>
  </si>
  <si>
    <t>Nugraha</t>
  </si>
  <si>
    <t>Visiting fellow</t>
  </si>
  <si>
    <t>Northfields Ave NSW 2522</t>
  </si>
  <si>
    <t>4-66655806-8</t>
  </si>
  <si>
    <t>asn559@uowmail.edu.au</t>
  </si>
  <si>
    <t>CU00165</t>
  </si>
  <si>
    <t>CG00098</t>
  </si>
  <si>
    <t>Cillian</t>
  </si>
  <si>
    <t>O'Beirne</t>
  </si>
  <si>
    <t>University College Dublin</t>
  </si>
  <si>
    <t>cillian.o-beirne@ucdconnect.ie</t>
  </si>
  <si>
    <t>CU00213</t>
  </si>
  <si>
    <t>Martin (Marty)</t>
  </si>
  <si>
    <t>O'Donnell</t>
  </si>
  <si>
    <t>Indiana University-Purdue University Indianapolis</t>
  </si>
  <si>
    <t>Department of Chemistry and Chemical Biology</t>
  </si>
  <si>
    <t>402 N. Blackford Street, LD 326, Indianapolis, IN  46202</t>
  </si>
  <si>
    <t>(317) 274-6887</t>
  </si>
  <si>
    <t>modonnel@iupui.edu</t>
  </si>
  <si>
    <t>CU00637</t>
  </si>
  <si>
    <t>O'Reilly</t>
  </si>
  <si>
    <t>7-154254251-9</t>
  </si>
  <si>
    <t>matthew.oreilly@uwrf.edu</t>
  </si>
  <si>
    <t>CU00405</t>
  </si>
  <si>
    <t>O'Sullivan</t>
  </si>
  <si>
    <t>UCC, College Road, Cork, T12 YN60</t>
  </si>
  <si>
    <t>353214901655</t>
  </si>
  <si>
    <t>tim.osullivan@ucc.ie</t>
  </si>
  <si>
    <t>CU00381</t>
  </si>
  <si>
    <t>CG00213</t>
  </si>
  <si>
    <t>Agnieszka</t>
  </si>
  <si>
    <t>Olejniczak</t>
  </si>
  <si>
    <t>Polish Academy of Sciences</t>
  </si>
  <si>
    <t>Institute of Medical Biology, Screening Laboratory</t>
  </si>
  <si>
    <t>106 Lodowa, 93-232 Lodz</t>
  </si>
  <si>
    <t>0048-42-272-36-37</t>
  </si>
  <si>
    <t>aolejniczak@cbm.pan.pl</t>
  </si>
  <si>
    <t>CU00041</t>
  </si>
  <si>
    <t>Jozef</t>
  </si>
  <si>
    <t>Oleksyszyn</t>
  </si>
  <si>
    <t>48-71-320-40-27</t>
  </si>
  <si>
    <t>jozef.oleksyszyn@pwr.edu.pl</t>
  </si>
  <si>
    <t>CU00774</t>
  </si>
  <si>
    <t>Oluwole</t>
  </si>
  <si>
    <t>5151 San Amaro Dr. 304, Coral Gables, Florida</t>
  </si>
  <si>
    <t>7-86578123-9</t>
  </si>
  <si>
    <t>sao91@miami.edu</t>
  </si>
  <si>
    <t>CU00210</t>
  </si>
  <si>
    <t>Voltaire</t>
  </si>
  <si>
    <t>Organo</t>
  </si>
  <si>
    <t>Co-Investigator</t>
  </si>
  <si>
    <t>vgorgano@post.upm.edu.ph</t>
  </si>
  <si>
    <t>CU00780</t>
  </si>
  <si>
    <t>Ingo</t>
  </si>
  <si>
    <t>Ott</t>
  </si>
  <si>
    <t>Prof. Dr.</t>
  </si>
  <si>
    <t>0049-531-391-2743</t>
  </si>
  <si>
    <t>ingo.ott@tu-bs.de</t>
  </si>
  <si>
    <t>CU00726</t>
  </si>
  <si>
    <t>Dave</t>
  </si>
  <si>
    <t>Otway</t>
  </si>
  <si>
    <t>353214901894</t>
  </si>
  <si>
    <t>dave.otway@ucc.ie</t>
  </si>
  <si>
    <t>CU00589</t>
  </si>
  <si>
    <t>Jean-Pierre</t>
  </si>
  <si>
    <t>Paccaud</t>
  </si>
  <si>
    <t>Director of Business Development</t>
  </si>
  <si>
    <t>jppaccaud@dndi.org</t>
  </si>
  <si>
    <t>CU00608</t>
  </si>
  <si>
    <t>Palermo</t>
  </si>
  <si>
    <t>Departamento de Quimica Organica, Facultad de Ciencias Exactas y Naturales</t>
  </si>
  <si>
    <t>Ciudad Universitaria , Pabellón 2  (1428)</t>
  </si>
  <si>
    <t>palermo@qo.fcen.uba.ar</t>
  </si>
  <si>
    <t>CU00658</t>
  </si>
  <si>
    <t>Mario Sergio</t>
  </si>
  <si>
    <t>Palma</t>
  </si>
  <si>
    <t>Bioscience Institute/Center of Social Insects Studies (CEIS)</t>
  </si>
  <si>
    <t>Avenue 24A, 1515, Bela Vista 13506-900, Rio Claro,  SP-Brasil</t>
  </si>
  <si>
    <t>55-19-3526-4163</t>
  </si>
  <si>
    <t>mario.palma@unesp.br</t>
  </si>
  <si>
    <t>CU00232</t>
  </si>
  <si>
    <t>Palmer</t>
  </si>
  <si>
    <t>601 S. College Rd,Wilmington, North Carolina, 28403</t>
  </si>
  <si>
    <t>585-478-8475</t>
  </si>
  <si>
    <t>njp3087@uncw.edu</t>
  </si>
  <si>
    <t>CU00547</t>
  </si>
  <si>
    <t>Kim</t>
  </si>
  <si>
    <t>Pamplin</t>
  </si>
  <si>
    <t>1-325-674-2001</t>
  </si>
  <si>
    <t>pamplink@acu.edu</t>
  </si>
  <si>
    <t>CU00199</t>
  </si>
  <si>
    <t>Ashutosh Kumar</t>
  </si>
  <si>
    <t>Pandey</t>
  </si>
  <si>
    <t>PhD. Scholar</t>
  </si>
  <si>
    <t>9.810767013E9</t>
  </si>
  <si>
    <t>ashutoshpandey.sch@jamiahamdard.ac.in</t>
  </si>
  <si>
    <t>CU00500</t>
  </si>
  <si>
    <t>Thiyagamurthy</t>
  </si>
  <si>
    <t>Pandurangan</t>
  </si>
  <si>
    <t>9886359803</t>
  </si>
  <si>
    <t>thiyaguin84@yahoo.co.in</t>
  </si>
  <si>
    <t>CU00176</t>
  </si>
  <si>
    <t>Amit</t>
  </si>
  <si>
    <t>Pant</t>
  </si>
  <si>
    <t>9822202298</t>
  </si>
  <si>
    <t>amitmpant@gmail.com</t>
  </si>
  <si>
    <t>CU00492</t>
  </si>
  <si>
    <t>Harendra</t>
  </si>
  <si>
    <t>Parekh</t>
  </si>
  <si>
    <t>SSenior Lecture; Group Leader</t>
  </si>
  <si>
    <t>20 Cornwall Street, Woolloongabba 4102 Queensland</t>
  </si>
  <si>
    <t>61452606049</t>
  </si>
  <si>
    <t>h.parekh@uq.edu.au</t>
  </si>
  <si>
    <t>CU00427</t>
  </si>
  <si>
    <t>CG00239</t>
  </si>
  <si>
    <t>Lyudmila</t>
  </si>
  <si>
    <t>Parfenova</t>
  </si>
  <si>
    <t>Head of the laboratory</t>
  </si>
  <si>
    <t>luda_parfenova@mail.ru</t>
  </si>
  <si>
    <t>CU00347</t>
  </si>
  <si>
    <t>CG00194</t>
  </si>
  <si>
    <t>Hitendra</t>
  </si>
  <si>
    <t>Patel</t>
  </si>
  <si>
    <t>Sardar Patel University</t>
  </si>
  <si>
    <t>Department Of Chemistry</t>
  </si>
  <si>
    <t>Department of Chemistry, University campus ,Nana bazar, Vallabh vidyanagar</t>
  </si>
  <si>
    <t>9824334922</t>
  </si>
  <si>
    <t>hm_patel@spuvvn.edu</t>
  </si>
  <si>
    <t>drhmpatelspu@gmail.com</t>
  </si>
  <si>
    <t>CU00472</t>
  </si>
  <si>
    <t>Divyangkumar</t>
  </si>
  <si>
    <t>9427216257</t>
  </si>
  <si>
    <t>pateldivyang.pd@gmail.com</t>
  </si>
  <si>
    <t>CU00288</t>
  </si>
  <si>
    <t>CG00164</t>
  </si>
  <si>
    <t>Pintu</t>
  </si>
  <si>
    <t>Pathare</t>
  </si>
  <si>
    <t>Deogiri College</t>
  </si>
  <si>
    <t>Aurangabad, Maharashtra, India-431005</t>
  </si>
  <si>
    <t>91 9881295332</t>
  </si>
  <si>
    <t>pintu_pg@rediffmail.com</t>
  </si>
  <si>
    <t>CU00066</t>
  </si>
  <si>
    <t>Suman</t>
  </si>
  <si>
    <t>Pathi</t>
  </si>
  <si>
    <t>1-856-803-0242</t>
  </si>
  <si>
    <t>pathi@rowan.edu</t>
  </si>
  <si>
    <t>CU00294</t>
  </si>
  <si>
    <t>CG00167</t>
  </si>
  <si>
    <t>Shivaputra</t>
  </si>
  <si>
    <t>Patil</t>
  </si>
  <si>
    <t>Rosalind Franklin University of Medicine and Science</t>
  </si>
  <si>
    <t>Pharmaceutical Sciences Department</t>
  </si>
  <si>
    <t>College of Pharmacy, 3333 Greenbay Road, North Chicago IL 60064-3092</t>
  </si>
  <si>
    <t>847.578.8383</t>
  </si>
  <si>
    <t>shivaputra.patil@rosalindfranklin.edu</t>
  </si>
  <si>
    <t>CU00220</t>
  </si>
  <si>
    <t>CG00129</t>
  </si>
  <si>
    <t>Siddappa</t>
  </si>
  <si>
    <t>Jain University, Jain Global Campus Jakkasandra Post, Kanakapura Taluk Ramanagara District - 562112 Karnataka, IndiaKarnataka, India</t>
  </si>
  <si>
    <t>91888469578</t>
  </si>
  <si>
    <t>p.siddappa@jainuniversity.ac.in</t>
  </si>
  <si>
    <t>CU00287</t>
  </si>
  <si>
    <t>Rajendra</t>
  </si>
  <si>
    <t>Pawar</t>
  </si>
  <si>
    <t>91 8421253209</t>
  </si>
  <si>
    <t>rppawar@yahoo.com</t>
  </si>
  <si>
    <t>CU00002</t>
  </si>
  <si>
    <t>CG00003</t>
  </si>
  <si>
    <t>Peacock</t>
  </si>
  <si>
    <t>University of Birmingham</t>
  </si>
  <si>
    <t>+44 (0)121 414 4362</t>
  </si>
  <si>
    <t>a.f.a.peacock@bham.ac.uk</t>
  </si>
  <si>
    <t>CU00259</t>
  </si>
  <si>
    <t>Narsimha</t>
  </si>
  <si>
    <t>Penthala</t>
  </si>
  <si>
    <t>Bio-Medical Research Building-2, Room number 112-2725, Jack Stephens DriveLittle Rock 72205Arkansas</t>
  </si>
  <si>
    <t>15016031357</t>
  </si>
  <si>
    <t>nrpenthala@uams.edu</t>
  </si>
  <si>
    <t>CU00328</t>
  </si>
  <si>
    <t>CG00185</t>
  </si>
  <si>
    <t>Ramalingam</t>
  </si>
  <si>
    <t>Peraman</t>
  </si>
  <si>
    <t>Professor and Head</t>
  </si>
  <si>
    <t>Raghavendra Institute of Pharmaceutical Education and Research</t>
  </si>
  <si>
    <t>KR palli Cross, Near SK University, Anantapur Dist, AP state</t>
  </si>
  <si>
    <t>919581294478</t>
  </si>
  <si>
    <t>drramalingamp@gmail.com</t>
  </si>
  <si>
    <t>CU00817</t>
  </si>
  <si>
    <t>Elisabeth</t>
  </si>
  <si>
    <t>Pereira</t>
  </si>
  <si>
    <t>Campus Universitaire des Cézeaux     24 avenue Blaise Pascal                   TSA 60026 CS 60026                      63178 Aubière Cedex</t>
  </si>
  <si>
    <t>33-473407124</t>
  </si>
  <si>
    <t>Elisabeth.Pereira@uca.fr</t>
  </si>
  <si>
    <t>CU00173</t>
  </si>
  <si>
    <t>Maria Jesus</t>
  </si>
  <si>
    <t>Perez de Vega</t>
  </si>
  <si>
    <t>Cientifico Titular</t>
  </si>
  <si>
    <t>34 912587540</t>
  </si>
  <si>
    <t>pdevega@iqm.csic.es</t>
  </si>
  <si>
    <t>CU00276</t>
  </si>
  <si>
    <t>Perkins</t>
  </si>
  <si>
    <t>Flinders University</t>
  </si>
  <si>
    <t>School of Chemical and Physical Sciences</t>
  </si>
  <si>
    <t>De Boelelaan 11083; 1081HV Amsterdam</t>
  </si>
  <si>
    <t>mike.perkins@flinders.edu.au</t>
  </si>
  <si>
    <t>CU00270</t>
  </si>
  <si>
    <t>CG00154</t>
  </si>
  <si>
    <t>Konstantin</t>
  </si>
  <si>
    <t>Petrukhin</t>
  </si>
  <si>
    <t>Director, Translational Research Laboratory</t>
  </si>
  <si>
    <t>Columbia University</t>
  </si>
  <si>
    <t>Ophthalmology</t>
  </si>
  <si>
    <t>635 West 165th Street, Box 27      New York, NY 10032</t>
  </si>
  <si>
    <t>1-212-305-9040</t>
  </si>
  <si>
    <t>kep4@cumc.columbia.edu</t>
  </si>
  <si>
    <t>CU00027</t>
  </si>
  <si>
    <t>Fred</t>
  </si>
  <si>
    <t>Pfeffer</t>
  </si>
  <si>
    <t>fred.pfeffer@deakin.edu.au</t>
  </si>
  <si>
    <t>CU00683</t>
  </si>
  <si>
    <t>CG00352</t>
  </si>
  <si>
    <t>Ngoc Tuan-Anh</t>
  </si>
  <si>
    <t>Pham</t>
  </si>
  <si>
    <t>University of Medicine and Pharmacy Ho Chi Minh City</t>
  </si>
  <si>
    <t>Faculty of Pharmacy, Organic Chemistry</t>
  </si>
  <si>
    <t>41-43 Dinh Tien Hoang Street,  District 1, Ben Nghe Ward, Ho Chi Minh City</t>
  </si>
  <si>
    <t>Vietnam</t>
  </si>
  <si>
    <t>+84-909704081</t>
  </si>
  <si>
    <t>anh.pham81@uphcm.edu.vn</t>
  </si>
  <si>
    <t>CU00684</t>
  </si>
  <si>
    <t>CU00634</t>
  </si>
  <si>
    <t>Nsoki</t>
  </si>
  <si>
    <t>Phambu</t>
  </si>
  <si>
    <t>Professor of Chemistry</t>
  </si>
  <si>
    <t>3500 John A. Merritt Blvd, Nashville TN 37209</t>
  </si>
  <si>
    <t>615-963-5335</t>
  </si>
  <si>
    <t>nphambu@tnstate.edu</t>
  </si>
  <si>
    <t>CU00588</t>
  </si>
  <si>
    <t>Piddock</t>
  </si>
  <si>
    <t>Head of Scientific Affairs</t>
  </si>
  <si>
    <t>lpiddock@dndi.org</t>
  </si>
  <si>
    <t>CU00336</t>
  </si>
  <si>
    <t>CG00188</t>
  </si>
  <si>
    <t>Piggott</t>
  </si>
  <si>
    <t>University of Western Australia</t>
  </si>
  <si>
    <t>School of Chemistry and Biochemistry</t>
  </si>
  <si>
    <t>Bayliss building, 35 Stirlign Hwy, Crawley, WA, 6009</t>
  </si>
  <si>
    <t>08 6488 3170</t>
  </si>
  <si>
    <t>matthew.piggott@uwa.edu.au</t>
  </si>
  <si>
    <t>CU00545</t>
  </si>
  <si>
    <t>CG00295</t>
  </si>
  <si>
    <t>Pike</t>
  </si>
  <si>
    <t>Lecturer in Chemical Biology</t>
  </si>
  <si>
    <t>University of Bradford</t>
  </si>
  <si>
    <t>Department of Chemistry and Life Sciences</t>
  </si>
  <si>
    <t>Faculty of Life Sciences, University of Bradford, Bradford, West Yorkshire, BD7 1DP</t>
  </si>
  <si>
    <t>+440-1274233537</t>
  </si>
  <si>
    <t>s.pike@bradford.ac.uk</t>
  </si>
  <si>
    <t>CU00645</t>
  </si>
  <si>
    <t>Priyen</t>
  </si>
  <si>
    <t>Pillay</t>
  </si>
  <si>
    <t>Post doc</t>
  </si>
  <si>
    <t>2-7128413494-10</t>
  </si>
  <si>
    <t>ppillay3@csir.co.za</t>
  </si>
  <si>
    <t>CU00436</t>
  </si>
  <si>
    <t>Ivett</t>
  </si>
  <si>
    <t>Pina Gomez</t>
  </si>
  <si>
    <t>Staff Scientist</t>
  </si>
  <si>
    <t>843-8762458</t>
  </si>
  <si>
    <t>pinaagom@musc.edu</t>
  </si>
  <si>
    <t>CU00809</t>
  </si>
  <si>
    <t>Pineda</t>
  </si>
  <si>
    <t>Masters student</t>
  </si>
  <si>
    <t>306 Carmody Rd St Lucia Qld 4122</t>
  </si>
  <si>
    <t>l.isazapineda@uq.net.au</t>
  </si>
  <si>
    <t>CU00421</t>
  </si>
  <si>
    <t>CG00235</t>
  </si>
  <si>
    <t>Valerie</t>
  </si>
  <si>
    <t>Pique</t>
  </si>
  <si>
    <t>Research ingenior</t>
  </si>
  <si>
    <t>Aix-Marseille University</t>
  </si>
  <si>
    <t>Faculty of sciences, ICR</t>
  </si>
  <si>
    <t>Case 552, Av esc Normandie niemen 13397 marseille cedex 20</t>
  </si>
  <si>
    <t>3.3491289059E10</t>
  </si>
  <si>
    <t>valerie.pique@univ-amu.fr</t>
  </si>
  <si>
    <t>CU00315</t>
  </si>
  <si>
    <t>Sally</t>
  </si>
  <si>
    <t>Plush</t>
  </si>
  <si>
    <t>422010803</t>
  </si>
  <si>
    <t>sally.plush@unisa.edu.au</t>
  </si>
  <si>
    <t>CU00353</t>
  </si>
  <si>
    <t>Vinay</t>
  </si>
  <si>
    <t>Pogaku</t>
  </si>
  <si>
    <t>8106206416</t>
  </si>
  <si>
    <t>vinaykumarsee@gmail.com</t>
  </si>
  <si>
    <t>CU00418</t>
  </si>
  <si>
    <t>Venkata Chalapathi</t>
  </si>
  <si>
    <t>Ponne</t>
  </si>
  <si>
    <t>9985349313</t>
  </si>
  <si>
    <t>pvchalapathisumathi@gmail.com</t>
  </si>
  <si>
    <t>CU00343</t>
  </si>
  <si>
    <t>Williams</t>
  </si>
  <si>
    <t>Porcal</t>
  </si>
  <si>
    <t>wporcal@fq.edu.uy</t>
  </si>
  <si>
    <t>CU00179</t>
  </si>
  <si>
    <t>CG00107</t>
  </si>
  <si>
    <t>Porco</t>
  </si>
  <si>
    <t>6173532493</t>
  </si>
  <si>
    <t>porco@bu.edu</t>
  </si>
  <si>
    <t>CU00157</t>
  </si>
  <si>
    <t>CG00094</t>
  </si>
  <si>
    <t>Barry</t>
  </si>
  <si>
    <t>Potter</t>
  </si>
  <si>
    <t>Pharmacy and Pharmacology</t>
  </si>
  <si>
    <t>44-1225-386639</t>
  </si>
  <si>
    <t>b.v.l.potter@bath.ac.uk</t>
  </si>
  <si>
    <t>CU00215</t>
  </si>
  <si>
    <t>Sally-Ann</t>
  </si>
  <si>
    <t>Poulsen</t>
  </si>
  <si>
    <t>07 373 57825</t>
  </si>
  <si>
    <t>s.poulsen@griffith.edu.au</t>
  </si>
  <si>
    <t>CU00072</t>
  </si>
  <si>
    <t>CG00044</t>
  </si>
  <si>
    <t>Chetana</t>
  </si>
  <si>
    <t>Pr</t>
  </si>
  <si>
    <t>Bangalore University</t>
  </si>
  <si>
    <t>pr.chetana@gmail.com</t>
  </si>
  <si>
    <t>CU00240</t>
  </si>
  <si>
    <t>Ernesto</t>
  </si>
  <si>
    <t>Prado Montes de Oca</t>
  </si>
  <si>
    <t>Principal Investigator A</t>
  </si>
  <si>
    <t>+52 (33) 3345-5200 ext. 1675</t>
  </si>
  <si>
    <t>eprado@ciatej.mx</t>
  </si>
  <si>
    <t>CU00262</t>
  </si>
  <si>
    <t>K.R.S.</t>
  </si>
  <si>
    <t>Prasad</t>
  </si>
  <si>
    <t>Associate Dean</t>
  </si>
  <si>
    <t>K L University</t>
  </si>
  <si>
    <t>Dept. of Chemistry</t>
  </si>
  <si>
    <t>Green Fields, VaddeswaramVaddeswaram-522502Guntur (Dist), Andhra pradesh</t>
  </si>
  <si>
    <t>krsprasad_fed@kluniversity.in</t>
  </si>
  <si>
    <t>CU00417</t>
  </si>
  <si>
    <t>Hari Babu</t>
  </si>
  <si>
    <t>Pulluru</t>
  </si>
  <si>
    <t>9032903955</t>
  </si>
  <si>
    <t>pulluruharibabu6@gmail.com</t>
  </si>
  <si>
    <t>CU00505</t>
  </si>
  <si>
    <t>Pyne</t>
  </si>
  <si>
    <t>+61-2-42-21-3511</t>
  </si>
  <si>
    <t>spyne@uow.edu.au</t>
  </si>
  <si>
    <t>CU00446</t>
  </si>
  <si>
    <t>CG00249</t>
  </si>
  <si>
    <t>Wesam</t>
  </si>
  <si>
    <t>Qayed</t>
  </si>
  <si>
    <t>Medicinal chemistry department, Faculty of pharmacy, assiut university, 71526, Egypt</t>
  </si>
  <si>
    <t>201005414035</t>
  </si>
  <si>
    <t>wesam.qayed@aun.edu.eg</t>
  </si>
  <si>
    <t>CU00453</t>
  </si>
  <si>
    <t>Moutih</t>
  </si>
  <si>
    <t>Rafei</t>
  </si>
  <si>
    <t>(514) 343-6931</t>
  </si>
  <si>
    <t>moutih.rafei.1@umontreal.ca</t>
  </si>
  <si>
    <t>CU00599</t>
  </si>
  <si>
    <t>CG00316</t>
  </si>
  <si>
    <t>Mahmoud</t>
  </si>
  <si>
    <t>Ragab</t>
  </si>
  <si>
    <t>Assistant lecturer</t>
  </si>
  <si>
    <t>El-Behira Government - Damahour City - El-Goumhoria Street - Faculty of Pharmacy - Damanhour University</t>
  </si>
  <si>
    <t>1-004127161-9</t>
  </si>
  <si>
    <t>Mahmoud.Ragab@alexpharmacy.edu.eg</t>
  </si>
  <si>
    <t>CU00519</t>
  </si>
  <si>
    <t>Ragogna</t>
  </si>
  <si>
    <t>519-661-2168-87048</t>
  </si>
  <si>
    <t>pragogna@uwo.ca</t>
  </si>
  <si>
    <t>CU00721</t>
  </si>
  <si>
    <t>CG00366</t>
  </si>
  <si>
    <t>Adeyemi</t>
  </si>
  <si>
    <t>Rahman</t>
  </si>
  <si>
    <t>Trinity College Dublin</t>
  </si>
  <si>
    <t>TBSI, 152 - 160 Pearse St, Dublin 2</t>
  </si>
  <si>
    <t>8-73236654-8</t>
  </si>
  <si>
    <t>rahmanad@tcd.ie</t>
  </si>
  <si>
    <t>CU00511</t>
  </si>
  <si>
    <t xml:space="preserve">K M Lokanatha </t>
  </si>
  <si>
    <t>Rai</t>
  </si>
  <si>
    <t>Retd. Professor</t>
  </si>
  <si>
    <t>9448471580</t>
  </si>
  <si>
    <t>kmlrai@yahoo.co.in</t>
  </si>
  <si>
    <t>CU00660</t>
  </si>
  <si>
    <t>CG00340</t>
  </si>
  <si>
    <t>Srikala</t>
  </si>
  <si>
    <t>Rajala</t>
  </si>
  <si>
    <t>Sree Vidyanikethan College of Pharmacy</t>
  </si>
  <si>
    <t>Sree Sainath Nagar, Tirupati-517102, Chandragiri Mandal, Chittoor District, Andhra Pradesh.</t>
  </si>
  <si>
    <t>8-179221947-9</t>
  </si>
  <si>
    <t>srikala.rajala@gmail.com</t>
  </si>
  <si>
    <t>CU00819</t>
  </si>
  <si>
    <t>Kelsey</t>
  </si>
  <si>
    <t>Ramage</t>
  </si>
  <si>
    <t>HDR candidate</t>
  </si>
  <si>
    <t>Griffith University School of Environment and Science</t>
  </si>
  <si>
    <t>Griffith University Nathan Campus building N27, 46 Don Young Road, Nathan, QLD, 4111</t>
  </si>
  <si>
    <t>0412-819-641</t>
  </si>
  <si>
    <t>kelsey.ramage@griffithuni.edu.au</t>
  </si>
  <si>
    <t>CU00526</t>
  </si>
  <si>
    <t>Madhuri P</t>
  </si>
  <si>
    <t>Rao</t>
  </si>
  <si>
    <t>Research Fellow/co-worker</t>
  </si>
  <si>
    <t>CU00629</t>
  </si>
  <si>
    <t>Nishant</t>
  </si>
  <si>
    <t>Rasal</t>
  </si>
  <si>
    <t>8-308036399-9</t>
  </si>
  <si>
    <t>nishantrasal@gmail.com</t>
  </si>
  <si>
    <t>CU00194</t>
  </si>
  <si>
    <t>Tushar</t>
  </si>
  <si>
    <t>Rastogi</t>
  </si>
  <si>
    <t>0049 4131 677 2827</t>
  </si>
  <si>
    <t>tushar.rastogi@leuphana.de</t>
  </si>
  <si>
    <t>CU00498</t>
  </si>
  <si>
    <t>CG00270</t>
  </si>
  <si>
    <t>Tristan</t>
  </si>
  <si>
    <t>Rawling</t>
  </si>
  <si>
    <t>University of Technology Sydney</t>
  </si>
  <si>
    <t>Faculty of Science</t>
  </si>
  <si>
    <t>PO Box 123, Broadway, NSW, 2007</t>
  </si>
  <si>
    <t>9514 7956</t>
  </si>
  <si>
    <t>tristan.rawling@uts.edu.au</t>
  </si>
  <si>
    <t>CU00163</t>
  </si>
  <si>
    <t>CG00097</t>
  </si>
  <si>
    <t>Siva Sanker</t>
  </si>
  <si>
    <t>C.E.S College of Pharmacy</t>
  </si>
  <si>
    <t>NH-7, Chinnatekur, Kurnool, Andhra Pradesh</t>
  </si>
  <si>
    <t>9885697242</t>
  </si>
  <si>
    <t>shiva_s_rl@yahoo.co.in</t>
  </si>
  <si>
    <t>CU00185</t>
  </si>
  <si>
    <t>Venkata</t>
  </si>
  <si>
    <t>801-471-1937</t>
  </si>
  <si>
    <t>reddy.udumula@unmc.edu</t>
  </si>
  <si>
    <t>CU00491</t>
  </si>
  <si>
    <t>Chenna</t>
  </si>
  <si>
    <t>9945928296</t>
  </si>
  <si>
    <t>mlcreddy2000@gmail.com</t>
  </si>
  <si>
    <t>CU00090</t>
  </si>
  <si>
    <t>Reeks</t>
  </si>
  <si>
    <t>617334 62395</t>
  </si>
  <si>
    <t>t.reeks@imb.uq.edu.au</t>
  </si>
  <si>
    <t>CU00113</t>
  </si>
  <si>
    <t>CG00065</t>
  </si>
  <si>
    <t>Renfrew</t>
  </si>
  <si>
    <t>Building F11, the land off Fish Road, Sydney NSW</t>
  </si>
  <si>
    <t>6.126351283E10</t>
  </si>
  <si>
    <t>anna.renfrew@sydney.edu.au</t>
  </si>
  <si>
    <t>CU00407</t>
  </si>
  <si>
    <t>Yuliya</t>
  </si>
  <si>
    <t>Renkas</t>
  </si>
  <si>
    <t>Coordinator</t>
  </si>
  <si>
    <t>yuliya.coordinator@gmail.com</t>
  </si>
  <si>
    <t>CU00005</t>
  </si>
  <si>
    <t>Renslo</t>
  </si>
  <si>
    <t>San Francisco</t>
  </si>
  <si>
    <t>415-514-9698</t>
  </si>
  <si>
    <t>adam.renslo@ucsf.edu</t>
  </si>
  <si>
    <t>CU00691</t>
  </si>
  <si>
    <t>Linda</t>
  </si>
  <si>
    <t>Reyadh</t>
  </si>
  <si>
    <t>Ph.D Student</t>
  </si>
  <si>
    <t>Al-Jimia street, Mosul</t>
  </si>
  <si>
    <t>9-647719648921-12</t>
  </si>
  <si>
    <t>linda.reyadh@uomosul.edu.iq</t>
  </si>
  <si>
    <t>CU00034</t>
  </si>
  <si>
    <t>CG00020</t>
  </si>
  <si>
    <t>Johannes</t>
  </si>
  <si>
    <t>Reynisson</t>
  </si>
  <si>
    <t>+64 9 373 7599</t>
  </si>
  <si>
    <t>j.reynisson@auckland.ac.nz</t>
  </si>
  <si>
    <t>CU00020</t>
  </si>
  <si>
    <t>Des R.</t>
  </si>
  <si>
    <t>Richardson</t>
  </si>
  <si>
    <t>+61 2 9036 6548</t>
  </si>
  <si>
    <t>d.richardson@med.usyd.edu.au</t>
  </si>
  <si>
    <t>CU00480</t>
  </si>
  <si>
    <t>Tomas</t>
  </si>
  <si>
    <t>Richardson-Sanchez</t>
  </si>
  <si>
    <t>0408575701 (or +61 2 90366498)</t>
  </si>
  <si>
    <t>tric3775@uni.sydney.edu.au</t>
  </si>
  <si>
    <t>CU00476</t>
  </si>
  <si>
    <t>CG00262</t>
  </si>
  <si>
    <t>Rainer</t>
  </si>
  <si>
    <t>Riedl</t>
  </si>
  <si>
    <t>Head of Organic Chemistry and Medicinal Chemistry</t>
  </si>
  <si>
    <t>Zurich University of Applied Sciences (ZHAW)</t>
  </si>
  <si>
    <t>Institute of Chemistry and Biotechnology; Center of Organic and Medicinal Chemistry</t>
  </si>
  <si>
    <t>Einsiedlerstrasse 31, CH-8820 Wädenswil</t>
  </si>
  <si>
    <t>41(0)589345618</t>
  </si>
  <si>
    <t>rainer.riedl@zhaw.ch</t>
  </si>
  <si>
    <t>CU00289</t>
  </si>
  <si>
    <t>Ardeshir</t>
  </si>
  <si>
    <t>Rineh</t>
  </si>
  <si>
    <t>Associate Research Fellow</t>
  </si>
  <si>
    <t>02 4221 4418</t>
  </si>
  <si>
    <t>arineh@uow.edu.au</t>
  </si>
  <si>
    <t>CU00079</t>
  </si>
  <si>
    <t>Jacques Y.</t>
  </si>
  <si>
    <t>Roberge</t>
  </si>
  <si>
    <t>1-609-865-9019</t>
  </si>
  <si>
    <t>jacques@jyrpharma.com</t>
  </si>
  <si>
    <t>CU00008</t>
  </si>
  <si>
    <t>Avril</t>
  </si>
  <si>
    <t>Robertson</t>
  </si>
  <si>
    <t>avril.robertson@imb.uq.edu.au</t>
  </si>
  <si>
    <t>CU00420</t>
  </si>
  <si>
    <t>Maxime</t>
  </si>
  <si>
    <t>Robin</t>
  </si>
  <si>
    <t>33491289059</t>
  </si>
  <si>
    <t>maxime.robin@univ-amu.fr</t>
  </si>
  <si>
    <t>CU00464</t>
  </si>
  <si>
    <t>Robinson</t>
  </si>
  <si>
    <t>Bld 80, 306 Carmody Road, St Lucia 4072</t>
  </si>
  <si>
    <t>422927731</t>
  </si>
  <si>
    <t>sam.robinson@uq.edu.au</t>
  </si>
  <si>
    <t>CU00743</t>
  </si>
  <si>
    <t>Juanita</t>
  </si>
  <si>
    <t>Rodriguez</t>
  </si>
  <si>
    <t>Research Scientist</t>
  </si>
  <si>
    <t>6-1262183533-10</t>
  </si>
  <si>
    <t>CU00724</t>
  </si>
  <si>
    <t>787-396-3573</t>
  </si>
  <si>
    <t>israel.rodriguez6@upr.edu</t>
  </si>
  <si>
    <t>CU00630</t>
  </si>
  <si>
    <t>CG00329</t>
  </si>
  <si>
    <t>Roemer</t>
  </si>
  <si>
    <t xml:space="preserve">Department of Molecular Sciences </t>
  </si>
  <si>
    <t>4 Wally's Walk, 322</t>
  </si>
  <si>
    <t>+61 2 9850 8214</t>
  </si>
  <si>
    <t>max.roemer@mq.edu.au</t>
  </si>
  <si>
    <t>CU00542</t>
  </si>
  <si>
    <t>Roodt</t>
  </si>
  <si>
    <t>University of the Free State</t>
  </si>
  <si>
    <t>PO Box 339
Bloemfontein</t>
  </si>
  <si>
    <t>+27-051-4012547</t>
  </si>
  <si>
    <t>RoodtA@ufs.ac.za</t>
  </si>
  <si>
    <t>CU00810</t>
  </si>
  <si>
    <t>CG00399</t>
  </si>
  <si>
    <t>Roper</t>
  </si>
  <si>
    <t>Professor of Biochemistry</t>
  </si>
  <si>
    <t>School of Life Sciences, University of Warwick</t>
  </si>
  <si>
    <t>Gibbet Hill Road, Coventry, CV47AL</t>
  </si>
  <si>
    <t>4-407779010502-12</t>
  </si>
  <si>
    <t>david.roper@warwick.ac.uk</t>
  </si>
  <si>
    <t>CU00811</t>
  </si>
  <si>
    <t>CU00720</t>
  </si>
  <si>
    <t>Isabel</t>
  </si>
  <si>
    <t>Rozas</t>
  </si>
  <si>
    <t>8-63356212-8</t>
  </si>
  <si>
    <t>rozasi@tcd.ie</t>
  </si>
  <si>
    <t>CU00516</t>
  </si>
  <si>
    <t>CG00280</t>
  </si>
  <si>
    <t>Santosh</t>
  </si>
  <si>
    <t>Rudrawar</t>
  </si>
  <si>
    <t>School of Pharmacy and Pharmacology</t>
  </si>
  <si>
    <t>Clinical Sciences 2 Building (G16), Gold Coast Campus, Griffith University QLD, 4222</t>
  </si>
  <si>
    <t>(07) 555 29371</t>
  </si>
  <si>
    <t>s.rudrawar@griffith.edu.au</t>
  </si>
  <si>
    <t>CU00672</t>
  </si>
  <si>
    <t>Rutledge</t>
  </si>
  <si>
    <t xml:space="preserve">Associate professor </t>
  </si>
  <si>
    <t>F11 Eastern Ave</t>
  </si>
  <si>
    <t>61293515020</t>
  </si>
  <si>
    <t>peter.rutledge@sydney.edu.au</t>
  </si>
  <si>
    <t>CU00517</t>
  </si>
  <si>
    <t>Philip</t>
  </si>
  <si>
    <t>+61 424 280 792</t>
  </si>
  <si>
    <t>philip.ryan2@griffithuni.edu.au</t>
  </si>
  <si>
    <t>CU00253</t>
  </si>
  <si>
    <t>Ashok</t>
  </si>
  <si>
    <t>SR</t>
  </si>
  <si>
    <t>Basaweshvara nilaya, 3rd cross, 3rd main, Shivaramakaranth nagar. Tumkur-572104</t>
  </si>
  <si>
    <t>9900840946</t>
  </si>
  <si>
    <t>ashok2013guna@gmail.com</t>
  </si>
  <si>
    <t>CU00370</t>
  </si>
  <si>
    <t>Saathoff</t>
  </si>
  <si>
    <t>Postdoctoral Research Associate</t>
  </si>
  <si>
    <t>Dr Corey R Hopkins, PhDUniversity of Nebraska Medical CenterATTN:  Corey Hopkins/PDD 2032601 S. Saddle Creek Rd.Omaha, NE 68106, USA</t>
  </si>
  <si>
    <t>217.259.3920</t>
  </si>
  <si>
    <t>john.saathoff@unmc.edu</t>
  </si>
  <si>
    <t>CU00292</t>
  </si>
  <si>
    <t>Sadler</t>
  </si>
  <si>
    <t>Professor of the chemistry department</t>
  </si>
  <si>
    <t>(+44) 024 7652 3818</t>
  </si>
  <si>
    <t>p.j.sadler@warwick.ac.uk</t>
  </si>
  <si>
    <t>CU00610</t>
  </si>
  <si>
    <t>Saeed</t>
  </si>
  <si>
    <t>Assisstant lecturer</t>
  </si>
  <si>
    <t>Faculty of Pharmacy- Beni suef university - Egypt</t>
  </si>
  <si>
    <t>1-205789695-9</t>
  </si>
  <si>
    <t>shimaa_kottob@yahoo.com</t>
  </si>
  <si>
    <t>CU00448</t>
  </si>
  <si>
    <t>CG00250</t>
  </si>
  <si>
    <t>Cihat</t>
  </si>
  <si>
    <t>Safak</t>
  </si>
  <si>
    <t>Hacettepe University</t>
  </si>
  <si>
    <t>Faculty of Pharmacy; Pharmaceutical Chemistry</t>
  </si>
  <si>
    <t>Hacettepe University Faculty of Pharmacy 7th Floor 06100, Sihhiye-Ankara</t>
  </si>
  <si>
    <t>Turkey</t>
  </si>
  <si>
    <t>csafak@hacettepe.edu.tr</t>
  </si>
  <si>
    <t>CU00603</t>
  </si>
  <si>
    <t>Marina</t>
  </si>
  <si>
    <t>Sagnou</t>
  </si>
  <si>
    <t>+302106503558</t>
  </si>
  <si>
    <t>sagnou@bio.demokritos.gr</t>
  </si>
  <si>
    <t>CU00247</t>
  </si>
  <si>
    <t>Niteshkumar</t>
  </si>
  <si>
    <t>Sahu</t>
  </si>
  <si>
    <t>9773351977</t>
  </si>
  <si>
    <t>niteshumarsahu@gmail.com</t>
  </si>
  <si>
    <t>CU00578</t>
  </si>
  <si>
    <t>CG00310</t>
  </si>
  <si>
    <t>Rahman Shah Zaib</t>
  </si>
  <si>
    <t>Saleem</t>
  </si>
  <si>
    <t>Lahore University of Management Sciences</t>
  </si>
  <si>
    <t>Department of Chemistry &amp; Chemical Engineering, SBASSE</t>
  </si>
  <si>
    <t>Opposite Sector-U, DHA, Lahore, 54792</t>
  </si>
  <si>
    <t>00924235608000-8215</t>
  </si>
  <si>
    <t>rahman.saleem@lums.edu.pk</t>
  </si>
  <si>
    <t>CU00621</t>
  </si>
  <si>
    <t>Aliasger</t>
  </si>
  <si>
    <t>Salem</t>
  </si>
  <si>
    <t>001319-335-8810</t>
  </si>
  <si>
    <t>aliasger-salem@uiowa.edu</t>
  </si>
  <si>
    <t>CU00428</t>
  </si>
  <si>
    <t>Elena</t>
  </si>
  <si>
    <t>Salimova</t>
  </si>
  <si>
    <t>salimovaev@mail.ru</t>
  </si>
  <si>
    <t>CU00053</t>
  </si>
  <si>
    <t>Manohar</t>
  </si>
  <si>
    <t>Salla</t>
  </si>
  <si>
    <t>+61 7 3346 2375</t>
  </si>
  <si>
    <t>m.salla@imb.uq.edu.au</t>
  </si>
  <si>
    <t>CU00416</t>
  </si>
  <si>
    <t>Mehdi</t>
  </si>
  <si>
    <t>Samad</t>
  </si>
  <si>
    <t>Pharmaceutical Sciences</t>
  </si>
  <si>
    <t>4040 Emile St, PDD 3026, Omaha, NE, 68198</t>
  </si>
  <si>
    <t>1-402-559-9361</t>
  </si>
  <si>
    <t>mehdi.samad@unmc.edu</t>
  </si>
  <si>
    <t>CU00211</t>
  </si>
  <si>
    <t>Jack (Geno)</t>
  </si>
  <si>
    <t>Samaritoni</t>
  </si>
  <si>
    <t>Senior Post-Doctoral Associate</t>
  </si>
  <si>
    <t>(317) 274-6895</t>
  </si>
  <si>
    <t>jsamarit@iupui.edu</t>
  </si>
  <si>
    <t>CU00567</t>
  </si>
  <si>
    <t>Kirandeep</t>
  </si>
  <si>
    <t>Samby</t>
  </si>
  <si>
    <t>MMV consultant responsible for MMV-open activities</t>
  </si>
  <si>
    <t>Open activities</t>
  </si>
  <si>
    <t>?</t>
  </si>
  <si>
    <t>sambyk-consultants@mmv.org</t>
  </si>
  <si>
    <t>CU00523</t>
  </si>
  <si>
    <t>Melanya</t>
  </si>
  <si>
    <t>Samvelyan</t>
  </si>
  <si>
    <t>+37498113387</t>
  </si>
  <si>
    <t>msamvelyan@ysu.am</t>
  </si>
  <si>
    <t>CU00725</t>
  </si>
  <si>
    <t>Branlee</t>
  </si>
  <si>
    <t>Sang</t>
  </si>
  <si>
    <t>787-981-5883</t>
  </si>
  <si>
    <t>branlee.sang@upr.edu</t>
  </si>
  <si>
    <t>CU00308</t>
  </si>
  <si>
    <t>CG00174</t>
  </si>
  <si>
    <t>Marc-Antoine</t>
  </si>
  <si>
    <t>Sani</t>
  </si>
  <si>
    <t>School of Chemistry, Bio21 Institute, 30 Flemington road, Parkville, VIC 3052</t>
  </si>
  <si>
    <t>03 8344 2502</t>
  </si>
  <si>
    <t>msani@unimelb.edu.au</t>
  </si>
  <si>
    <t>CU00271</t>
  </si>
  <si>
    <t>Sridhar</t>
  </si>
  <si>
    <t>Santhanakrishnan</t>
  </si>
  <si>
    <t>6581602588</t>
  </si>
  <si>
    <t>phasrisa@nus.edu.sg</t>
  </si>
  <si>
    <t>CU00654</t>
  </si>
  <si>
    <t>Sarfraz</t>
  </si>
  <si>
    <t>University of Wollongong, 2522, NSW</t>
  </si>
  <si>
    <t>4-16739785-8</t>
  </si>
  <si>
    <t>ms602@uowmail.edu.au</t>
  </si>
  <si>
    <t>CU00065</t>
  </si>
  <si>
    <t>Pakornwit</t>
  </si>
  <si>
    <t>Sarnpitak</t>
  </si>
  <si>
    <t>pakornwit.sarnpitak@griffithuni.edu.au</t>
  </si>
  <si>
    <t>CU00513</t>
  </si>
  <si>
    <t>CG00278</t>
  </si>
  <si>
    <t>Shyam</t>
  </si>
  <si>
    <t>Sathyamoorthi</t>
  </si>
  <si>
    <t>Stanford University</t>
  </si>
  <si>
    <t>51 Dudley Lane, Apartment 126, Stanford, CA 94305</t>
  </si>
  <si>
    <t>3379628520</t>
  </si>
  <si>
    <t>ssathyam@stanford.edu</t>
  </si>
  <si>
    <t>CU00068</t>
  </si>
  <si>
    <t>CG00041</t>
  </si>
  <si>
    <t>Savage</t>
  </si>
  <si>
    <t>Biomedical Manufacturing Program</t>
  </si>
  <si>
    <t>Private Bag 10Clayton SouthVic 3169</t>
  </si>
  <si>
    <t>+61 3 9545 2523</t>
  </si>
  <si>
    <t>paul.savage@csiro.au</t>
  </si>
  <si>
    <t>CU00351</t>
  </si>
  <si>
    <t>Derek</t>
  </si>
  <si>
    <t>Schipper</t>
  </si>
  <si>
    <t>200 University Avenue West</t>
  </si>
  <si>
    <t>(519) 888-4567 x39524</t>
  </si>
  <si>
    <t>derek.schipper@uwaterloo.ca</t>
  </si>
  <si>
    <t>CU00787</t>
  </si>
  <si>
    <t>CG00391</t>
  </si>
  <si>
    <t>Schmeing</t>
  </si>
  <si>
    <t>McGill University</t>
  </si>
  <si>
    <t>3649 Promenade Sir William Osler Montreal, Quebec   H3G 0B1</t>
  </si>
  <si>
    <t>514-398-2331</t>
  </si>
  <si>
    <t>martin.schmeing@mcgill.ca</t>
  </si>
  <si>
    <t>CU00786</t>
  </si>
  <si>
    <t>CU00624</t>
  </si>
  <si>
    <t>Stefanie</t>
  </si>
  <si>
    <t>Schmidt</t>
  </si>
  <si>
    <t>-</t>
  </si>
  <si>
    <t>Stefanie.Schmidt@helmholtz-hips.de</t>
  </si>
  <si>
    <t>CU00687</t>
  </si>
  <si>
    <t>Connor</t>
  </si>
  <si>
    <t>Student Researcher</t>
  </si>
  <si>
    <t>7-633706164-9</t>
  </si>
  <si>
    <t>schm9168@stthomas.edu</t>
  </si>
  <si>
    <t>CU00614</t>
  </si>
  <si>
    <t>CG00298</t>
  </si>
  <si>
    <t>Matthieu</t>
  </si>
  <si>
    <t>Schmit</t>
  </si>
  <si>
    <t>Faculty of Science Store, Monash University, Room G55, 17 Rainforest Walk (Bldg 23), Clayton, VIC 3800, Australia</t>
  </si>
  <si>
    <t>4-01953203-8</t>
  </si>
  <si>
    <t>matthieu.schmit@monash.edu</t>
  </si>
  <si>
    <t>CU00388</t>
  </si>
  <si>
    <t>Gisbert</t>
  </si>
  <si>
    <t>Schneider</t>
  </si>
  <si>
    <t>41446337327</t>
  </si>
  <si>
    <t>gisbert@ethz.ch</t>
  </si>
  <si>
    <t>CU00042</t>
  </si>
  <si>
    <t>CG00026</t>
  </si>
  <si>
    <t>Jens-M</t>
  </si>
  <si>
    <t>Schroeder</t>
  </si>
  <si>
    <t>University-Hospital Schleswig-Holstein</t>
  </si>
  <si>
    <t>Dpt. of Dermatology</t>
  </si>
  <si>
    <t>Campus Kiel</t>
  </si>
  <si>
    <t>+49-431-597-1536</t>
  </si>
  <si>
    <t>jschroeder@dermatology.uni-kiel.de</t>
  </si>
  <si>
    <t>CU00678</t>
  </si>
  <si>
    <t>CG00348</t>
  </si>
  <si>
    <t>Frank</t>
  </si>
  <si>
    <t>Schulz</t>
  </si>
  <si>
    <t>Ruhr-Universität Bochum</t>
  </si>
  <si>
    <t>AG Naturstoffchemie und -biochemie; Organische Chemie</t>
  </si>
  <si>
    <t>NC3/171 Universitätsstraße 150 44780 Bochum</t>
  </si>
  <si>
    <t>0234-32-27034</t>
  </si>
  <si>
    <t>frank.schulz@ruhr-uni-bochum.de</t>
  </si>
  <si>
    <t>CU00795</t>
  </si>
  <si>
    <t>Carola</t>
  </si>
  <si>
    <t>Schulzke</t>
  </si>
  <si>
    <t>carola.schulzke@uni-greifswald.de</t>
  </si>
  <si>
    <t>CU00026</t>
  </si>
  <si>
    <t>CG00007</t>
  </si>
  <si>
    <t>Fraser</t>
  </si>
  <si>
    <t>Scott</t>
  </si>
  <si>
    <t>University of Strathclyde</t>
  </si>
  <si>
    <t>Department of Pure and Applied Chemistry</t>
  </si>
  <si>
    <t>07984101447</t>
  </si>
  <si>
    <t>fraser.j.scott@strath.ac.uk</t>
  </si>
  <si>
    <t>CU00212</t>
  </si>
  <si>
    <t>William (Bill)</t>
  </si>
  <si>
    <t>Research Professor</t>
  </si>
  <si>
    <t>(317) 274-6880</t>
  </si>
  <si>
    <t>wscott@iupui.edu</t>
  </si>
  <si>
    <t>CU00094</t>
  </si>
  <si>
    <t>CG00051</t>
  </si>
  <si>
    <t>Victor</t>
  </si>
  <si>
    <t>Semenov</t>
  </si>
  <si>
    <t>Russian Academy of Science</t>
  </si>
  <si>
    <t>N.D. Zelinsky Institute of Organic Chemistry</t>
  </si>
  <si>
    <t>Leninsky Prospect, 47 Moscow</t>
  </si>
  <si>
    <t>+7 499 1376343</t>
  </si>
  <si>
    <t>vs@zelinsky.ru</t>
  </si>
  <si>
    <t>CU00309</t>
  </si>
  <si>
    <t>Frances</t>
  </si>
  <si>
    <t>Separovic</t>
  </si>
  <si>
    <t>03 8344 2447</t>
  </si>
  <si>
    <t>fs@unimelb.edu.au</t>
  </si>
  <si>
    <t>CU00187</t>
  </si>
  <si>
    <t>Sergiy</t>
  </si>
  <si>
    <t>V.N. Karazin Kharkiv National University</t>
  </si>
  <si>
    <t>Kharkiv, Svobody sq., 4</t>
  </si>
  <si>
    <t>+380 50 301 23 59; +380 57 7075646</t>
  </si>
  <si>
    <t>kovalenko.sergiy.m@gmail.com</t>
  </si>
  <si>
    <t>CU00703</t>
  </si>
  <si>
    <t>Houda</t>
  </si>
  <si>
    <t>Serrar</t>
  </si>
  <si>
    <t>Independent researcher</t>
  </si>
  <si>
    <t>Laboratory of Organic Chemistry, Catalysis and Environment, Faculty of Science, Ibn Tofail University, BO 133, 14000,Kenitra, Morocco.</t>
  </si>
  <si>
    <t>00212-6-75-99-42-47</t>
  </si>
  <si>
    <t>serrar.doc2015@gmail.com</t>
  </si>
  <si>
    <t>CU00249</t>
  </si>
  <si>
    <t>Chetan Shah</t>
  </si>
  <si>
    <t>Shah</t>
  </si>
  <si>
    <t>chetanmedchem@gmail.com</t>
  </si>
  <si>
    <t>CU00431</t>
  </si>
  <si>
    <t>Shaker</t>
  </si>
  <si>
    <t>Faculty of pharmacy, Pharmaceutical Chemistry</t>
  </si>
  <si>
    <t>Faculty of pharmacy-Nahda university-Benisueif-62764</t>
  </si>
  <si>
    <t>1013355776</t>
  </si>
  <si>
    <t>midophahmed@yahoo.com</t>
  </si>
  <si>
    <t>CU00346</t>
  </si>
  <si>
    <t>Mayank</t>
  </si>
  <si>
    <t>Sharma</t>
  </si>
  <si>
    <t>9558325153</t>
  </si>
  <si>
    <t>mayanksharma.oc@gmail.com</t>
  </si>
  <si>
    <t>CU00514</t>
  </si>
  <si>
    <t xml:space="preserve">Kalicharan </t>
  </si>
  <si>
    <t>CSIR SRF</t>
  </si>
  <si>
    <t>9953539398</t>
  </si>
  <si>
    <t>sharmakcpt@gmail.com</t>
  </si>
  <si>
    <t>CU00372</t>
  </si>
  <si>
    <t>K. Barry</t>
  </si>
  <si>
    <t>Sharpless</t>
  </si>
  <si>
    <t>858-784-7505</t>
  </si>
  <si>
    <t>sharpless@scripps.edu</t>
  </si>
  <si>
    <t>CU00265</t>
  </si>
  <si>
    <t>Shaver</t>
  </si>
  <si>
    <t>Chancellor's Fellow/ Reader</t>
  </si>
  <si>
    <t>44 1316504726</t>
  </si>
  <si>
    <t>michael.shaver@ed.ac.uk</t>
  </si>
  <si>
    <t>CU00560</t>
  </si>
  <si>
    <t>Attallah</t>
  </si>
  <si>
    <t>Sheat</t>
  </si>
  <si>
    <t>Staff memmber of Chemistry Department</t>
  </si>
  <si>
    <t>Department of Chemistry, College of Science</t>
  </si>
  <si>
    <t>Al-Jimia Street, Mosul,</t>
  </si>
  <si>
    <t>9-647701704301-12</t>
  </si>
  <si>
    <t>attalsharifi@yahoo.com</t>
  </si>
  <si>
    <t>CU00475</t>
  </si>
  <si>
    <t>CG00261</t>
  </si>
  <si>
    <t>Ronald</t>
  </si>
  <si>
    <t>Shimmon</t>
  </si>
  <si>
    <t>Research Manager</t>
  </si>
  <si>
    <t>Faculty of Science; Chemical Technology unit </t>
  </si>
  <si>
    <t>PO Box 123 Broadway NSW 2007</t>
  </si>
  <si>
    <t>+61 (02) 9514 8260</t>
  </si>
  <si>
    <t>Ron.Shimmon@uts.edu.au</t>
  </si>
  <si>
    <t>CU00708</t>
  </si>
  <si>
    <t>Loh Boon</t>
  </si>
  <si>
    <t>Shing</t>
  </si>
  <si>
    <t>e0004440@u.nus.edu</t>
  </si>
  <si>
    <t>CU00771</t>
  </si>
  <si>
    <t>Shukri</t>
  </si>
  <si>
    <t>Laboratory Technician</t>
  </si>
  <si>
    <t>alishukri@cmail.carleton.ca</t>
  </si>
  <si>
    <t>CU00263</t>
  </si>
  <si>
    <t>CG00150</t>
  </si>
  <si>
    <t>Lalitha</t>
  </si>
  <si>
    <t>Manipal</t>
  </si>
  <si>
    <t>shalom,navagraha colony,shanthi nagar,manipal</t>
  </si>
  <si>
    <t>944920848</t>
  </si>
  <si>
    <t>lalitha.simon@gmail.com</t>
  </si>
  <si>
    <t>CU00084</t>
  </si>
  <si>
    <t>CG00046</t>
  </si>
  <si>
    <t>Claire</t>
  </si>
  <si>
    <t>Simons</t>
  </si>
  <si>
    <t xml:space="preserve">Cardiff University </t>
  </si>
  <si>
    <t>School of Pharmacy and Pharmaceutical Sciences</t>
  </si>
  <si>
    <t>02920 876307</t>
  </si>
  <si>
    <t>simonsc@cardiff.ac.uk</t>
  </si>
  <si>
    <t>CU00054</t>
  </si>
  <si>
    <t>Moana</t>
  </si>
  <si>
    <t>Simpson</t>
  </si>
  <si>
    <t>m.simpson@griffith.edu.au</t>
  </si>
  <si>
    <t>CU00447</t>
  </si>
  <si>
    <t>Rahime</t>
  </si>
  <si>
    <t>Simsek</t>
  </si>
  <si>
    <t>Faculty</t>
  </si>
  <si>
    <t>90(312)3051872</t>
  </si>
  <si>
    <t>rsimsek@hacettepe.edu.tr</t>
  </si>
  <si>
    <t>CU00583</t>
  </si>
  <si>
    <t>Kamalinder</t>
  </si>
  <si>
    <t>Singh</t>
  </si>
  <si>
    <t>Supervisor</t>
  </si>
  <si>
    <t>University of Central Lancashire UK PR1 2HE</t>
  </si>
  <si>
    <t>ksingh1@uclan.ac.uk</t>
  </si>
  <si>
    <t>CU00452</t>
  </si>
  <si>
    <t>CG00253</t>
  </si>
  <si>
    <t>Parvesh</t>
  </si>
  <si>
    <t>University of KwaZulu Natal</t>
  </si>
  <si>
    <t>School of Chemistry and Physics</t>
  </si>
  <si>
    <t>Office-035, Level 3, H-Block, Westville Campus, UKZN, Durban</t>
  </si>
  <si>
    <t>27312602181</t>
  </si>
  <si>
    <t>singhp4@ukzn.ac.za</t>
  </si>
  <si>
    <t>CU00551</t>
  </si>
  <si>
    <t>CG00297</t>
  </si>
  <si>
    <t>Kuldeep</t>
  </si>
  <si>
    <t>Maharishi Markandeshwar University Mullana</t>
  </si>
  <si>
    <t>#329 MMEC Block -1, Maharishi Markandeshwar (Deemed to be University) Mullana, Haryana - 133207</t>
  </si>
  <si>
    <t>9-19324928149-11</t>
  </si>
  <si>
    <t>singh@orgsyn.in</t>
  </si>
  <si>
    <t>CU00552</t>
  </si>
  <si>
    <t>Raman</t>
  </si>
  <si>
    <t>9-18894398249-11</t>
  </si>
  <si>
    <t>raman@orgsyn.in</t>
  </si>
  <si>
    <t>CU00707</t>
  </si>
  <si>
    <t>CG00362</t>
  </si>
  <si>
    <t>Siraj ud Din</t>
  </si>
  <si>
    <t>University of Science and Technology Bannu</t>
  </si>
  <si>
    <t>Department of Chemistry, University of Science and Technology Bannu, KP</t>
  </si>
  <si>
    <t>9-2346911517-11</t>
  </si>
  <si>
    <t>m.siraj09@gmail.com</t>
  </si>
  <si>
    <t>CU00159</t>
  </si>
  <si>
    <t>CG00095</t>
  </si>
  <si>
    <t>Skolnick</t>
  </si>
  <si>
    <t>Georgia Institute of Technology</t>
  </si>
  <si>
    <t>Department of Biology</t>
  </si>
  <si>
    <t>310 Ferst Drive, Cherry Emerson Building, Room 327, Atlanta, Georgia 30332</t>
  </si>
  <si>
    <t>404-407-8975</t>
  </si>
  <si>
    <t>skolnick@gatech.edu</t>
  </si>
  <si>
    <t>CU00085</t>
  </si>
  <si>
    <t>Danielle</t>
  </si>
  <si>
    <t>Skropeta</t>
  </si>
  <si>
    <t>Northfields Avenue, WOLLONGONG NSW 2522</t>
  </si>
  <si>
    <t>+61-2- 42-21-4360</t>
  </si>
  <si>
    <t>skropeta@uow.edu.au</t>
  </si>
  <si>
    <t>CU00057</t>
  </si>
  <si>
    <t>CG00034</t>
  </si>
  <si>
    <t>Malgorzata</t>
  </si>
  <si>
    <t>Sliwinska</t>
  </si>
  <si>
    <t>Wroclaw Medical University</t>
  </si>
  <si>
    <t>malgorzata.sliwinska@umed.wroc.pl</t>
  </si>
  <si>
    <t>CU00256</t>
  </si>
  <si>
    <t>Taylor</t>
  </si>
  <si>
    <t>Smallwood</t>
  </si>
  <si>
    <t>St Lucia, 4072</t>
  </si>
  <si>
    <t>3365 2299</t>
  </si>
  <si>
    <t>taylor.smallwood@uqconnect.uq.edu.au</t>
  </si>
  <si>
    <t>CU00086</t>
  </si>
  <si>
    <t>Doug</t>
  </si>
  <si>
    <t>National Institute of Health (NIH)</t>
  </si>
  <si>
    <t>National Cancer Institute -DS &amp;CB, Fisher Bioservices</t>
  </si>
  <si>
    <t>2406864720</t>
  </si>
  <si>
    <t>smallwooddb@mail.nih.gov</t>
  </si>
  <si>
    <t>CU00495</t>
  </si>
  <si>
    <t>Smedley</t>
  </si>
  <si>
    <t>+61431732434</t>
  </si>
  <si>
    <t>19183658@students.latrobe.edu.au</t>
  </si>
  <si>
    <t>CU00615</t>
  </si>
  <si>
    <t>Irina</t>
  </si>
  <si>
    <t>Smirnova</t>
  </si>
  <si>
    <t>Reseacher</t>
  </si>
  <si>
    <t>450054, Ufa, prospekt Oktyabrya, 69, Russian</t>
  </si>
  <si>
    <t>si8081@yandex.ru</t>
  </si>
  <si>
    <t>CU00196</t>
  </si>
  <si>
    <t>CG00117</t>
  </si>
  <si>
    <t>Snape</t>
  </si>
  <si>
    <t>Senior Lectuer in Medicinal Chemistry</t>
  </si>
  <si>
    <t>Pharmacy and Biomedical Sciences</t>
  </si>
  <si>
    <t>Corporation Street, Preston, Lancashire, L40 1SZ</t>
  </si>
  <si>
    <t>+44 (0)1772 895805</t>
  </si>
  <si>
    <t>tjsnape@uclan.ac.uk</t>
  </si>
  <si>
    <t>CU00127</t>
  </si>
  <si>
    <t>Snyder</t>
  </si>
  <si>
    <t>617-353-2621</t>
  </si>
  <si>
    <t>jsnyder@bu.edu</t>
  </si>
  <si>
    <t>CU00531</t>
  </si>
  <si>
    <t>Ankur</t>
  </si>
  <si>
    <t>Sood</t>
  </si>
  <si>
    <t>PhD Scholar</t>
  </si>
  <si>
    <t>Deaprtment of Biotechnology</t>
  </si>
  <si>
    <t>Lab No. 417, Department of Biotechnology, Bhupat and Jyoti Mehta School of Biosciences, IIT Madras, Chennai, 600036, India.</t>
  </si>
  <si>
    <t>7-33871654-9</t>
  </si>
  <si>
    <t>ankursood05@gmail.com</t>
  </si>
  <si>
    <t>CU00785</t>
  </si>
  <si>
    <t>Silvia</t>
  </si>
  <si>
    <t>Sousa</t>
  </si>
  <si>
    <t>sousasilvia@tecnico.ulisboa.pt</t>
  </si>
  <si>
    <t>CU00330</t>
  </si>
  <si>
    <t>Malcolm</t>
  </si>
  <si>
    <t>0293515745</t>
  </si>
  <si>
    <t>malcolm.spain@sydney.edu.au</t>
  </si>
  <si>
    <t>CU00109</t>
  </si>
  <si>
    <t>CG00062</t>
  </si>
  <si>
    <t>Sperry</t>
  </si>
  <si>
    <t>+64 (0) 9 923 8269</t>
  </si>
  <si>
    <t>j.sperry@auckland.ac.nz</t>
  </si>
  <si>
    <t>CU00556</t>
  </si>
  <si>
    <t>Claude</t>
  </si>
  <si>
    <t>Spino</t>
  </si>
  <si>
    <t>2500 Boul. Université, Sherbrooke, Qc, J1K 2R1</t>
  </si>
  <si>
    <t>1-819-821-7087</t>
  </si>
  <si>
    <t>claude.spino@usherbrooke.ca</t>
  </si>
  <si>
    <t>CU00366</t>
  </si>
  <si>
    <t>Spivak</t>
  </si>
  <si>
    <t>spivak.ink@gmail.com</t>
  </si>
  <si>
    <t>CU00746</t>
  </si>
  <si>
    <t>Christina</t>
  </si>
  <si>
    <t>Spry</t>
  </si>
  <si>
    <t>Lecturer / Post-doc</t>
  </si>
  <si>
    <t>Building 134, Linnaeus Way, Acton, 2601</t>
  </si>
  <si>
    <t>02-61256229</t>
  </si>
  <si>
    <t>christina.spry@anu.edu.au</t>
  </si>
  <si>
    <t>CU00158</t>
  </si>
  <si>
    <t>Bharath</t>
  </si>
  <si>
    <t>Srinivasan</t>
  </si>
  <si>
    <t>4047258115</t>
  </si>
  <si>
    <t>bharath.srinivasan@biology.gatech.edu</t>
  </si>
  <si>
    <t>CU00135</t>
  </si>
  <si>
    <t>CG00079</t>
  </si>
  <si>
    <t>Stec</t>
  </si>
  <si>
    <t>Marshall B. Ketchum University</t>
  </si>
  <si>
    <t>2575 Yorba Linda Blvd. Fullerton, CA 92831</t>
  </si>
  <si>
    <t>(001) 714-872-5711</t>
  </si>
  <si>
    <t>jstec@ketchum.edu</t>
  </si>
  <si>
    <t>CU00595</t>
  </si>
  <si>
    <t>Ekaterina</t>
  </si>
  <si>
    <t>Stepanova</t>
  </si>
  <si>
    <t>researcher</t>
  </si>
  <si>
    <t>7902-7925170</t>
  </si>
  <si>
    <t>caterina.stepanova@yandex.ru</t>
  </si>
  <si>
    <t>CU00149</t>
  </si>
  <si>
    <t>Liam</t>
  </si>
  <si>
    <t>Stephens</t>
  </si>
  <si>
    <t>Claverton Down Rd, Bath, BA2 7AY</t>
  </si>
  <si>
    <t>+44 (0) 7970790825</t>
  </si>
  <si>
    <t>ls384@bath.ac.uk</t>
  </si>
  <si>
    <t>CU00224</t>
  </si>
  <si>
    <t>Geert Jan</t>
  </si>
  <si>
    <t>Sterk</t>
  </si>
  <si>
    <t>0031205987599</t>
  </si>
  <si>
    <t>g.j.sterk@vu.nl</t>
  </si>
  <si>
    <t>CU00107</t>
  </si>
  <si>
    <t>CG00061</t>
  </si>
  <si>
    <t>Andrea</t>
  </si>
  <si>
    <t>Stierle</t>
  </si>
  <si>
    <t>University of Montana</t>
  </si>
  <si>
    <t>Department Of Biomedical And Pharmaceutical Sciences</t>
  </si>
  <si>
    <t>406-243-2094</t>
  </si>
  <si>
    <t>andrea.stierle@mso.umt.edu</t>
  </si>
  <si>
    <t>CU00108</t>
  </si>
  <si>
    <t>Donald</t>
  </si>
  <si>
    <t>donald.stierle@mso.umt.edu</t>
  </si>
  <si>
    <t>CU00203</t>
  </si>
  <si>
    <t>Stoltz</t>
  </si>
  <si>
    <t>(626) 395-6064</t>
  </si>
  <si>
    <t>stoltz@caltech.edu</t>
  </si>
  <si>
    <t>CU00529</t>
  </si>
  <si>
    <t>Rhia</t>
  </si>
  <si>
    <t>Stone</t>
  </si>
  <si>
    <t>0401680134</t>
  </si>
  <si>
    <t>r.stone@imb.uq.edu.au</t>
  </si>
  <si>
    <t>CU00280</t>
  </si>
  <si>
    <t>Erick</t>
  </si>
  <si>
    <t>Strauss</t>
  </si>
  <si>
    <t>+27-21-808-5866</t>
  </si>
  <si>
    <t>estrauss@sun.ac.za</t>
  </si>
  <si>
    <t>CU00341</t>
  </si>
  <si>
    <t>Morten</t>
  </si>
  <si>
    <t>Strøm</t>
  </si>
  <si>
    <t>University of Tromsø</t>
  </si>
  <si>
    <t>Department of pharmacy</t>
  </si>
  <si>
    <t>Institutt for farmasiUiT Norges arktiske universitet9037 Tromsø</t>
  </si>
  <si>
    <t>7.7644085E7</t>
  </si>
  <si>
    <t>morten.strom@uit.no</t>
  </si>
  <si>
    <t>CU00156</t>
  </si>
  <si>
    <t>Xiangdong</t>
  </si>
  <si>
    <t>Su</t>
  </si>
  <si>
    <t>44-1225-385088</t>
  </si>
  <si>
    <t>prsxs@bath.ac.uk</t>
  </si>
  <si>
    <t>CU00015</t>
  </si>
  <si>
    <t>Colin</t>
  </si>
  <si>
    <t>Suckling</t>
  </si>
  <si>
    <t>+44 (0)141 548 2271</t>
  </si>
  <si>
    <t>c.j.suckling@strath.ac.uk</t>
  </si>
  <si>
    <t>CU00767</t>
  </si>
  <si>
    <t>Purwantiningsih</t>
  </si>
  <si>
    <t>Sugita</t>
  </si>
  <si>
    <t>Head of Organic Chemistry Division</t>
  </si>
  <si>
    <t>6-2818686194-10</t>
  </si>
  <si>
    <t>purwantiningsih@apps.ipb.ac.id</t>
  </si>
  <si>
    <t>CU00445</t>
  </si>
  <si>
    <t>Suk</t>
  </si>
  <si>
    <t>0049 4131 677 2828</t>
  </si>
  <si>
    <t>morten.suk@stud.leuphana.de</t>
  </si>
  <si>
    <t>CU00741</t>
  </si>
  <si>
    <t>Malik</t>
  </si>
  <si>
    <t>Suliman</t>
  </si>
  <si>
    <t>Department of Pharmaceutics, College of Pharmacy, Jouf University, Airport street, Al-Jouf, Sakaka 72388, Saudi Arabia</t>
  </si>
  <si>
    <t>9-66554649606-11</t>
  </si>
  <si>
    <t>malkuff@hotmail.com</t>
  </si>
  <si>
    <t>CU00202</t>
  </si>
  <si>
    <t>Sun</t>
  </si>
  <si>
    <t>2153009083</t>
  </si>
  <si>
    <t>awsun90@caltech.edu</t>
  </si>
  <si>
    <t>CU00152</t>
  </si>
  <si>
    <t>Evgeniy</t>
  </si>
  <si>
    <t>Suslov</t>
  </si>
  <si>
    <t>Deputy director</t>
  </si>
  <si>
    <t>7383330887</t>
  </si>
  <si>
    <t>redfox@nioch.nsc.ru</t>
  </si>
  <si>
    <t>CU00337</t>
  </si>
  <si>
    <t>CG00189</t>
  </si>
  <si>
    <t>Tara</t>
  </si>
  <si>
    <t>Sutherland</t>
  </si>
  <si>
    <t>Health and Biosecurity</t>
  </si>
  <si>
    <t>GPO Box 1700; Canberra; ACT; 2602</t>
  </si>
  <si>
    <t>02 62464236</t>
  </si>
  <si>
    <t>tara.sutherland@csiro.au</t>
  </si>
  <si>
    <t>CU00661</t>
  </si>
  <si>
    <t>Takashi</t>
  </si>
  <si>
    <t>Suyama</t>
  </si>
  <si>
    <t>Assistant professor of chemistry</t>
  </si>
  <si>
    <t>1-724-852-7731</t>
  </si>
  <si>
    <t>tsuyama@waynesburg.edu</t>
  </si>
  <si>
    <t>CU00460</t>
  </si>
  <si>
    <t>CG00257</t>
  </si>
  <si>
    <t>Jakub</t>
  </si>
  <si>
    <t>Svenda</t>
  </si>
  <si>
    <t>Masaryk University</t>
  </si>
  <si>
    <t>Kamenice 753/5 , Brno, 625 00</t>
  </si>
  <si>
    <t>Czech Republic</t>
  </si>
  <si>
    <t>00 420 549 49 6965</t>
  </si>
  <si>
    <t>svenda@chemi.muni.cz</t>
  </si>
  <si>
    <t>CU00803</t>
  </si>
  <si>
    <t>Swarts</t>
  </si>
  <si>
    <t>Head of Inorganic Chemistry</t>
  </si>
  <si>
    <t>Humphrey Raikes Building, Office C301/Lab 119B, School of Chemistry, Braamfontein East Campus, University of the Witwatersrand, 1 Jan Smuts Avenue, Johannesburg, 2001, South Africa</t>
  </si>
  <si>
    <t>+27-11-717-6786</t>
  </si>
  <si>
    <t>andrew.swarts@wits.ac.za</t>
  </si>
  <si>
    <t>CU00071</t>
  </si>
  <si>
    <t>Piotr</t>
  </si>
  <si>
    <t>Swiatek</t>
  </si>
  <si>
    <t xml:space="preserve">+48 71 784 04 00 </t>
  </si>
  <si>
    <t>piotr.swiatek@umed.wroc.pl</t>
  </si>
  <si>
    <t>CU00269</t>
  </si>
  <si>
    <t>Saeed Ali</t>
  </si>
  <si>
    <t>Syed</t>
  </si>
  <si>
    <t>assistant Professor</t>
  </si>
  <si>
    <t>966-11-4698863</t>
  </si>
  <si>
    <t>sasyed@ksu.edu.sa</t>
  </si>
  <si>
    <t>CU00081</t>
  </si>
  <si>
    <t>Remi</t>
  </si>
  <si>
    <t>Szabo</t>
  </si>
  <si>
    <t>rszabo@uow.edu.au</t>
  </si>
  <si>
    <t>CU00164</t>
  </si>
  <si>
    <t>Matthias</t>
  </si>
  <si>
    <t>Tacke</t>
  </si>
  <si>
    <t>Belfield, Dublin 4</t>
  </si>
  <si>
    <t>353-1-7168428</t>
  </si>
  <si>
    <t>matthias.tacke@ucd.ie</t>
  </si>
  <si>
    <t>CU00246</t>
  </si>
  <si>
    <t>Tague</t>
  </si>
  <si>
    <t>Northfields Ave, Wollongong, NSW 2500</t>
  </si>
  <si>
    <t>0400-231-605</t>
  </si>
  <si>
    <t>ajt303@uowmail.edu.au</t>
  </si>
  <si>
    <t>CU00812</t>
  </si>
  <si>
    <t>CG00400</t>
  </si>
  <si>
    <t>Satishkumar</t>
  </si>
  <si>
    <t>Tala</t>
  </si>
  <si>
    <t>Atmiya University</t>
  </si>
  <si>
    <t>Yogidham Gurukul, Kalawad Road, Rajkot, Gujarat-360005</t>
  </si>
  <si>
    <t>9-18141668961-11</t>
  </si>
  <si>
    <t>satish.tala@atmiyauni.ac.in</t>
  </si>
  <si>
    <t>CU00501</t>
  </si>
  <si>
    <t>Tan</t>
  </si>
  <si>
    <t>646-888-2234</t>
  </si>
  <si>
    <t>tand@mskcc.org</t>
  </si>
  <si>
    <t>CU00364</t>
  </si>
  <si>
    <t>CG00204</t>
  </si>
  <si>
    <t>Constantin</t>
  </si>
  <si>
    <t>Tanase</t>
  </si>
  <si>
    <t>National Institute for Chemical-Pharmaceutical Research and Development</t>
  </si>
  <si>
    <t>Vitan 112, Bucharest 3</t>
  </si>
  <si>
    <t>Romania</t>
  </si>
  <si>
    <t>40-1-321.21.17</t>
  </si>
  <si>
    <t>cvtanase@gmail.com</t>
  </si>
  <si>
    <t>CU00739</t>
  </si>
  <si>
    <t>Tania</t>
  </si>
  <si>
    <t>The Learning Commons(TLC Building), Room 105 or 118Kingsbury DriveBundooraVictoria3083</t>
  </si>
  <si>
    <t>+61-424-964-583</t>
  </si>
  <si>
    <t>t.tania@latrobe.edu.au</t>
  </si>
  <si>
    <t>CU00540</t>
  </si>
  <si>
    <t>CG00293</t>
  </si>
  <si>
    <t>Tantravahi</t>
  </si>
  <si>
    <t>Indira Gandhi National Tribal University</t>
  </si>
  <si>
    <t>Botany</t>
  </si>
  <si>
    <t>Lalpur,Amarkantak-484886, Madhya Pradesh</t>
  </si>
  <si>
    <t>9-440025015-9</t>
  </si>
  <si>
    <t>srinivasan@igntu.ac.in</t>
  </si>
  <si>
    <t>saveplants@gmail.com</t>
  </si>
  <si>
    <t>CU00710</t>
  </si>
  <si>
    <t>519-998-9259</t>
  </si>
  <si>
    <t>s5taylor@uwaterloo.ca</t>
  </si>
  <si>
    <t>CU00091</t>
  </si>
  <si>
    <t>Timonthy</t>
  </si>
  <si>
    <t xml:space="preserve">+1 (240) 686-4720 </t>
  </si>
  <si>
    <t>taylort4@mail.nih.gov</t>
  </si>
  <si>
    <t>CU00324</t>
  </si>
  <si>
    <t>Vikas</t>
  </si>
  <si>
    <t>Telvekar</t>
  </si>
  <si>
    <t>vikastelvekar@gmail.com</t>
  </si>
  <si>
    <t>CU00073</t>
  </si>
  <si>
    <t>Pragna</t>
  </si>
  <si>
    <t>Thanki</t>
  </si>
  <si>
    <t>+91-9033669308</t>
  </si>
  <si>
    <t>pragnathanki@gmail.com</t>
  </si>
  <si>
    <t>CU00322</t>
  </si>
  <si>
    <t>Severin</t>
  </si>
  <si>
    <t>Thompson</t>
  </si>
  <si>
    <t>320-291-7706</t>
  </si>
  <si>
    <t>thom3558@umn.edu</t>
  </si>
  <si>
    <t>CU00794</t>
  </si>
  <si>
    <t>Davide</t>
  </si>
  <si>
    <t>Tiana</t>
  </si>
  <si>
    <t>Inorganic Lecturer</t>
  </si>
  <si>
    <t>8-57042004-8</t>
  </si>
  <si>
    <t>david.tiana@ucc.ie</t>
  </si>
  <si>
    <t>CU00735</t>
  </si>
  <si>
    <t>Radhakrishnan</t>
  </si>
  <si>
    <t>Tigote</t>
  </si>
  <si>
    <t>7-588387117-9</t>
  </si>
  <si>
    <t>rmtigote@gmail.com</t>
  </si>
  <si>
    <t>CU00470</t>
  </si>
  <si>
    <t>CG00259</t>
  </si>
  <si>
    <t>Jacob</t>
  </si>
  <si>
    <t>Timmerman</t>
  </si>
  <si>
    <t>Baylor University</t>
  </si>
  <si>
    <t>Baylor Sciences Building E.253R, Waco, TX, 76706</t>
  </si>
  <si>
    <t>7045304616</t>
  </si>
  <si>
    <t>jacob_timmerman@baylor.edu</t>
  </si>
  <si>
    <t>CU00723</t>
  </si>
  <si>
    <t>Arthur</t>
  </si>
  <si>
    <t>Tinoco</t>
  </si>
  <si>
    <t>939-319-9701</t>
  </si>
  <si>
    <t>arthur.tinoco@upr.edu</t>
  </si>
  <si>
    <t>CU00331</t>
  </si>
  <si>
    <t>29-39 Brunswick Square, Bloomsbury, London WC1N 1AX, UK</t>
  </si>
  <si>
    <t>0293512180</t>
  </si>
  <si>
    <t>matthew.todd@ucl.ac.uk</t>
  </si>
  <si>
    <t>CU00618</t>
  </si>
  <si>
    <t>Tomsho</t>
  </si>
  <si>
    <t>215-596-7395</t>
  </si>
  <si>
    <t>j.tomsho@usciences.edu</t>
  </si>
  <si>
    <t>CU00565</t>
  </si>
  <si>
    <t>Townsend</t>
  </si>
  <si>
    <t>1234 STEVENSON CENTER LN    STEVENSON CTR 7300                 NASHVILLE TN 37240</t>
  </si>
  <si>
    <t>615-322-8171</t>
  </si>
  <si>
    <t>steven.d.townsend@vanderbilt.edu</t>
  </si>
  <si>
    <t>CU00255</t>
  </si>
  <si>
    <t>Kiet</t>
  </si>
  <si>
    <t>Tran</t>
  </si>
  <si>
    <t>Unité de Gestion de la Chimiothèque Nationale ENSCM</t>
  </si>
  <si>
    <t>8 rue de l'Ecole Normale 34296 Montpellier CEDEX 5</t>
  </si>
  <si>
    <t>04 67 14 43 32</t>
  </si>
  <si>
    <t>kiet.tran@enscm.fr</t>
  </si>
  <si>
    <t>CU00132</t>
  </si>
  <si>
    <t>Marie-Claude</t>
  </si>
  <si>
    <t>Tremblay</t>
  </si>
  <si>
    <t>Research assistant</t>
  </si>
  <si>
    <t>marie-claude.j.tremblay@usherbrooke.ca</t>
  </si>
  <si>
    <t>CU00643</t>
  </si>
  <si>
    <t>Tsepo</t>
  </si>
  <si>
    <t>Tsekoa</t>
  </si>
  <si>
    <t>Research Group Leader</t>
  </si>
  <si>
    <t>Council for Scientific and Industrial Research (CSIR),  Meiring Naude Rd, Brummeria, Pretoria, 0001</t>
  </si>
  <si>
    <t>2-7128413274-10</t>
  </si>
  <si>
    <t>TTsekoa@csir.co.za</t>
  </si>
  <si>
    <t>CU00550</t>
  </si>
  <si>
    <t>Kellie</t>
  </si>
  <si>
    <t>Tuck</t>
  </si>
  <si>
    <t>6-139905451-10</t>
  </si>
  <si>
    <t>kellie.tuck@monash.edu</t>
  </si>
  <si>
    <t>CU00493</t>
  </si>
  <si>
    <t>Karnaker</t>
  </si>
  <si>
    <t>Tupally</t>
  </si>
  <si>
    <t>07334 61887</t>
  </si>
  <si>
    <t>k.tupally@uq.edu.au</t>
  </si>
  <si>
    <t>CU00055</t>
  </si>
  <si>
    <t>CG00032</t>
  </si>
  <si>
    <t>Turner</t>
  </si>
  <si>
    <t>School of Agriculture and Food Sciences</t>
  </si>
  <si>
    <t>61 7 334 57364</t>
  </si>
  <si>
    <t>m.turner2@uq.edu.au</t>
  </si>
  <si>
    <t>CU00267</t>
  </si>
  <si>
    <t>Amit Kumar</t>
  </si>
  <si>
    <t>Tyagi</t>
  </si>
  <si>
    <t>91-9620456650</t>
  </si>
  <si>
    <t>amit.kumar@jainuniversity.ac.in</t>
  </si>
  <si>
    <t>CU00510</t>
  </si>
  <si>
    <t>CG00276</t>
  </si>
  <si>
    <t>Andy</t>
  </si>
  <si>
    <t>Un</t>
  </si>
  <si>
    <t>University of Victoria</t>
  </si>
  <si>
    <t>PO Box STN CSC (Courier: 3800 Finnerty Rd.) Victoria, BC, V8W 3V6</t>
  </si>
  <si>
    <t>604-727-4656</t>
  </si>
  <si>
    <t>andyun@uvic.ca</t>
  </si>
  <si>
    <t>CU00788</t>
  </si>
  <si>
    <t>Upadhyay</t>
  </si>
  <si>
    <t>6A Fairville, College Road Cork, Ireland, T12PPK5</t>
  </si>
  <si>
    <t>8-9947872-8</t>
  </si>
  <si>
    <t>119222561@umail.ucc.ie</t>
  </si>
  <si>
    <t>CU00273</t>
  </si>
  <si>
    <t>Sylvia</t>
  </si>
  <si>
    <t>Urban</t>
  </si>
  <si>
    <t>03 9925 3376</t>
  </si>
  <si>
    <t>sylvia.urban@rmit.edu.au</t>
  </si>
  <si>
    <t>CU00190</t>
  </si>
  <si>
    <t>Krishnaiah</t>
  </si>
  <si>
    <t>Vaarla</t>
  </si>
  <si>
    <t>Department of Chemistry, National Institute of Technology-Warangal, Warangal, Telangana India, 506004</t>
  </si>
  <si>
    <t>91-9701843989</t>
  </si>
  <si>
    <t>krishnaiahvaarla@gmail.com</t>
  </si>
  <si>
    <t>CU00659</t>
  </si>
  <si>
    <t>Murugesan</t>
  </si>
  <si>
    <t>Vanangamudi</t>
  </si>
  <si>
    <t>8-555984792-9</t>
  </si>
  <si>
    <t>vmurugesann@gmail.com</t>
  </si>
  <si>
    <t>CU00181</t>
  </si>
  <si>
    <t>Rajeswar Rao</t>
  </si>
  <si>
    <t>Vedula</t>
  </si>
  <si>
    <t>Lab Head and Professor</t>
  </si>
  <si>
    <t>91-9490165352</t>
  </si>
  <si>
    <t>rajeswarnitw@gmail.com</t>
  </si>
  <si>
    <t>CU00092</t>
  </si>
  <si>
    <t>CG00050</t>
  </si>
  <si>
    <t>Tony</t>
  </si>
  <si>
    <t>Velkov</t>
  </si>
  <si>
    <t>Monash Institute of Pharmaceutical Sciences</t>
  </si>
  <si>
    <t>tony.velkov@monash.edu.au</t>
  </si>
  <si>
    <t>CU00705</t>
  </si>
  <si>
    <t>Koushik</t>
  </si>
  <si>
    <t>Venkatesan</t>
  </si>
  <si>
    <t>+61 2 9850 8296</t>
  </si>
  <si>
    <t>koushik.venkatesan@mq.edu.au</t>
  </si>
  <si>
    <t>CU00390</t>
  </si>
  <si>
    <t>Verderosa</t>
  </si>
  <si>
    <t>0415551349</t>
  </si>
  <si>
    <t>3mpyrean@tpg.com.au</t>
  </si>
  <si>
    <t>CU00188</t>
  </si>
  <si>
    <t>Karpina</t>
  </si>
  <si>
    <t>Veronika</t>
  </si>
  <si>
    <t>postgraduate student</t>
  </si>
  <si>
    <t>+380 95 943 93 21</t>
  </si>
  <si>
    <t>v.karpina01@gmail.com</t>
  </si>
  <si>
    <t>CU00483</t>
  </si>
  <si>
    <t>Viggers</t>
  </si>
  <si>
    <t>Joseph.Viggers@crl.com</t>
  </si>
  <si>
    <t>CU00357</t>
  </si>
  <si>
    <t>CG00198</t>
  </si>
  <si>
    <t>Jacque</t>
  </si>
  <si>
    <t>Vigil</t>
  </si>
  <si>
    <t>University of Utah</t>
  </si>
  <si>
    <t>+1 801 581 7063</t>
  </si>
  <si>
    <t>jacque.vigil@pharm.utah.edu</t>
  </si>
  <si>
    <t>CU00570</t>
  </si>
  <si>
    <t>CG00307</t>
  </si>
  <si>
    <t>Vogels</t>
  </si>
  <si>
    <t>Mount Allison University</t>
  </si>
  <si>
    <t>62 York St, Sackville, NB, E4L 1E2</t>
  </si>
  <si>
    <t>506-364-2351</t>
  </si>
  <si>
    <t>cvogels@mta.ca</t>
  </si>
  <si>
    <t>CU00151</t>
  </si>
  <si>
    <t>Volcho</t>
  </si>
  <si>
    <t>Chief reseacher</t>
  </si>
  <si>
    <t>volcho@nioch.nsc.ru</t>
  </si>
  <si>
    <t>CU00753</t>
  </si>
  <si>
    <t>Saan</t>
  </si>
  <si>
    <t>Voss</t>
  </si>
  <si>
    <t>saan.voss@anu.edu.au</t>
  </si>
  <si>
    <t>CU00037</t>
  </si>
  <si>
    <t>CG00022</t>
  </si>
  <si>
    <t>Wade</t>
  </si>
  <si>
    <t>Florey Institute for Neuroscience &amp; Mental Health</t>
  </si>
  <si>
    <t>+61 3 8344 7285</t>
  </si>
  <si>
    <t>john.wade@florey.edu.au</t>
  </si>
  <si>
    <t>CU00174</t>
  </si>
  <si>
    <t>Noor</t>
  </si>
  <si>
    <t>Waheed</t>
  </si>
  <si>
    <t>Zaigtyon city 1118, Erbil 7500</t>
  </si>
  <si>
    <t>+964 7705246239</t>
  </si>
  <si>
    <t>nuray85@yahoo.com</t>
  </si>
  <si>
    <t>CU00562</t>
  </si>
  <si>
    <t>Sana</t>
  </si>
  <si>
    <t>Wahid</t>
  </si>
  <si>
    <t>9-23463055842-11</t>
  </si>
  <si>
    <t>sanawahid90@gmail.com</t>
  </si>
  <si>
    <t>CU00088</t>
  </si>
  <si>
    <t>Wales</t>
  </si>
  <si>
    <t>+44-775-952-0234</t>
  </si>
  <si>
    <t>swales@uow.edu.au</t>
  </si>
  <si>
    <t>CU00582</t>
  </si>
  <si>
    <t>Walker</t>
  </si>
  <si>
    <t>a.walker@imb.uq.edu.au</t>
  </si>
  <si>
    <t>CU00641</t>
  </si>
  <si>
    <t>Kaiyi</t>
  </si>
  <si>
    <t>Wang</t>
  </si>
  <si>
    <t>1-7616158679-10</t>
  </si>
  <si>
    <t>836633510@qq.com</t>
  </si>
  <si>
    <t>CU00303</t>
  </si>
  <si>
    <t>Xu</t>
  </si>
  <si>
    <t>xuwang@gwu.edu</t>
  </si>
  <si>
    <t>CU00373</t>
  </si>
  <si>
    <t>Hua</t>
  </si>
  <si>
    <t>858-784-7624</t>
  </si>
  <si>
    <t>huawang@scripps.edu</t>
  </si>
  <si>
    <t>CU00598</t>
  </si>
  <si>
    <t>Rui</t>
  </si>
  <si>
    <t>210-396-8905</t>
  </si>
  <si>
    <t>rui.wang@UTSA.edu</t>
  </si>
  <si>
    <t>CU00319</t>
  </si>
  <si>
    <t>CG00179</t>
  </si>
  <si>
    <t>Donald A.</t>
  </si>
  <si>
    <t>Watson</t>
  </si>
  <si>
    <t>University of Delaware</t>
  </si>
  <si>
    <t>202 Lammot du Pont Lab, The Green, Newark, DE</t>
  </si>
  <si>
    <t>(302) 831-8728</t>
  </si>
  <si>
    <t>dawatson@udel.edu</t>
  </si>
  <si>
    <t>CU00243</t>
  </si>
  <si>
    <t>Ravindra</t>
  </si>
  <si>
    <t>Wavhale</t>
  </si>
  <si>
    <t>Asst. Professor</t>
  </si>
  <si>
    <t>Bombay College of Pharmacy, Kalina, Santacruz(E), Mumbai, 400098. India.</t>
  </si>
  <si>
    <t>9689713531</t>
  </si>
  <si>
    <t>srwavhale@yahoo.co.in</t>
  </si>
  <si>
    <t>CU00569</t>
  </si>
  <si>
    <t>Westcott</t>
  </si>
  <si>
    <t>Chemistry Professor</t>
  </si>
  <si>
    <t>swescott@mta.ca</t>
  </si>
  <si>
    <t>CU00800</t>
  </si>
  <si>
    <t>Whittaker</t>
  </si>
  <si>
    <t>Michael.Whittaker@monash.edu</t>
  </si>
  <si>
    <t>CU00102</t>
  </si>
  <si>
    <t>CG00057</t>
  </si>
  <si>
    <t>Charlotte</t>
  </si>
  <si>
    <t>Willans</t>
  </si>
  <si>
    <t>(0113) 343 5868</t>
  </si>
  <si>
    <t>c.e.willans@leeds.ac.uk</t>
  </si>
  <si>
    <t>CU00216</t>
  </si>
  <si>
    <t>Williamson</t>
  </si>
  <si>
    <t>Building F11, Eastern Avenue, Camperdown, Sydney NSW 2006</t>
  </si>
  <si>
    <t>0431318280</t>
  </si>
  <si>
    <t>alice.williamson@sydney.edu.au</t>
  </si>
  <si>
    <t>CU00577</t>
  </si>
  <si>
    <t>CG00309</t>
  </si>
  <si>
    <t>Justin</t>
  </si>
  <si>
    <t>Wilson</t>
  </si>
  <si>
    <t>Cornell University</t>
  </si>
  <si>
    <t>G75 Chemistry Research Building
162 Sciences Dr.
Cornell University
Ithaca, NY 14853-1301</t>
  </si>
  <si>
    <t>607-255-4344</t>
  </si>
  <si>
    <t>jjw275@cornell.edu</t>
  </si>
  <si>
    <t>CU00356</t>
  </si>
  <si>
    <t>Jaclyn</t>
  </si>
  <si>
    <t>Winter</t>
  </si>
  <si>
    <t>+1 801 585 7117</t>
  </si>
  <si>
    <t>jaclyn.winter@utah.edu</t>
  </si>
  <si>
    <t>CU00230</t>
  </si>
  <si>
    <t>Witzigmann</t>
  </si>
  <si>
    <t>3210 N. Cramer Street                           Milwaukee, WI 53211</t>
  </si>
  <si>
    <t>1-414-687-4912</t>
  </si>
  <si>
    <t>witzigm2@uwm.edu</t>
  </si>
  <si>
    <t>CU00760</t>
  </si>
  <si>
    <t>Wojciech</t>
  </si>
  <si>
    <t>Wolf</t>
  </si>
  <si>
    <t>48,426,313,098</t>
  </si>
  <si>
    <t>wojciech.wolf@p.lodz.pl</t>
  </si>
  <si>
    <t>CU00471</t>
  </si>
  <si>
    <t>Wood</t>
  </si>
  <si>
    <t>(254) 710-4427</t>
  </si>
  <si>
    <t>John_L_Wood@Baylor.edu</t>
  </si>
  <si>
    <t>CU00355</t>
  </si>
  <si>
    <t>Guangwei</t>
  </si>
  <si>
    <t>Wu</t>
  </si>
  <si>
    <t>College of Pharmacy  30 S 2000 E, SKH 307, Salt Lake City UT, 84112</t>
  </si>
  <si>
    <t>guangwei.wu@utah.edu</t>
  </si>
  <si>
    <t>CU00306</t>
  </si>
  <si>
    <t>CG00173</t>
  </si>
  <si>
    <t>Bin</t>
  </si>
  <si>
    <t>Research assistant, PHD candidate</t>
  </si>
  <si>
    <t>University of Massachusetts Lowell</t>
  </si>
  <si>
    <t>Olney Hall 510, One university Ave,Lowell,MA, 01854</t>
  </si>
  <si>
    <t>978-905-9780</t>
  </si>
  <si>
    <t>bin_wu1@student.uml.edu</t>
  </si>
  <si>
    <t>CU00509</t>
  </si>
  <si>
    <t>Wulff</t>
  </si>
  <si>
    <t>1-250-721-7179</t>
  </si>
  <si>
    <t>wulff@uvic.ca</t>
  </si>
  <si>
    <t>CU00307</t>
  </si>
  <si>
    <t>Mingdi</t>
  </si>
  <si>
    <t>Yan</t>
  </si>
  <si>
    <t>978-934-3647</t>
  </si>
  <si>
    <t>mingdi_yan@uml.edu</t>
  </si>
  <si>
    <t>CU00386</t>
  </si>
  <si>
    <t>CG00216</t>
  </si>
  <si>
    <t>Yi Yan</t>
  </si>
  <si>
    <t>Yang</t>
  </si>
  <si>
    <t>Institute of Bioengineering and Nanotechnology</t>
  </si>
  <si>
    <t>Nanomedicine</t>
  </si>
  <si>
    <t>31 Biopolis Way, The Nanos, Singapore 138669, Singapore</t>
  </si>
  <si>
    <t>65-68247106</t>
  </si>
  <si>
    <t>yyyang@ibn.a-star.edu.sg</t>
  </si>
  <si>
    <t>CU00413</t>
  </si>
  <si>
    <t>CG00232</t>
  </si>
  <si>
    <t>Keng Yoon</t>
  </si>
  <si>
    <t>Yeong</t>
  </si>
  <si>
    <t>Monash University Malaysia</t>
  </si>
  <si>
    <t>Jalan Lagoon Selatan, Bandar Sunway, 47500, Subang Jaya, Selangor</t>
  </si>
  <si>
    <t>60355146102</t>
  </si>
  <si>
    <t>yeong.kengyoon@monash.edu</t>
  </si>
  <si>
    <t>CU00096</t>
  </si>
  <si>
    <t>CG00053</t>
  </si>
  <si>
    <t>Ping</t>
  </si>
  <si>
    <t>Yin</t>
  </si>
  <si>
    <t>408230958</t>
  </si>
  <si>
    <t>yin.ping@mq.edu.au</t>
  </si>
  <si>
    <t>CU00414</t>
  </si>
  <si>
    <t>Young</t>
  </si>
  <si>
    <t>+612 4921 5464</t>
  </si>
  <si>
    <t>kelly.a.young@newcastle.edu.au</t>
  </si>
  <si>
    <t>CU00393</t>
  </si>
  <si>
    <t>CG00221</t>
  </si>
  <si>
    <t>University of the Sunshine Coast</t>
  </si>
  <si>
    <t>School of Science and Engineering</t>
  </si>
  <si>
    <t>90 Sippy Downs Dr, Sippy Downs QLD 4556</t>
  </si>
  <si>
    <t>+61 7 5456 3448</t>
  </si>
  <si>
    <t>dyoung1@usc.edu.au</t>
  </si>
  <si>
    <t>CU00236</t>
  </si>
  <si>
    <t>Yousfi</t>
  </si>
  <si>
    <t>PHD student</t>
  </si>
  <si>
    <t>00213669682181</t>
  </si>
  <si>
    <t>t.yousfi@crbt.dz</t>
  </si>
  <si>
    <t>CU00169</t>
  </si>
  <si>
    <t>Xuerong</t>
  </si>
  <si>
    <t>Yu</t>
  </si>
  <si>
    <t>+86-10-62745109</t>
  </si>
  <si>
    <t>yuxuerong@pku.edu.cn</t>
  </si>
  <si>
    <t>CU00778</t>
  </si>
  <si>
    <t>Ulrich</t>
  </si>
  <si>
    <t>Zachariae</t>
  </si>
  <si>
    <t>u.zachariae@dundee.ac.uk</t>
  </si>
  <si>
    <t>CU00021</t>
  </si>
  <si>
    <t>Diana A.</t>
  </si>
  <si>
    <t>Zaleta-Pinet</t>
  </si>
  <si>
    <t>diana.zaletapinet@uon.edu.au</t>
  </si>
  <si>
    <t>CU00673</t>
  </si>
  <si>
    <t>CG00345</t>
  </si>
  <si>
    <t>Zalevskaya</t>
  </si>
  <si>
    <t>Leading Researcher</t>
  </si>
  <si>
    <t>Komi Scientific Centre, Ural Branch of the Russian Academy of Sciences</t>
  </si>
  <si>
    <t>ul. Pervomaiskaya 48, 167000 Syktyvkar,</t>
  </si>
  <si>
    <t>+78212-21-84-77</t>
  </si>
  <si>
    <t>zalevskayaoa@rambler.ru</t>
  </si>
  <si>
    <t>CU00537</t>
  </si>
  <si>
    <t>Zaman Ashraf</t>
  </si>
  <si>
    <t>Assistant Prof</t>
  </si>
  <si>
    <t>mzchem78@gmail.com</t>
  </si>
  <si>
    <t>CU00782</t>
  </si>
  <si>
    <t>Navnath</t>
  </si>
  <si>
    <t>Zaware</t>
  </si>
  <si>
    <t>Department of Chemistry.</t>
  </si>
  <si>
    <t>PDEA’s Baburaoji Gholap College,
Sangavi, Pune-27</t>
  </si>
  <si>
    <t>91-8097332486</t>
  </si>
  <si>
    <t>9nathzaware@gmail.com</t>
  </si>
  <si>
    <t>CU00106</t>
  </si>
  <si>
    <t>Jian</t>
  </si>
  <si>
    <t>Zhan</t>
  </si>
  <si>
    <t>755528228</t>
  </si>
  <si>
    <t>j.zhan@griffith.edu.au</t>
  </si>
  <si>
    <t>CU00320</t>
  </si>
  <si>
    <t>Juntian</t>
  </si>
  <si>
    <t>Zhang</t>
  </si>
  <si>
    <t>207 Pleasant St. SE, Minneapolis, MN, 55455</t>
  </si>
  <si>
    <t>zhan3275@umn.edu</t>
  </si>
  <si>
    <t>CU00105</t>
  </si>
  <si>
    <t>Yaoqi</t>
  </si>
  <si>
    <t>Zhou</t>
  </si>
  <si>
    <t>yaoqi.zhou@griffith.edu.au</t>
  </si>
  <si>
    <t>CU00576</t>
  </si>
  <si>
    <t>Cheng</t>
  </si>
  <si>
    <t>School of Chemical and Biomedical Engineering</t>
  </si>
  <si>
    <t>N1.2-01-24, 62 Nanyang Drive
Singapore 637459</t>
  </si>
  <si>
    <t>+65-86798536</t>
  </si>
  <si>
    <t>zhoucheng@ntu.edu.sg</t>
  </si>
  <si>
    <t>CU00362</t>
  </si>
  <si>
    <t>Ziegler</t>
  </si>
  <si>
    <t>+49 (0)7071 29-73035</t>
  </si>
  <si>
    <t>thomas.ziegler@uni-tuebingen.de</t>
  </si>
  <si>
    <t>CU00277</t>
  </si>
  <si>
    <t>CG00159</t>
  </si>
  <si>
    <t>Zingales</t>
  </si>
  <si>
    <t>Armstrong State University</t>
  </si>
  <si>
    <t>11935 Abercorn St.Savannah, GA 31419</t>
  </si>
  <si>
    <t>1-912-344-2663</t>
  </si>
  <si>
    <t>szingales@georgiasouthern.edu</t>
  </si>
  <si>
    <t>CU00097</t>
  </si>
  <si>
    <t>Zyta</t>
  </si>
  <si>
    <t>Ziora</t>
  </si>
  <si>
    <t>306 Carmody Street</t>
  </si>
  <si>
    <t>61-7- 3346-2156</t>
  </si>
  <si>
    <t>z.ziora@imb.uq.edu.au</t>
  </si>
  <si>
    <t>CU00035</t>
  </si>
  <si>
    <t>Zuegg</t>
  </si>
  <si>
    <t>Program Coordinator</t>
  </si>
  <si>
    <t>61 7  3346 2994</t>
  </si>
  <si>
    <t>j.zuegg@uq.edu.au</t>
  </si>
  <si>
    <t>CU00458</t>
  </si>
  <si>
    <t>Bill</t>
  </si>
  <si>
    <t>Zuercher</t>
  </si>
  <si>
    <t>Research Associate Professor</t>
  </si>
  <si>
    <t>william.zuercher@unc.edu</t>
  </si>
  <si>
    <t>CU00729</t>
  </si>
  <si>
    <t>Annick</t>
  </si>
  <si>
    <t>van Niekerk</t>
  </si>
  <si>
    <t>7-23978466-8</t>
  </si>
  <si>
    <t>16011988@sun.ac.za</t>
  </si>
  <si>
    <t>egypt, cairo, heliopolis</t>
  </si>
  <si>
    <t>medicinal chemistry</t>
  </si>
  <si>
    <t>RiedlR_ZHAW</t>
  </si>
  <si>
    <t>Abo-dyaN_ZagazigU</t>
  </si>
  <si>
    <t>AbdelrazikH_ZagazigU</t>
  </si>
  <si>
    <t>DurgaryanN_YerevanSU</t>
  </si>
  <si>
    <t>SamvelyanM_YerevanSU</t>
  </si>
  <si>
    <t>BiY_YantaiU</t>
  </si>
  <si>
    <t>350 Edwards Street
New Haven, CT 06511</t>
  </si>
  <si>
    <t>HerzonS_YaleU</t>
  </si>
  <si>
    <t>MTA 28</t>
  </si>
  <si>
    <t>SliwinskaM_WroclawMedU</t>
  </si>
  <si>
    <t>RagognaP_WesternU</t>
  </si>
  <si>
    <t>SuyamaT_WaynesburgU</t>
  </si>
  <si>
    <t>MarshallG_WUStLouis</t>
  </si>
  <si>
    <t>Screening Laboratory</t>
  </si>
  <si>
    <t>Walter and Eliza Hall Institute of Medical Research (WEHI)</t>
  </si>
  <si>
    <t>KingB_WakeForestU</t>
  </si>
  <si>
    <t>AckerleyD_VUWellington</t>
  </si>
  <si>
    <t>HinkleyS_VUWellington</t>
  </si>
  <si>
    <t>TownsendS_VanderbiltU</t>
  </si>
  <si>
    <t>HarrisT_VanderbiltU</t>
  </si>
  <si>
    <t>SergiyK_KKharivNU</t>
  </si>
  <si>
    <t>MTA 16</t>
  </si>
  <si>
    <t>MarsaultE_USherbrooke</t>
  </si>
  <si>
    <t>SpinoC_USherbrooke</t>
  </si>
  <si>
    <t>RafeiM_UMontreal</t>
  </si>
  <si>
    <t>MTA 04; Including Malaria (to be confirmed)</t>
  </si>
  <si>
    <t>ComteA_ULyon1</t>
  </si>
  <si>
    <t>SchroederJ_UHSchleswig</t>
  </si>
  <si>
    <t>MTA 39</t>
  </si>
  <si>
    <t>BurgerA_UWesternCape</t>
  </si>
  <si>
    <t>YoungD_USC</t>
  </si>
  <si>
    <t>BillonesJ_UPhilippinesManila</t>
  </si>
  <si>
    <t>AlbertoR_UZurich</t>
  </si>
  <si>
    <t>JonesS_UWolverhampton</t>
  </si>
  <si>
    <t>CG00049</t>
  </si>
  <si>
    <t>PiggottM_UWA</t>
  </si>
  <si>
    <t>SadlerP_UWarwick</t>
  </si>
  <si>
    <t>Natursl Sciences</t>
  </si>
  <si>
    <t>BeckfordF_UVirginiaCollWise</t>
  </si>
  <si>
    <t>MaulideN_UVienna</t>
  </si>
  <si>
    <t>WulffJ_UVictoria</t>
  </si>
  <si>
    <t>WinterJ_UUtah</t>
  </si>
  <si>
    <t>ZieglerT_UTuebignen</t>
  </si>
  <si>
    <t>AlessioE_UTrieste</t>
  </si>
  <si>
    <t>Faculty of Science; Chemical Technology Unit </t>
  </si>
  <si>
    <t>MTA 25</t>
  </si>
  <si>
    <t>SucklingC_UStrathclyde</t>
  </si>
  <si>
    <t>GemmaS_USiena</t>
  </si>
  <si>
    <t>SirajudDinM_USTBannu</t>
  </si>
  <si>
    <t>CleggJ_UQ</t>
  </si>
  <si>
    <t>ClarkR_UQ</t>
  </si>
  <si>
    <t>CoulsonE_UQ</t>
  </si>
  <si>
    <t>KingG_UQ</t>
  </si>
  <si>
    <t>CooperM_UQ</t>
  </si>
  <si>
    <t>DillyJ_UQ</t>
  </si>
  <si>
    <t>AlewoodP_UQ</t>
  </si>
  <si>
    <t>CraikD_UQ</t>
  </si>
  <si>
    <t>Heartley Teakle building, room N203_x000D_
St. Lucia</t>
  </si>
  <si>
    <t>KervenG_UQ</t>
  </si>
  <si>
    <t>TurnerM_UQ</t>
  </si>
  <si>
    <t xml:space="preserve">20 Cornwall Street, Woolloongabba 4102 </t>
  </si>
  <si>
    <t>ParekhH_UQ</t>
  </si>
  <si>
    <t>306 Carmody Road, St. Lucia QLD 4072</t>
  </si>
  <si>
    <t>RobertsonA_UQ</t>
  </si>
  <si>
    <t>CG00275</t>
  </si>
  <si>
    <t>LaycockB_UQ</t>
  </si>
  <si>
    <t>KobeB_UQ</t>
  </si>
  <si>
    <t>McGearyR_UQ</t>
  </si>
  <si>
    <t>BorgesF_UPorto</t>
  </si>
  <si>
    <t>CagideF_UPorto</t>
  </si>
  <si>
    <t>MTA 21</t>
  </si>
  <si>
    <t>MoloneyM_UOxford</t>
  </si>
  <si>
    <t>CookG_UOtago</t>
  </si>
  <si>
    <t>MTA 06</t>
  </si>
  <si>
    <t>LamH_UNottingham</t>
  </si>
  <si>
    <t>MoodyC_UNottingham</t>
  </si>
  <si>
    <t>DraperJ_UNorthwesternStPaul</t>
  </si>
  <si>
    <t>MTA 31</t>
  </si>
  <si>
    <t>McCluskeyA_UNewcastle</t>
  </si>
  <si>
    <t>HunterL_UNSW</t>
  </si>
  <si>
    <t>Conda-SheridanM_UNebraskaMC</t>
  </si>
  <si>
    <t>HopkinsC_UNebraskaMC</t>
  </si>
  <si>
    <t>University of Natural Resources and Life (BOKU)</t>
  </si>
  <si>
    <t>KosmaP_BOKU</t>
  </si>
  <si>
    <t>AbachiF_UMosul</t>
  </si>
  <si>
    <t>StierleA_UMontana</t>
  </si>
  <si>
    <t>HoyeT_UMinnesota</t>
  </si>
  <si>
    <t>ConnalL_UMelbourne</t>
  </si>
  <si>
    <t>SeparovicF_UMelbourne</t>
  </si>
  <si>
    <t>WadeJ_UMelbourne</t>
  </si>
  <si>
    <t>YanM_UMasssL</t>
  </si>
  <si>
    <t>GreaneyM_UManchester</t>
  </si>
  <si>
    <t>KimberM_ULoughborough</t>
  </si>
  <si>
    <t>McGowanP_ULeeds</t>
  </si>
  <si>
    <t>WillansC_ULeeds</t>
  </si>
  <si>
    <t>GovenderT_UKwaZuluNatal</t>
  </si>
  <si>
    <t>SinghP_UKwaZuluNatal</t>
  </si>
  <si>
    <t>SalemA_UIowa</t>
  </si>
  <si>
    <t>KroutilW_UGraz</t>
  </si>
  <si>
    <t>ShaverM_UEdinburgh</t>
  </si>
  <si>
    <t>HopeA_UDundee</t>
  </si>
  <si>
    <t>MTA 30</t>
  </si>
  <si>
    <t>WatsonD_UDelaware</t>
  </si>
  <si>
    <t>KudiM_UCentLancashire</t>
  </si>
  <si>
    <t>ChibaleK_UCapetown</t>
  </si>
  <si>
    <t>RensloA_UCSF</t>
  </si>
  <si>
    <t>NeitzJ_UCSF</t>
  </si>
  <si>
    <t>MTA 09</t>
  </si>
  <si>
    <t>AggarwalV_UBristol</t>
  </si>
  <si>
    <t>PikeS_UBradford</t>
  </si>
  <si>
    <t>PeacockA_UBirmingham</t>
  </si>
  <si>
    <t>BullS_UBath</t>
  </si>
  <si>
    <t>PotterB_UBath</t>
  </si>
  <si>
    <t>SperryJ_UAuckland</t>
  </si>
  <si>
    <t>JoseJ_UAuckland</t>
  </si>
  <si>
    <t>BarkerD_UAuckland</t>
  </si>
  <si>
    <t>CoppB_UAuckland</t>
  </si>
  <si>
    <t>ReynissonJ_UAuckland</t>
  </si>
  <si>
    <t>BrimbleM_UAuckland</t>
  </si>
  <si>
    <t>CrooksP_UArkansasMS</t>
  </si>
  <si>
    <t>HulmeC_UArizona</t>
  </si>
  <si>
    <t>MTA 33</t>
  </si>
  <si>
    <t>HallD_UAlberta</t>
  </si>
  <si>
    <t>AbellA_UAdelaide</t>
  </si>
  <si>
    <t>BellS_UAdelaide</t>
  </si>
  <si>
    <t>MTA 11,12</t>
  </si>
  <si>
    <t>McCarthyF_UCCork</t>
  </si>
  <si>
    <t>NeelaV_UPutraM</t>
  </si>
  <si>
    <t>GranellJ_UBarcelona</t>
  </si>
  <si>
    <t>PalermoJ_UBuenosAires</t>
  </si>
  <si>
    <t>DuranF_UBuenosAires</t>
  </si>
  <si>
    <t>AredesP_UNTucuman</t>
  </si>
  <si>
    <t>GeorgeJ_UAdelaide</t>
  </si>
  <si>
    <t>SmirnovaI_Ufa</t>
  </si>
  <si>
    <t>CookJ_UWMilwaukee</t>
  </si>
  <si>
    <t>MKS_TumkurU</t>
  </si>
  <si>
    <t>Calibr</t>
  </si>
  <si>
    <t>BroadInstitute</t>
  </si>
  <si>
    <t>PhambuN_TennesseSU</t>
  </si>
  <si>
    <t>MTA 01</t>
  </si>
  <si>
    <t>CarmeliS_TelAvivU</t>
  </si>
  <si>
    <t>BojarskaJ_TULodz</t>
  </si>
  <si>
    <t>BreinbauerR_TUGraz</t>
  </si>
  <si>
    <t>BodeJ_ETH</t>
  </si>
  <si>
    <t>Abdel-JalilR_SQaboosU</t>
  </si>
  <si>
    <t>ChellanP_StellenboschU</t>
  </si>
  <si>
    <t>StraussE_StellenboschU</t>
  </si>
  <si>
    <t>CO-ADD</t>
  </si>
  <si>
    <t>CamenischT_SJohnFisherC</t>
  </si>
  <si>
    <t>VanangamudiM_SVCoP</t>
  </si>
  <si>
    <t>ElsawahD_SinaiU</t>
  </si>
  <si>
    <t>SharplessK_Scripps</t>
  </si>
  <si>
    <t>KhuntR_SaurashtraU</t>
  </si>
  <si>
    <t>ModhaJ_SaurashtraU</t>
  </si>
  <si>
    <t>PatelH_SardarPatelU</t>
  </si>
  <si>
    <t>GossageR_RyersonU</t>
  </si>
  <si>
    <t>Including Malaria</t>
  </si>
  <si>
    <t>SemenovV_RusAcadSci</t>
  </si>
  <si>
    <t>SchulzF_RU-Bochum</t>
  </si>
  <si>
    <t>JonnalgaddaS_RowanU</t>
  </si>
  <si>
    <t>PatilS_RFUMedSAci</t>
  </si>
  <si>
    <t>Raghavendra Institute of Pharmaceutical education and Research</t>
  </si>
  <si>
    <t>PeramanR_RIPER</t>
  </si>
  <si>
    <t>BolmC_RWTHAachenU</t>
  </si>
  <si>
    <t>KhedekarP_RTM</t>
  </si>
  <si>
    <t>UrbanS_RMIT</t>
  </si>
  <si>
    <t>BankhedeH_RKDF</t>
  </si>
  <si>
    <t>AllenbyM_QUT</t>
  </si>
  <si>
    <t>OlejniczakA_PolishAcadSci</t>
  </si>
  <si>
    <t>MaslivetsA_PermStateU</t>
  </si>
  <si>
    <t>EckroatT_PennStateBehrend</t>
  </si>
  <si>
    <t>LuoT_PekingU</t>
  </si>
  <si>
    <t>GambinoD_PedecibaU</t>
  </si>
  <si>
    <t>Al-NourM_OmdurumIU</t>
  </si>
  <si>
    <t>SuslovE_NovosibirskIOC</t>
  </si>
  <si>
    <t>CG00091</t>
  </si>
  <si>
    <t>VolchoK_NovosibirskIOC</t>
  </si>
  <si>
    <t>HallM_NewcastleU</t>
  </si>
  <si>
    <t>GoM_NUS</t>
  </si>
  <si>
    <t>MTA 02</t>
  </si>
  <si>
    <t>DickT_NUS</t>
  </si>
  <si>
    <t>DymockB_NUS</t>
  </si>
  <si>
    <t>MurphyP_NUIGalway</t>
  </si>
  <si>
    <t>Igglessi-MarkopoulouO_NTUAthen</t>
  </si>
  <si>
    <t>TanaseC_NICPRD</t>
  </si>
  <si>
    <t>HinksJ_NanyangTU</t>
  </si>
  <si>
    <t>KumarasamyD_NSHM</t>
  </si>
  <si>
    <t>KharkarP_NMIMSU</t>
  </si>
  <si>
    <t>WestcottS_MtAllisonU</t>
  </si>
  <si>
    <t>VelkovT_Monash</t>
  </si>
  <si>
    <t>BaellJ_Monash</t>
  </si>
  <si>
    <t>381 Royal Parade, Parkville, VIC 3052</t>
  </si>
  <si>
    <t>NortonR_Monash</t>
  </si>
  <si>
    <t>LuptonD_Monash</t>
  </si>
  <si>
    <t>McGowanS_Monash</t>
  </si>
  <si>
    <t>TuckK_Monash</t>
  </si>
  <si>
    <t>CreutzS_MississippiSU</t>
  </si>
  <si>
    <t>DubovisM_MUCTRussia</t>
  </si>
  <si>
    <t>KertonF_MUNewfoundland</t>
  </si>
  <si>
    <t>283 Prince Philip Drive, St. John¿s, NL, A1B 3X7</t>
  </si>
  <si>
    <t>LiuY_MUNewfoundland</t>
  </si>
  <si>
    <t>GeorghiouP_MUNewfoundland</t>
  </si>
  <si>
    <t>MTA 38</t>
  </si>
  <si>
    <t>TanD_MSKCC</t>
  </si>
  <si>
    <t>MMV</t>
  </si>
  <si>
    <t>GruberC_MedUniVienna</t>
  </si>
  <si>
    <t>HamannM_MUSouthCarolina</t>
  </si>
  <si>
    <t>SvendaJ_MasarykU</t>
  </si>
  <si>
    <t>SimonL_Manipal</t>
  </si>
  <si>
    <t>NayakS_MangaloreU</t>
  </si>
  <si>
    <t>#329 MMEC Block -1, Maharishi Markandeshwar University Mullana, Haryana - 133207</t>
  </si>
  <si>
    <t>SinghK_UMullana</t>
  </si>
  <si>
    <t>GodhaniD_MKBU</t>
  </si>
  <si>
    <t>KarusoP_MacquarieU</t>
  </si>
  <si>
    <t>CBMS</t>
  </si>
  <si>
    <t>YinP_MacquarieU</t>
  </si>
  <si>
    <t>CharlsonA_MacquarieU</t>
  </si>
  <si>
    <t>KuemmererK_ULueneberg</t>
  </si>
  <si>
    <t>CooganM_LancasterU</t>
  </si>
  <si>
    <t>MosesJ_LaTrobe</t>
  </si>
  <si>
    <t>KeumG_KIST</t>
  </si>
  <si>
    <t>ZalevskayaO_KomiSC</t>
  </si>
  <si>
    <t>BariA_KIingSaudU</t>
  </si>
  <si>
    <t>MTA 13</t>
  </si>
  <si>
    <t>HelledayT_Karolinska</t>
  </si>
  <si>
    <t>HammarströmL_Karolinska</t>
  </si>
  <si>
    <t>MTA 17, 34; Including Malaria</t>
  </si>
  <si>
    <t>MTA 10</t>
  </si>
  <si>
    <t>DeJongheS_KULeven</t>
  </si>
  <si>
    <t>Green Fields, Vaddeswaram
Vaddeswaram-522502
Guntur (Dist), Andhra pradesh</t>
  </si>
  <si>
    <t>PrasadK_KLU</t>
  </si>
  <si>
    <t>AkhterM_JamiaHamdard</t>
  </si>
  <si>
    <t>DalyN_JCU</t>
  </si>
  <si>
    <t>Jain Global Campus Jakkasandra Post, Kanakapura Main Road, Ramanagara District, Bengaluru, 562112 Karnataka</t>
  </si>
  <si>
    <t>BudagumpiS_JainU</t>
  </si>
  <si>
    <t>TyagiA_JainU</t>
  </si>
  <si>
    <t>PatilS_JainU</t>
  </si>
  <si>
    <t>AnatolyD_IPUkraine</t>
  </si>
  <si>
    <t>SpivakA_IPC</t>
  </si>
  <si>
    <t>ParfenovaL_IPC</t>
  </si>
  <si>
    <t>BdzholaV_NASU</t>
  </si>
  <si>
    <t>TelvekarV_ICTMumbai</t>
  </si>
  <si>
    <t>YangY_IBN</t>
  </si>
  <si>
    <t>TantravahiS_IndiraGandhiNTU</t>
  </si>
  <si>
    <t>ScottW_IUPIndiana</t>
  </si>
  <si>
    <t>ChatterjeeJ_IndianInstSci</t>
  </si>
  <si>
    <t>ORGANIC &amp; MEDICINAL CHEMISTRY</t>
  </si>
  <si>
    <t>ChowduryC_IICB</t>
  </si>
  <si>
    <t>MTA 05</t>
  </si>
  <si>
    <t>LongN_ImperialC</t>
  </si>
  <si>
    <t>SerrarH_IbnTofailU</t>
  </si>
  <si>
    <t>KesavanV_IITMadras</t>
  </si>
  <si>
    <t>EchavarreA_ICIQ</t>
  </si>
  <si>
    <t>Helmholtz Institute for Pharmaceutical Research Saarland (HIPS)</t>
  </si>
  <si>
    <t>HIPS</t>
  </si>
  <si>
    <t>GhinetA_HEI</t>
  </si>
  <si>
    <t>MajireckM_HamiltonU</t>
  </si>
  <si>
    <t>CpOz</t>
  </si>
  <si>
    <t>Eskitis Institute for Drug Discovery</t>
  </si>
  <si>
    <t>AbadiA_GUCairo</t>
  </si>
  <si>
    <t>SrinivasanB_GeorgiaIT</t>
  </si>
  <si>
    <t>DowdC_GWashingtonU</t>
  </si>
  <si>
    <t>PerkinsM_FlindersU</t>
  </si>
  <si>
    <t>JahangirS_Fuuast</t>
  </si>
  <si>
    <t>CunhaR_UFABC</t>
  </si>
  <si>
    <t>SchneiderG_ETH</t>
  </si>
  <si>
    <t>El-HawashS_UAlexandria</t>
  </si>
  <si>
    <t>DysonP_EPFL</t>
  </si>
  <si>
    <t>CobbS_DurhamU</t>
  </si>
  <si>
    <t>TigoteR_DBAMU</t>
  </si>
  <si>
    <t>PawarR_DeogiriCol</t>
  </si>
  <si>
    <t>PfefferF_DeakinU</t>
  </si>
  <si>
    <t>LiuJ_DalainUT</t>
  </si>
  <si>
    <t>MassiM_CurtinU</t>
  </si>
  <si>
    <t>Meiring Naude Rd, Brummeria, Pretoria, 0001</t>
  </si>
  <si>
    <t>WilsonJ_CornellU</t>
  </si>
  <si>
    <t>Contract</t>
  </si>
  <si>
    <t>SutherlandT_CSIRO</t>
  </si>
  <si>
    <t>SavageP_CSIRO</t>
  </si>
  <si>
    <t>PetrukhinK_ColumbiaU</t>
  </si>
  <si>
    <t>MTA 07, 08</t>
  </si>
  <si>
    <t>LuangruangrongK_ChulalongkornU</t>
  </si>
  <si>
    <t>MTA 03</t>
  </si>
  <si>
    <t>Centre national de la recherche scientifique</t>
  </si>
  <si>
    <t>JauffertP_CNRS</t>
  </si>
  <si>
    <t>SimonsC_CardiffU</t>
  </si>
  <si>
    <t>StoltzB_CalTech</t>
  </si>
  <si>
    <t>KantevariS_CSIR-IN</t>
  </si>
  <si>
    <t>MTA 27; Including Malaria</t>
  </si>
  <si>
    <t>PorcoJ_BostonU</t>
  </si>
  <si>
    <t>MTA 27</t>
  </si>
  <si>
    <t>SnyderJ_BostonU</t>
  </si>
  <si>
    <t>CoutinhoE_PharmacyU</t>
  </si>
  <si>
    <t>YousfiT_CRBt</t>
  </si>
  <si>
    <t>MohrF_BUWuppertal</t>
  </si>
  <si>
    <t>WoodJ_BaylorU</t>
  </si>
  <si>
    <t>PrC_BangaloreU</t>
  </si>
  <si>
    <t>JagtapS_SPPuneU</t>
  </si>
  <si>
    <t>GaneshM_BMSCoE</t>
  </si>
  <si>
    <t>NitscheC_ANU</t>
  </si>
  <si>
    <t>ManS_ANU</t>
  </si>
  <si>
    <t>MalinsL_ANU</t>
  </si>
  <si>
    <t>QayedW_AssiutU</t>
  </si>
  <si>
    <t>ZingalesS_ArmstrongSU</t>
  </si>
  <si>
    <t>AlamM_ArkansasSU</t>
  </si>
  <si>
    <t>ZamanAshrafM_AIOUIslamabad</t>
  </si>
  <si>
    <t>AbdulwahabH_AlAzharU</t>
  </si>
  <si>
    <t>ElzahabiH_AlAzharU</t>
  </si>
  <si>
    <t>RobinM_AixMarseilleU</t>
  </si>
  <si>
    <t>AbouzidK_AinShamsU</t>
  </si>
  <si>
    <t>LiowS_AStar</t>
  </si>
  <si>
    <t>LeeK_AbileneCU</t>
  </si>
  <si>
    <t>Modern University for Technology and Information</t>
  </si>
  <si>
    <t>University of Lisbon</t>
  </si>
  <si>
    <t>National Center for Radiation Research and Technology (NCRRT)</t>
  </si>
  <si>
    <t>University of Northwestern St Paul</t>
  </si>
  <si>
    <t>University of Wisconsin River Falls</t>
  </si>
  <si>
    <t>University of St Thomas</t>
  </si>
  <si>
    <t>HerrmannI_ETH</t>
  </si>
  <si>
    <t>James Cook University (JCU)</t>
  </si>
  <si>
    <t>Reported</t>
  </si>
  <si>
    <t>GARDP HIPS Myxobacteria Extracts</t>
  </si>
  <si>
    <t>GARDP_01</t>
  </si>
  <si>
    <t>HIPS (Germany) - Natural Products</t>
  </si>
  <si>
    <t>Natural Products</t>
  </si>
  <si>
    <t>HIPS_C01</t>
  </si>
  <si>
    <t>HIPS_C02</t>
  </si>
  <si>
    <t>HIPS (Germany) - Myxobateria Extracts</t>
  </si>
  <si>
    <t>Myxobacteria Extract 2019-07</t>
  </si>
  <si>
    <t>HIPS_E01</t>
  </si>
  <si>
    <t>HIPS_E02</t>
  </si>
  <si>
    <t>CO-ADD:PL0026</t>
  </si>
  <si>
    <t>MMV (CH) - Biofocus 1</t>
  </si>
  <si>
    <t>Agreement</t>
  </si>
  <si>
    <t>BioFocus 1</t>
  </si>
  <si>
    <t>MMV2</t>
  </si>
  <si>
    <t>CO-ADD:PL0027</t>
  </si>
  <si>
    <t>MMV (CH) - Biofocus 2</t>
  </si>
  <si>
    <t>BioFocus 2 (2013-2015)</t>
  </si>
  <si>
    <t>MMV3</t>
  </si>
  <si>
    <t>CO-ADD:PL0025</t>
  </si>
  <si>
    <t>MMV (CH) - Small Polar Library</t>
  </si>
  <si>
    <t>Public</t>
  </si>
  <si>
    <t>Small Polar Library (UoDundee)</t>
  </si>
  <si>
    <t>MMV4</t>
  </si>
  <si>
    <t>CO-ADD:PL0060</t>
  </si>
  <si>
    <t>CSIRO (Australia) - Synthetic  Library I</t>
  </si>
  <si>
    <t>Collaboration</t>
  </si>
  <si>
    <t>Lib01</t>
  </si>
  <si>
    <t>P0001</t>
  </si>
  <si>
    <t>CO-ADD:PC0002</t>
  </si>
  <si>
    <t>NoData</t>
  </si>
  <si>
    <t>P0002</t>
  </si>
  <si>
    <t>CO-ADD:PC0003</t>
  </si>
  <si>
    <t>WADI</t>
  </si>
  <si>
    <t>P0003</t>
  </si>
  <si>
    <t>CO-ADD:PC0004</t>
  </si>
  <si>
    <t>MissingData</t>
  </si>
  <si>
    <t>P0004</t>
  </si>
  <si>
    <t>CO-ADD:PC0005</t>
  </si>
  <si>
    <t>P0005</t>
  </si>
  <si>
    <t>CO-ADD:PC0006</t>
  </si>
  <si>
    <t>P0006</t>
  </si>
  <si>
    <t>CO-ADD:PC0007</t>
  </si>
  <si>
    <t>P0007</t>
  </si>
  <si>
    <t>CO-ADD:PC0008</t>
  </si>
  <si>
    <t>P0008</t>
  </si>
  <si>
    <t>CO-ADD:PC0009</t>
  </si>
  <si>
    <t>Priya.Jaishankar@ucsf.edu</t>
  </si>
  <si>
    <t>P0009</t>
  </si>
  <si>
    <t>CO-ADD:PC0010</t>
  </si>
  <si>
    <t>P0010</t>
  </si>
  <si>
    <t>CO-ADD:PC0011</t>
  </si>
  <si>
    <t>P0011</t>
  </si>
  <si>
    <t>CO-ADD:PC0012</t>
  </si>
  <si>
    <t>P0012</t>
  </si>
  <si>
    <t>CO-ADD:PC0013</t>
  </si>
  <si>
    <t>P0013</t>
  </si>
  <si>
    <t>CO-ADD:PC0014</t>
  </si>
  <si>
    <t>P0014</t>
  </si>
  <si>
    <t>CO-ADD:PC0015</t>
  </si>
  <si>
    <t>P0015</t>
  </si>
  <si>
    <t>CO-ADD:PC0016</t>
  </si>
  <si>
    <t>P0016</t>
  </si>
  <si>
    <t>CO-ADD:PC0017</t>
  </si>
  <si>
    <t>P0017</t>
  </si>
  <si>
    <t>CO-ADD:PC0018</t>
  </si>
  <si>
    <t>P0018</t>
  </si>
  <si>
    <t>CO-ADD:PC0019</t>
  </si>
  <si>
    <t>P0019</t>
  </si>
  <si>
    <t>CO-ADD:PC0020</t>
  </si>
  <si>
    <t>P0020</t>
  </si>
  <si>
    <t>CO-ADD:PC0021</t>
  </si>
  <si>
    <t>P0021</t>
  </si>
  <si>
    <t>CO-ADD:PC0022</t>
  </si>
  <si>
    <t>P0022</t>
  </si>
  <si>
    <t>CO-ADD:PC0023</t>
  </si>
  <si>
    <t>P0023</t>
  </si>
  <si>
    <t>CO-ADD:PC0024</t>
  </si>
  <si>
    <t>Zyta Ziora</t>
  </si>
  <si>
    <t>P0024</t>
  </si>
  <si>
    <t>CO-ADD:PC0025</t>
  </si>
  <si>
    <t>P0025</t>
  </si>
  <si>
    <t>CO-ADD:PC0026</t>
  </si>
  <si>
    <t>P0026</t>
  </si>
  <si>
    <t>CO-ADD:PC0027</t>
  </si>
  <si>
    <t>P0027</t>
  </si>
  <si>
    <t>CO-ADD:PC0028</t>
  </si>
  <si>
    <t>P0028</t>
  </si>
  <si>
    <t>CO-ADD:PC0029</t>
  </si>
  <si>
    <t>P0029</t>
  </si>
  <si>
    <t>CO-ADD:PC0030</t>
  </si>
  <si>
    <t>P0030</t>
  </si>
  <si>
    <t>CO-ADD:PC0031</t>
  </si>
  <si>
    <t>P0031</t>
  </si>
  <si>
    <t>CO-ADD:PC0032</t>
  </si>
  <si>
    <t>P0032</t>
  </si>
  <si>
    <t>CO-ADD:PC0033</t>
  </si>
  <si>
    <t>P0033</t>
  </si>
  <si>
    <t>CO-ADD:PC0034</t>
  </si>
  <si>
    <t>P0034</t>
  </si>
  <si>
    <t>CO-ADD:PC0035</t>
  </si>
  <si>
    <t>P0035</t>
  </si>
  <si>
    <t>CO-ADD:PC0036</t>
  </si>
  <si>
    <t>P0036</t>
  </si>
  <si>
    <t>CO-ADD:PC0037</t>
  </si>
  <si>
    <t>P0037</t>
  </si>
  <si>
    <t>CO-ADD:PC0038</t>
  </si>
  <si>
    <t>P0038</t>
  </si>
  <si>
    <t>CO-ADD:PC0039</t>
  </si>
  <si>
    <t>P0039</t>
  </si>
  <si>
    <t>CO-ADD:PC0040</t>
  </si>
  <si>
    <t>P0040</t>
  </si>
  <si>
    <t>CO-ADD:PC0041</t>
  </si>
  <si>
    <t>P0041</t>
  </si>
  <si>
    <t>CO-ADD:PC0042</t>
  </si>
  <si>
    <t>University of Queensland (Australia)</t>
  </si>
  <si>
    <t>P0042</t>
  </si>
  <si>
    <t>CO-ADD:PC0043</t>
  </si>
  <si>
    <t>P0043</t>
  </si>
  <si>
    <t>CO-ADD:PC0044</t>
  </si>
  <si>
    <t>P0044</t>
  </si>
  <si>
    <t>CO-ADD:PC0045</t>
  </si>
  <si>
    <t>P0045</t>
  </si>
  <si>
    <t>CO-ADD:PC0046</t>
  </si>
  <si>
    <t>P0046</t>
  </si>
  <si>
    <t>CO-ADD:PC0047</t>
  </si>
  <si>
    <t>P0047</t>
  </si>
  <si>
    <t>CO-ADD:PC0048</t>
  </si>
  <si>
    <t>P0048</t>
  </si>
  <si>
    <t>CO-ADD:PC0049</t>
  </si>
  <si>
    <t>P0049</t>
  </si>
  <si>
    <t>CO-ADD:PC0050</t>
  </si>
  <si>
    <t>P0050</t>
  </si>
  <si>
    <t>CO-ADD:PC0051</t>
  </si>
  <si>
    <t>P0051</t>
  </si>
  <si>
    <t>CO-ADD:PC0052</t>
  </si>
  <si>
    <t>P0052</t>
  </si>
  <si>
    <t>CO-ADD:PC0053</t>
  </si>
  <si>
    <t>P0053</t>
  </si>
  <si>
    <t>CO-ADD:PC0054</t>
  </si>
  <si>
    <t>P0054</t>
  </si>
  <si>
    <t>CO-ADD:PC0055</t>
  </si>
  <si>
    <t>P0055</t>
  </si>
  <si>
    <t>CO-ADD:PC0056</t>
  </si>
  <si>
    <t>P0056</t>
  </si>
  <si>
    <t>CO-ADD:PC0057</t>
  </si>
  <si>
    <t>P0057</t>
  </si>
  <si>
    <t>CO-ADD:PC0058</t>
  </si>
  <si>
    <t>P0058</t>
  </si>
  <si>
    <t>CO-ADD:PC0059</t>
  </si>
  <si>
    <t>P0059</t>
  </si>
  <si>
    <t>CO-ADD:PC0060</t>
  </si>
  <si>
    <t>P0060</t>
  </si>
  <si>
    <t>CO-ADD:PC0061</t>
  </si>
  <si>
    <t>P0061</t>
  </si>
  <si>
    <t>CO-ADD:PC0062</t>
  </si>
  <si>
    <t>P0062</t>
  </si>
  <si>
    <t>CO-ADD:PC0063</t>
  </si>
  <si>
    <t>P0063</t>
  </si>
  <si>
    <t>CO-ADD:PC0064</t>
  </si>
  <si>
    <t>P0064</t>
  </si>
  <si>
    <t>CO-ADD:PC0065</t>
  </si>
  <si>
    <t>P0065</t>
  </si>
  <si>
    <t>CO-ADD:PC0066</t>
  </si>
  <si>
    <t>P0066</t>
  </si>
  <si>
    <t>CO-ADD:PC0067</t>
  </si>
  <si>
    <t>P0067</t>
  </si>
  <si>
    <t>CO-ADD:PC0068</t>
  </si>
  <si>
    <t>RKDF (India)</t>
  </si>
  <si>
    <t>P0068</t>
  </si>
  <si>
    <t>CO-ADD:PC0069</t>
  </si>
  <si>
    <t>P0069</t>
  </si>
  <si>
    <t>CO-ADD:PL0011</t>
  </si>
  <si>
    <t>NIH/NCI (USA) - Diversity Set V</t>
  </si>
  <si>
    <t>Diversity Set V</t>
  </si>
  <si>
    <t>P0070</t>
  </si>
  <si>
    <t>CO-ADD:PC0071</t>
  </si>
  <si>
    <t>P0071</t>
  </si>
  <si>
    <t>CO-ADD:PC0072</t>
  </si>
  <si>
    <t>P0072</t>
  </si>
  <si>
    <t>CO-ADD:PC0073</t>
  </si>
  <si>
    <t>P0073</t>
  </si>
  <si>
    <t>CO-ADD:PC0074</t>
  </si>
  <si>
    <t>P0074</t>
  </si>
  <si>
    <t>CO-ADD:PC0075</t>
  </si>
  <si>
    <t>L01</t>
  </si>
  <si>
    <t>P0075</t>
  </si>
  <si>
    <t>CO-ADD:PC0076</t>
  </si>
  <si>
    <t>Russian Academy of Science (Russia)</t>
  </si>
  <si>
    <t>P0076</t>
  </si>
  <si>
    <t>CO-ADD:PC0077</t>
  </si>
  <si>
    <t>P0077</t>
  </si>
  <si>
    <t>CO-ADD:PC0078</t>
  </si>
  <si>
    <t>P0078</t>
  </si>
  <si>
    <t>CO-ADD:PC0079</t>
  </si>
  <si>
    <t>University of Strathclyde (UK)</t>
  </si>
  <si>
    <t>P0079</t>
  </si>
  <si>
    <t>CO-ADD:PC0080</t>
  </si>
  <si>
    <t>P0080</t>
  </si>
  <si>
    <t>CO-ADD:PC0081</t>
  </si>
  <si>
    <t>P0081</t>
  </si>
  <si>
    <t>CO-ADD:PC0082</t>
  </si>
  <si>
    <t>P0082</t>
  </si>
  <si>
    <t>CO-ADD:PC0083</t>
  </si>
  <si>
    <t>Ping Yin to move soon, new contact email_x000D_
ping.yin.icloud@gmail.com</t>
  </si>
  <si>
    <t>P0083</t>
  </si>
  <si>
    <t>CO-ADD:PC0084</t>
  </si>
  <si>
    <t>HC data sent out, repeats are required on skips - skips will not be repeated due to insolubility and lack of compound</t>
  </si>
  <si>
    <t>P0084</t>
  </si>
  <si>
    <t>CO-ADD:PC0085</t>
  </si>
  <si>
    <t>P0085</t>
  </si>
  <si>
    <t>CO-ADD:PC0086</t>
  </si>
  <si>
    <t>1-519-888-4567x31033</t>
  </si>
  <si>
    <t>P0086</t>
  </si>
  <si>
    <t>CO-ADD:PC0087</t>
  </si>
  <si>
    <t>L02</t>
  </si>
  <si>
    <t>P0087</t>
  </si>
  <si>
    <t>CO-ADD:PC0088</t>
  </si>
  <si>
    <t>P0088</t>
  </si>
  <si>
    <t>CO-ADD:PC0089</t>
  </si>
  <si>
    <t>P0089</t>
  </si>
  <si>
    <t>CO-ADD:PC0090</t>
  </si>
  <si>
    <t>P0090</t>
  </si>
  <si>
    <t>CO-ADD:PC0091</t>
  </si>
  <si>
    <t>AB needed repeat</t>
  </si>
  <si>
    <t>P0091</t>
  </si>
  <si>
    <t>CO-ADD:PC0092</t>
  </si>
  <si>
    <t>P0092</t>
  </si>
  <si>
    <t>CO-ADD:PC0093</t>
  </si>
  <si>
    <t>Compound 1 sent back to collaborator prior to PS as requested. Therefore has not been through PS yet.</t>
  </si>
  <si>
    <t>P0093</t>
  </si>
  <si>
    <t>CO-ADD:PC0094</t>
  </si>
  <si>
    <t>Anticancer compounds._x000D_
Second HC report sent 20/6/2016, skipped compound in previous report</t>
  </si>
  <si>
    <t>P0094</t>
  </si>
  <si>
    <t>CO-ADD:PC0095</t>
  </si>
  <si>
    <t>P0095</t>
  </si>
  <si>
    <t>CO-ADD:PC0096</t>
  </si>
  <si>
    <t>P0096</t>
  </si>
  <si>
    <t>CO-ADD:PC0097</t>
  </si>
  <si>
    <t>HC data sent out, repeats are required on skips - yet to be scheduled</t>
  </si>
  <si>
    <t>P0097</t>
  </si>
  <si>
    <t>CO-ADD:PC0098</t>
  </si>
  <si>
    <t>P0098</t>
  </si>
  <si>
    <t>CO-ADD:PC0099</t>
  </si>
  <si>
    <t>P0099</t>
  </si>
  <si>
    <t>CO-ADD:PC0100</t>
  </si>
  <si>
    <t>P0100</t>
  </si>
  <si>
    <t>CO-ADD:PC0101</t>
  </si>
  <si>
    <t>P0101</t>
  </si>
  <si>
    <t>CO-ADD:PC0102</t>
  </si>
  <si>
    <t>University of Manchester (UK)</t>
  </si>
  <si>
    <t>P0102</t>
  </si>
  <si>
    <t>CO-ADD:PC0103</t>
  </si>
  <si>
    <t>P0103</t>
  </si>
  <si>
    <t>CO-ADD:PC0104</t>
  </si>
  <si>
    <t>AE re-sent PS report 18/2/2016 as first report had error in hit rate._x000D_
HC data sent out, repeats are required on skips - yet to be scheduled._x000D_
37 inactive compounds from this set are to be filled under patent.. advised 25th Oct 2016.</t>
  </si>
  <si>
    <t>P0104</t>
  </si>
  <si>
    <t>CO-ADD:PC0105</t>
  </si>
  <si>
    <t>P0105</t>
  </si>
  <si>
    <t>CO-ADD:PC0106</t>
  </si>
  <si>
    <t>HC data sent out, repeats are required on skips - yet to be scheduled._x000D_
Hemolysis data sent 29/9/16</t>
  </si>
  <si>
    <t>P0106</t>
  </si>
  <si>
    <t>CO-ADD:PC0107</t>
  </si>
  <si>
    <t>P0107</t>
  </si>
  <si>
    <t>CO-ADD:PC0108</t>
  </si>
  <si>
    <t>Include Jeffrey Bode (PI) on all correspondances</t>
  </si>
  <si>
    <t>P0108</t>
  </si>
  <si>
    <t>CO-ADD:PC0109</t>
  </si>
  <si>
    <t>P0109</t>
  </si>
  <si>
    <t>CO-ADD:PC0110</t>
  </si>
  <si>
    <t>P0110</t>
  </si>
  <si>
    <t>CO-ADD:PC0111</t>
  </si>
  <si>
    <t>P0111</t>
  </si>
  <si>
    <t>CO-ADD:PC0112</t>
  </si>
  <si>
    <t>AE re-sent PS report 18/2/2016 as first report had error in hit rate</t>
  </si>
  <si>
    <t>P0112</t>
  </si>
  <si>
    <t>CO-ADD:PC0113</t>
  </si>
  <si>
    <t>P0113</t>
  </si>
  <si>
    <t>CO-ADD:PC0114</t>
  </si>
  <si>
    <t>P0114</t>
  </si>
  <si>
    <t>CO-ADD:PC0115</t>
  </si>
  <si>
    <t>P0115</t>
  </si>
  <si>
    <t>CO-ADD:PC0116</t>
  </si>
  <si>
    <t>P0116</t>
  </si>
  <si>
    <t>CO-ADD:PC0117</t>
  </si>
  <si>
    <t>P0117</t>
  </si>
  <si>
    <t>CO-ADD:PC0118</t>
  </si>
  <si>
    <t>P0118</t>
  </si>
  <si>
    <t>CO-ADD:PC0119</t>
  </si>
  <si>
    <t>P0119</t>
  </si>
  <si>
    <t>CO-ADD:PC0120</t>
  </si>
  <si>
    <t>P0120</t>
  </si>
  <si>
    <t>CO-ADD:PC0121</t>
  </si>
  <si>
    <t>P0121</t>
  </si>
  <si>
    <t>CO-ADD:PC0122</t>
  </si>
  <si>
    <t>P0122</t>
  </si>
  <si>
    <t>CO-ADD:PC0123</t>
  </si>
  <si>
    <t>P0123</t>
  </si>
  <si>
    <t>CO-ADD:PC0124</t>
  </si>
  <si>
    <t>Solid; &gt;10mg; compounds re-weighed into fresh FluidX tubes and entered as new project P0146</t>
  </si>
  <si>
    <t>P0124</t>
  </si>
  <si>
    <t>CO-ADD:PC0125</t>
  </si>
  <si>
    <t>P0125</t>
  </si>
  <si>
    <t>CO-ADD:PC0126</t>
  </si>
  <si>
    <t>ICBMS</t>
  </si>
  <si>
    <t>P0126</t>
  </si>
  <si>
    <t>CO-ADD:PC0127</t>
  </si>
  <si>
    <t>PKRC</t>
  </si>
  <si>
    <t>P0127</t>
  </si>
  <si>
    <t>CO-ADD:PC0128</t>
  </si>
  <si>
    <t>P0128</t>
  </si>
  <si>
    <t>CO-ADD:PC0129</t>
  </si>
  <si>
    <t>Second HC report sent with missing AB &amp; CA data 21/06/2016</t>
  </si>
  <si>
    <t>P0129</t>
  </si>
  <si>
    <t>CO-ADD:PC0130</t>
  </si>
  <si>
    <t>P0130</t>
  </si>
  <si>
    <t>CO-ADD:PC0131</t>
  </si>
  <si>
    <t>Lancaster University (UK)</t>
  </si>
  <si>
    <t>P0131</t>
  </si>
  <si>
    <t>CO-ADD:PC0132</t>
  </si>
  <si>
    <t>P0132</t>
  </si>
  <si>
    <t>CO-ADD:PC0133</t>
  </si>
  <si>
    <t>P0133</t>
  </si>
  <si>
    <t>CO-ADD:PC0134</t>
  </si>
  <si>
    <t>P0134</t>
  </si>
  <si>
    <t>CO-ADD:PC0135</t>
  </si>
  <si>
    <t>P0135</t>
  </si>
  <si>
    <t>CO-ADD:PC0136</t>
  </si>
  <si>
    <t>P0136</t>
  </si>
  <si>
    <t>CO-ADD:PC0137</t>
  </si>
  <si>
    <t>P0137</t>
  </si>
  <si>
    <t>CO-ADD:PC0138</t>
  </si>
  <si>
    <t>P0138</t>
  </si>
  <si>
    <t>CO-ADD:PC0139</t>
  </si>
  <si>
    <t>Not happy with CO-ADD T&amp;Cs after sending compounds. Instructed Alysha Elliott to destroyed compounds on 09/12/2015. Done</t>
  </si>
  <si>
    <t>P0139</t>
  </si>
  <si>
    <t>CO-ADD:PC0140</t>
  </si>
  <si>
    <t>P0140</t>
  </si>
  <si>
    <t>CO-ADD:PC0141</t>
  </si>
  <si>
    <t>P0141</t>
  </si>
  <si>
    <t>CO-ADD:PC0142</t>
  </si>
  <si>
    <t>P0142</t>
  </si>
  <si>
    <t>CO-ADD:PC0143</t>
  </si>
  <si>
    <t>P0143</t>
  </si>
  <si>
    <t>CO-ADD:PC0144</t>
  </si>
  <si>
    <t>CSIC (Spain)</t>
  </si>
  <si>
    <t>P0144</t>
  </si>
  <si>
    <t>CO-ADD:PC0145</t>
  </si>
  <si>
    <t>L03</t>
  </si>
  <si>
    <t>P0145</t>
  </si>
  <si>
    <t>CO-ADD:PC0146</t>
  </si>
  <si>
    <t>IQOG CSIS (Spain)</t>
  </si>
  <si>
    <t>Compounds submitted as &gt;10mg P0124, compounds re-weighed into fresh FluidX tubes and entered as new project here, P0146</t>
  </si>
  <si>
    <t>P0146</t>
  </si>
  <si>
    <t>CO-ADD:PC0147</t>
  </si>
  <si>
    <t>University of Mosul (Iraq)</t>
  </si>
  <si>
    <t>P0147</t>
  </si>
  <si>
    <t>CO-ADD:PC0148</t>
  </si>
  <si>
    <t>P0148</t>
  </si>
  <si>
    <t>CO-ADD:PC0149</t>
  </si>
  <si>
    <t>P0149</t>
  </si>
  <si>
    <t>CO-ADD:PC0150</t>
  </si>
  <si>
    <t>P0150</t>
  </si>
  <si>
    <t>CO-ADD:PC0151</t>
  </si>
  <si>
    <t>P0151</t>
  </si>
  <si>
    <t>CO-ADD:PC0152</t>
  </si>
  <si>
    <t>P0152</t>
  </si>
  <si>
    <t>CO-ADD:PC0153</t>
  </si>
  <si>
    <t>P0153</t>
  </si>
  <si>
    <t>CO-ADD:PC0154</t>
  </si>
  <si>
    <t>P0154</t>
  </si>
  <si>
    <t>CO-ADD:PC0155</t>
  </si>
  <si>
    <t>P0155</t>
  </si>
  <si>
    <t>CO-ADD:PC0156</t>
  </si>
  <si>
    <t>P0156</t>
  </si>
  <si>
    <t>CO-ADD:PC0157</t>
  </si>
  <si>
    <t>P0157</t>
  </si>
  <si>
    <t>CO-ADD:PC0158</t>
  </si>
  <si>
    <t>P0158</t>
  </si>
  <si>
    <t>CO-ADD:PC0159</t>
  </si>
  <si>
    <t>P0159</t>
  </si>
  <si>
    <t>CO-ADD:PC0160</t>
  </si>
  <si>
    <t>P0160</t>
  </si>
  <si>
    <t>CO-ADD:PC0161</t>
  </si>
  <si>
    <t>P0161</t>
  </si>
  <si>
    <t>CO-ADD:PC0162</t>
  </si>
  <si>
    <t>P0162</t>
  </si>
  <si>
    <t>CO-ADD:PC0163</t>
  </si>
  <si>
    <t>Macquarie University (Australia)</t>
  </si>
  <si>
    <t>P0163</t>
  </si>
  <si>
    <t>CO-ADD:PC0164</t>
  </si>
  <si>
    <t>P0164</t>
  </si>
  <si>
    <t>CO-ADD:PC0165</t>
  </si>
  <si>
    <t>University of Central Lancashire (UK)</t>
  </si>
  <si>
    <t>P0165</t>
  </si>
  <si>
    <t>CO-ADD:PC0166</t>
  </si>
  <si>
    <t>P0166</t>
  </si>
  <si>
    <t>CO-ADD:PC0167</t>
  </si>
  <si>
    <t>P0167</t>
  </si>
  <si>
    <t>CO-ADD:PC0168</t>
  </si>
  <si>
    <t>L04</t>
  </si>
  <si>
    <t>P0168</t>
  </si>
  <si>
    <t>CO-ADD:PC0169</t>
  </si>
  <si>
    <t>P0169</t>
  </si>
  <si>
    <t>CO-ADD:PC0170</t>
  </si>
  <si>
    <t>P0170</t>
  </si>
  <si>
    <t>CO-ADD:PC0171</t>
  </si>
  <si>
    <t>P0171</t>
  </si>
  <si>
    <t>CO-ADD:PC0172</t>
  </si>
  <si>
    <t>Universitat de Barcelona (Spain)</t>
  </si>
  <si>
    <t>P0172</t>
  </si>
  <si>
    <t>CO-ADD:PC0173</t>
  </si>
  <si>
    <t>P0173</t>
  </si>
  <si>
    <t>CO-ADD:PC0174</t>
  </si>
  <si>
    <t>P0174</t>
  </si>
  <si>
    <t>CO-ADD:PC0175</t>
  </si>
  <si>
    <t>P0175</t>
  </si>
  <si>
    <t>CO-ADD:PC0176</t>
  </si>
  <si>
    <t>Indiana University - Purdue University Indianapolis (USA)</t>
  </si>
  <si>
    <t>P0176</t>
  </si>
  <si>
    <t>CO-ADD:PC0177</t>
  </si>
  <si>
    <t>P0177</t>
  </si>
  <si>
    <t>CO-ADD:PC0178</t>
  </si>
  <si>
    <t>P0178</t>
  </si>
  <si>
    <t>CO-ADD:PC0179</t>
  </si>
  <si>
    <t>L05</t>
  </si>
  <si>
    <t>P0179</t>
  </si>
  <si>
    <t>CO-ADD:PL0053</t>
  </si>
  <si>
    <t>Griffith University Compounds Australia (Australia) - Open Library</t>
  </si>
  <si>
    <t>OpenLib L01</t>
  </si>
  <si>
    <t>P0180</t>
  </si>
  <si>
    <t>CO-ADD:PC0181</t>
  </si>
  <si>
    <t>Open Source Malaria</t>
  </si>
  <si>
    <t>OSM</t>
  </si>
  <si>
    <t>P0181</t>
  </si>
  <si>
    <t>CO-ADD:PC0182</t>
  </si>
  <si>
    <t>P0182</t>
  </si>
  <si>
    <t>CO-ADD:PC0183</t>
  </si>
  <si>
    <t>University of Natural Resources and Life (Austria)</t>
  </si>
  <si>
    <t>Stored at 4 degC; Solubilized in water.</t>
  </si>
  <si>
    <t>P0183</t>
  </si>
  <si>
    <t>CO-ADD:PC0184</t>
  </si>
  <si>
    <t>Stored at 4 degC; Solubilized in water; Second PS report sent 20/6/2016 with updated data for AB/CA</t>
  </si>
  <si>
    <t>P0184</t>
  </si>
  <si>
    <t>CO-ADD:PC0185</t>
  </si>
  <si>
    <t>P0185</t>
  </si>
  <si>
    <t>CO-ADD:PC0186</t>
  </si>
  <si>
    <t>L06</t>
  </si>
  <si>
    <t>P0186</t>
  </si>
  <si>
    <t>CO-ADD:PC0187</t>
  </si>
  <si>
    <t>P0187</t>
  </si>
  <si>
    <t>CO-ADD:PC0188</t>
  </si>
  <si>
    <t>P0188</t>
  </si>
  <si>
    <t>CO-ADD:PC0189</t>
  </si>
  <si>
    <t>P0189</t>
  </si>
  <si>
    <t>CO-ADD:PC0190</t>
  </si>
  <si>
    <t>P0190</t>
  </si>
  <si>
    <t>CO-ADD:PC0191</t>
  </si>
  <si>
    <t>P0191</t>
  </si>
  <si>
    <t>CO-ADD:PC0192</t>
  </si>
  <si>
    <t>P0192</t>
  </si>
  <si>
    <t>CO-ADD:PC0193</t>
  </si>
  <si>
    <t>P0193</t>
  </si>
  <si>
    <t>CO-ADD:PC0194</t>
  </si>
  <si>
    <t>P0194</t>
  </si>
  <si>
    <t>CO-ADD:PC0195</t>
  </si>
  <si>
    <t>P0195</t>
  </si>
  <si>
    <t>CO-ADD:PC0196</t>
  </si>
  <si>
    <t>P0196</t>
  </si>
  <si>
    <t>CO-ADD:PC0197</t>
  </si>
  <si>
    <t>L07</t>
  </si>
  <si>
    <t>P0197</t>
  </si>
  <si>
    <t>CO-ADD:PC0198</t>
  </si>
  <si>
    <t>P0198</t>
  </si>
  <si>
    <t>CO-ADD:PC0199</t>
  </si>
  <si>
    <t>L08</t>
  </si>
  <si>
    <t>P0199</t>
  </si>
  <si>
    <t>CO-ADD:PC0200</t>
  </si>
  <si>
    <t>L09</t>
  </si>
  <si>
    <t>P0200</t>
  </si>
  <si>
    <t>CO-ADD:PC0201</t>
  </si>
  <si>
    <t>P0201</t>
  </si>
  <si>
    <t>CO-ADD:PC0202</t>
  </si>
  <si>
    <t>Biotechnology Research Centre (C.R.B.t) (Algeria)</t>
  </si>
  <si>
    <t>P0202</t>
  </si>
  <si>
    <t>CO-ADD:PC0203</t>
  </si>
  <si>
    <t>HC to be repeated - CN odd results compared to PS, fluorescent compounds may interfere with end point read</t>
  </si>
  <si>
    <t>P0203</t>
  </si>
  <si>
    <t>CO-ADD:PC0204</t>
  </si>
  <si>
    <t>P0204</t>
  </si>
  <si>
    <t>CO-ADD:PC0205</t>
  </si>
  <si>
    <t>P0205</t>
  </si>
  <si>
    <t>CO-ADD:PC0206</t>
  </si>
  <si>
    <t>P0206</t>
  </si>
  <si>
    <t>CO-ADD:PC0207</t>
  </si>
  <si>
    <t>P0207</t>
  </si>
  <si>
    <t>CO-ADD:PC0208</t>
  </si>
  <si>
    <t>P0208</t>
  </si>
  <si>
    <t>CO-ADD:PC0209</t>
  </si>
  <si>
    <t>P0209</t>
  </si>
  <si>
    <t>CO-ADD:PC0210</t>
  </si>
  <si>
    <t>CN HC data not consistent with PS data set; to be repeated and confirmed</t>
  </si>
  <si>
    <t>P0210</t>
  </si>
  <si>
    <t>CO-ADD:PC0211</t>
  </si>
  <si>
    <t>Fluoroquinolone prodrugs. not to be persude</t>
  </si>
  <si>
    <t>P0211</t>
  </si>
  <si>
    <t>CO-ADD:PC0212</t>
  </si>
  <si>
    <t>P0212</t>
  </si>
  <si>
    <t>CO-ADD:PC0213</t>
  </si>
  <si>
    <t>P0213</t>
  </si>
  <si>
    <t>CO-ADD:PL0013</t>
  </si>
  <si>
    <t>NIH (USA) - Clinical Collection</t>
  </si>
  <si>
    <t>NCC - NIH Clinical Collection</t>
  </si>
  <si>
    <t>P0214</t>
  </si>
  <si>
    <t>CO-ADD:PC0215</t>
  </si>
  <si>
    <t>P0215</t>
  </si>
  <si>
    <t>CO-ADD:PC0216</t>
  </si>
  <si>
    <t>P0216</t>
  </si>
  <si>
    <t>CO-ADD:PC0217</t>
  </si>
  <si>
    <t>L10</t>
  </si>
  <si>
    <t>P0217</t>
  </si>
  <si>
    <t>CO-ADD:PC0218</t>
  </si>
  <si>
    <t>P0218</t>
  </si>
  <si>
    <t>CO-ADD:PC0219</t>
  </si>
  <si>
    <t>P0219</t>
  </si>
  <si>
    <t>CO-ADD:PL0050</t>
  </si>
  <si>
    <t>P0220</t>
  </si>
  <si>
    <t>CO-ADD:PC0221</t>
  </si>
  <si>
    <t>L11</t>
  </si>
  <si>
    <t>P0221</t>
  </si>
  <si>
    <t>CO-ADD:PC0222</t>
  </si>
  <si>
    <t>P0222</t>
  </si>
  <si>
    <t>CO-ADD:PC0223</t>
  </si>
  <si>
    <t>HC repeats required</t>
  </si>
  <si>
    <t>P0223</t>
  </si>
  <si>
    <t>CO-ADD:PC0224</t>
  </si>
  <si>
    <t>P0224</t>
  </si>
  <si>
    <t>CO-ADD:PC0225</t>
  </si>
  <si>
    <t>L12</t>
  </si>
  <si>
    <t>P0225</t>
  </si>
  <si>
    <t>CO-ADD:PC0226</t>
  </si>
  <si>
    <t>P0226</t>
  </si>
  <si>
    <t>CO-ADD:PC0227</t>
  </si>
  <si>
    <t>13/06/2019</t>
  </si>
  <si>
    <t>P0227</t>
  </si>
  <si>
    <t>CO-ADD:PC0228</t>
  </si>
  <si>
    <t>L13</t>
  </si>
  <si>
    <t>P0228</t>
  </si>
  <si>
    <t>CO-ADD:PC0229</t>
  </si>
  <si>
    <t>P0229</t>
  </si>
  <si>
    <t>CO-ADD:PC0230</t>
  </si>
  <si>
    <t>P0230</t>
  </si>
  <si>
    <t>CO-ADD:PC0231</t>
  </si>
  <si>
    <t>P0231</t>
  </si>
  <si>
    <t>CO-ADD:PC0232</t>
  </si>
  <si>
    <t>P0232</t>
  </si>
  <si>
    <t>CO-ADD:PC0233</t>
  </si>
  <si>
    <t>L14</t>
  </si>
  <si>
    <t>P0233</t>
  </si>
  <si>
    <t>CO-ADD:PC0234</t>
  </si>
  <si>
    <t>All compounds to be handled fresh for assay._x000D_
Dry material in archive Box 30</t>
  </si>
  <si>
    <t>P0234</t>
  </si>
  <si>
    <t>CO-ADD:PC0235</t>
  </si>
  <si>
    <t>P0235</t>
  </si>
  <si>
    <t>CO-ADD:PC0236</t>
  </si>
  <si>
    <t>L15</t>
  </si>
  <si>
    <t>P0236</t>
  </si>
  <si>
    <t>CO-ADD:PC0237</t>
  </si>
  <si>
    <t>L16</t>
  </si>
  <si>
    <t>P0237</t>
  </si>
  <si>
    <t>CO-ADD:PC0238</t>
  </si>
  <si>
    <t>L17</t>
  </si>
  <si>
    <t>P0238</t>
  </si>
  <si>
    <t>CO-ADD:PC0239</t>
  </si>
  <si>
    <t>L18</t>
  </si>
  <si>
    <t>P0239</t>
  </si>
  <si>
    <t>CO-ADD:PC0240</t>
  </si>
  <si>
    <t>P0240</t>
  </si>
  <si>
    <t>CO-ADD:PC0241</t>
  </si>
  <si>
    <t>Karazin Kharkiv National University (Ukraine)</t>
  </si>
  <si>
    <t>Lib02</t>
  </si>
  <si>
    <t>P0241</t>
  </si>
  <si>
    <t>CO-ADD:PC0242</t>
  </si>
  <si>
    <t>P0242</t>
  </si>
  <si>
    <t>CO-ADD:PC0243</t>
  </si>
  <si>
    <t>P0243</t>
  </si>
  <si>
    <t>CO-ADD:PC0244</t>
  </si>
  <si>
    <t>L20</t>
  </si>
  <si>
    <t>P0244</t>
  </si>
  <si>
    <t>CO-ADD:PC0245</t>
  </si>
  <si>
    <t>L21</t>
  </si>
  <si>
    <t>P0245</t>
  </si>
  <si>
    <t>CO-ADD:PC0246</t>
  </si>
  <si>
    <t>L19</t>
  </si>
  <si>
    <t>P0246</t>
  </si>
  <si>
    <t>CO-ADD:PC0247</t>
  </si>
  <si>
    <t>L22</t>
  </si>
  <si>
    <t>P0247</t>
  </si>
  <si>
    <t>CO-ADD:PC0248</t>
  </si>
  <si>
    <t>P0248</t>
  </si>
  <si>
    <t>CO-ADD:PC0249</t>
  </si>
  <si>
    <t>L23</t>
  </si>
  <si>
    <t>P0249</t>
  </si>
  <si>
    <t>CO-ADD:PC0250</t>
  </si>
  <si>
    <t>L24</t>
  </si>
  <si>
    <t>P0250</t>
  </si>
  <si>
    <t>CO-ADD:PC0251</t>
  </si>
  <si>
    <t>P0251</t>
  </si>
  <si>
    <t>CO-ADD:PC0252</t>
  </si>
  <si>
    <t>P0252</t>
  </si>
  <si>
    <t>CO-ADD:PC0253</t>
  </si>
  <si>
    <t>P0253</t>
  </si>
  <si>
    <t>CO-ADD:PC0254</t>
  </si>
  <si>
    <t>L25</t>
  </si>
  <si>
    <t>P0254</t>
  </si>
  <si>
    <t>CO-ADD:PC0255</t>
  </si>
  <si>
    <t>P0255</t>
  </si>
  <si>
    <t>CO-ADD:PC0256</t>
  </si>
  <si>
    <t>P0256</t>
  </si>
  <si>
    <t>CO-ADD:PC0257</t>
  </si>
  <si>
    <t>P0257</t>
  </si>
  <si>
    <t>CO-ADD:PC0258</t>
  </si>
  <si>
    <t>P0258</t>
  </si>
  <si>
    <t>CO-ADD:PC0259</t>
  </si>
  <si>
    <t>L26</t>
  </si>
  <si>
    <t>P0259</t>
  </si>
  <si>
    <t>CO-ADD:PC0260</t>
  </si>
  <si>
    <t>L27</t>
  </si>
  <si>
    <t>P0260</t>
  </si>
  <si>
    <t>CO-ADD:PC0261</t>
  </si>
  <si>
    <t>L28</t>
  </si>
  <si>
    <t>P0261</t>
  </si>
  <si>
    <t>CO-ADD:PC0262</t>
  </si>
  <si>
    <t>P0262</t>
  </si>
  <si>
    <t>CO-ADD:PC0263</t>
  </si>
  <si>
    <t>Armstrong State University (GA, USA)</t>
  </si>
  <si>
    <t>P0263</t>
  </si>
  <si>
    <t>CO-ADD:PC0264</t>
  </si>
  <si>
    <t>P0264</t>
  </si>
  <si>
    <t>CO-ADD:PC0265</t>
  </si>
  <si>
    <t>Stellenbosch University (South Africa)</t>
  </si>
  <si>
    <t>P0265</t>
  </si>
  <si>
    <t>CO-ADD:PL0022</t>
  </si>
  <si>
    <t>MMV (CH) - Pathogen Box</t>
  </si>
  <si>
    <t>Email: pathogenbox@mmv.org</t>
  </si>
  <si>
    <t>PathogenBox</t>
  </si>
  <si>
    <t>P0266</t>
  </si>
  <si>
    <t>CO-ADD:PC0267</t>
  </si>
  <si>
    <t>P0267</t>
  </si>
  <si>
    <t>CO-ADD:PC0268</t>
  </si>
  <si>
    <t>P0268</t>
  </si>
  <si>
    <t>CO-ADD:PC0269</t>
  </si>
  <si>
    <t>P0269</t>
  </si>
  <si>
    <t>CO-ADD:PC0270</t>
  </si>
  <si>
    <t>P0270</t>
  </si>
  <si>
    <t>CO-ADD:PC0271</t>
  </si>
  <si>
    <t>P0271</t>
  </si>
  <si>
    <t>CO-ADD:PC0272</t>
  </si>
  <si>
    <t>P0272</t>
  </si>
  <si>
    <t>CO-ADD:PC0273</t>
  </si>
  <si>
    <t>P0273</t>
  </si>
  <si>
    <t>CO-ADD:PC0274</t>
  </si>
  <si>
    <t>University of Warwick (UK)</t>
  </si>
  <si>
    <t>P0274</t>
  </si>
  <si>
    <t>CO-ADD:PC0275</t>
  </si>
  <si>
    <t>P0275</t>
  </si>
  <si>
    <t>CO-ADD:PC0276</t>
  </si>
  <si>
    <t>P0276</t>
  </si>
  <si>
    <t>CO-ADD:PC0277</t>
  </si>
  <si>
    <t>P0277</t>
  </si>
  <si>
    <t>CO-ADD:PC0278</t>
  </si>
  <si>
    <t>P0278</t>
  </si>
  <si>
    <t>CO-ADD:PC0279</t>
  </si>
  <si>
    <t>P0279</t>
  </si>
  <si>
    <t>CO-ADD:PC0280</t>
  </si>
  <si>
    <t>RCB-444 (C0239282) not supplied</t>
  </si>
  <si>
    <t>P0280</t>
  </si>
  <si>
    <t>CO-ADD:PC0281</t>
  </si>
  <si>
    <t>P0281</t>
  </si>
  <si>
    <t>CO-ADD:PC0282</t>
  </si>
  <si>
    <t>P0282</t>
  </si>
  <si>
    <t>CO-ADD:PC0283</t>
  </si>
  <si>
    <t>P0283</t>
  </si>
  <si>
    <t>CO-ADD:PL0054</t>
  </si>
  <si>
    <t>OpenLib L02</t>
  </si>
  <si>
    <t>P0284</t>
  </si>
  <si>
    <t>CO-ADD:PC0285</t>
  </si>
  <si>
    <t>P0285</t>
  </si>
  <si>
    <t>CO-ADD:PC0286</t>
  </si>
  <si>
    <t>P0286</t>
  </si>
  <si>
    <t>CO-ADD:PC0287</t>
  </si>
  <si>
    <t>P0287</t>
  </si>
  <si>
    <t>CO-ADD:PL0012</t>
  </si>
  <si>
    <t>NIH/NCI (USA) - Natural Product Set III</t>
  </si>
  <si>
    <t>Nat Product III</t>
  </si>
  <si>
    <t>P0288</t>
  </si>
  <si>
    <t>CO-ADD:PC0289</t>
  </si>
  <si>
    <t>L29</t>
  </si>
  <si>
    <t>P0289</t>
  </si>
  <si>
    <t>CO-ADD:PC0290</t>
  </si>
  <si>
    <t>L30</t>
  </si>
  <si>
    <t>P0290</t>
  </si>
  <si>
    <t>CO-ADD:PC0291</t>
  </si>
  <si>
    <t>L31</t>
  </si>
  <si>
    <t>P0291</t>
  </si>
  <si>
    <t>CO-ADD:PC0292</t>
  </si>
  <si>
    <t>L32</t>
  </si>
  <si>
    <t>P0292</t>
  </si>
  <si>
    <t>CO-ADD:PC0294</t>
  </si>
  <si>
    <t>P0294</t>
  </si>
  <si>
    <t>CO-ADD:PC0295</t>
  </si>
  <si>
    <t>Nitro-imidazopyrazine</t>
  </si>
  <si>
    <t>P0295</t>
  </si>
  <si>
    <t>CO-ADD:PC0296</t>
  </si>
  <si>
    <t>Completed due to toxicity</t>
  </si>
  <si>
    <t>P0296</t>
  </si>
  <si>
    <t>CO-ADD:PC0297</t>
  </si>
  <si>
    <t>Yantai University (China)</t>
  </si>
  <si>
    <t>P0297</t>
  </si>
  <si>
    <t>CO-ADD:PC0298</t>
  </si>
  <si>
    <t>P0298</t>
  </si>
  <si>
    <t>CO-ADD:PC0300</t>
  </si>
  <si>
    <t>P0300</t>
  </si>
  <si>
    <t>CO-ADD:PC0301</t>
  </si>
  <si>
    <t>L33</t>
  </si>
  <si>
    <t>P0301</t>
  </si>
  <si>
    <t>CO-ADD:PC0303</t>
  </si>
  <si>
    <t>P0303</t>
  </si>
  <si>
    <t>CO-ADD:PC0305</t>
  </si>
  <si>
    <t>P0305</t>
  </si>
  <si>
    <t>CO-ADD:PC0306</t>
  </si>
  <si>
    <t>L34</t>
  </si>
  <si>
    <t>P0306</t>
  </si>
  <si>
    <t>CO-ADD:PC0307</t>
  </si>
  <si>
    <t>P0307</t>
  </si>
  <si>
    <t>CO-ADD:PC0308</t>
  </si>
  <si>
    <t>P0308</t>
  </si>
  <si>
    <t>CO-ADD:PC0309</t>
  </si>
  <si>
    <t>P0309</t>
  </si>
  <si>
    <t>CO-ADD:PC0310</t>
  </si>
  <si>
    <t>P0310</t>
  </si>
  <si>
    <t>CO-ADD:PC0311</t>
  </si>
  <si>
    <t>P0311</t>
  </si>
  <si>
    <t>CO-ADD:PC0312</t>
  </si>
  <si>
    <t>P0312</t>
  </si>
  <si>
    <t>CO-ADD:PC0313</t>
  </si>
  <si>
    <t>P0313</t>
  </si>
  <si>
    <t>CO-ADD:PC0314</t>
  </si>
  <si>
    <t>P0314</t>
  </si>
  <si>
    <t>CO-ADD:PC0315</t>
  </si>
  <si>
    <t>P0315</t>
  </si>
  <si>
    <t>CO-ADD:PC0316</t>
  </si>
  <si>
    <t>L35</t>
  </si>
  <si>
    <t>P0316</t>
  </si>
  <si>
    <t>CO-ADD:PC0317</t>
  </si>
  <si>
    <t>University of Northwestern St. Paul (MN, USA)</t>
  </si>
  <si>
    <t>P0317</t>
  </si>
  <si>
    <t>CO-ADD:PC0318</t>
  </si>
  <si>
    <t>P0318</t>
  </si>
  <si>
    <t>CO-ADD:PC0319</t>
  </si>
  <si>
    <t>Sugar conjugates of heterocycles</t>
  </si>
  <si>
    <t>P0319</t>
  </si>
  <si>
    <t>CO-ADD:PC0320</t>
  </si>
  <si>
    <t>P0320</t>
  </si>
  <si>
    <t>CO-ADD:PC0321</t>
  </si>
  <si>
    <t>Jain University (India)</t>
  </si>
  <si>
    <t>P0321</t>
  </si>
  <si>
    <t>CO-ADD:PC0322</t>
  </si>
  <si>
    <t>P0322</t>
  </si>
  <si>
    <t>CO-ADD:PC0323</t>
  </si>
  <si>
    <t>P0323</t>
  </si>
  <si>
    <t>CO-ADD:PC0324</t>
  </si>
  <si>
    <t>P0324</t>
  </si>
  <si>
    <t>CO-ADD:PC0325</t>
  </si>
  <si>
    <t>University of Sydney (Australia)</t>
  </si>
  <si>
    <t>P0325</t>
  </si>
  <si>
    <t>CO-ADD:PC0326</t>
  </si>
  <si>
    <t>P0326</t>
  </si>
  <si>
    <t>CO-ADD:PC0327</t>
  </si>
  <si>
    <t>Lib03</t>
  </si>
  <si>
    <t>P0327</t>
  </si>
  <si>
    <t>CO-ADD:PC0328</t>
  </si>
  <si>
    <t>L36</t>
  </si>
  <si>
    <t>P0328</t>
  </si>
  <si>
    <t>CO-ADD:PC0329</t>
  </si>
  <si>
    <t>Comment numbers = reported purity at 214nm</t>
  </si>
  <si>
    <t>P0329</t>
  </si>
  <si>
    <t>CO-ADD:PC0330</t>
  </si>
  <si>
    <t>P0330</t>
  </si>
  <si>
    <t>CO-ADD:PC0331</t>
  </si>
  <si>
    <t>P0331</t>
  </si>
  <si>
    <t>CO-ADD:PC0332</t>
  </si>
  <si>
    <t>L39</t>
  </si>
  <si>
    <t>P0332</t>
  </si>
  <si>
    <t>CO-ADD:PC0333</t>
  </si>
  <si>
    <t>P0333</t>
  </si>
  <si>
    <t>CO-ADD:PC0334</t>
  </si>
  <si>
    <t>HitSample 01</t>
  </si>
  <si>
    <t>P0334</t>
  </si>
  <si>
    <t>CO-ADD:PC0335</t>
  </si>
  <si>
    <t>Lib02 (at  CpOz)</t>
  </si>
  <si>
    <t>P0335</t>
  </si>
  <si>
    <t>CO-ADD:PC0336</t>
  </si>
  <si>
    <t>P0336</t>
  </si>
  <si>
    <t>CO-ADD:PC0337</t>
  </si>
  <si>
    <t>L37</t>
  </si>
  <si>
    <t>P0337</t>
  </si>
  <si>
    <t>CO-ADD:PC0338</t>
  </si>
  <si>
    <t>L40</t>
  </si>
  <si>
    <t>P0338</t>
  </si>
  <si>
    <t>CO-ADD:PC0339</t>
  </si>
  <si>
    <t>Lib01 (at  CpOz)</t>
  </si>
  <si>
    <t>P0339</t>
  </si>
  <si>
    <t>CO-ADD:PC0340</t>
  </si>
  <si>
    <t>L38</t>
  </si>
  <si>
    <t>P0340</t>
  </si>
  <si>
    <t>CO-ADD:PC0341</t>
  </si>
  <si>
    <t>P0341</t>
  </si>
  <si>
    <t>CO-ADD:PC0342</t>
  </si>
  <si>
    <t>L41</t>
  </si>
  <si>
    <t>P0342</t>
  </si>
  <si>
    <t>CO-ADD:PC0343</t>
  </si>
  <si>
    <t>L42</t>
  </si>
  <si>
    <t>P0343</t>
  </si>
  <si>
    <t>CO-ADD:PC0344</t>
  </si>
  <si>
    <t>L43</t>
  </si>
  <si>
    <t>P0344</t>
  </si>
  <si>
    <t>CO-ADD:PC0345</t>
  </si>
  <si>
    <t>P0345</t>
  </si>
  <si>
    <t>CO-ADD:PC0346</t>
  </si>
  <si>
    <t>P0346</t>
  </si>
  <si>
    <t>CO-ADD:PC0347</t>
  </si>
  <si>
    <t>P0347</t>
  </si>
  <si>
    <t>CO-ADD:PC0348</t>
  </si>
  <si>
    <t>P0348</t>
  </si>
  <si>
    <t>CO-ADD:PC0349</t>
  </si>
  <si>
    <t>L44</t>
  </si>
  <si>
    <t>P0349</t>
  </si>
  <si>
    <t>CO-ADD:PC0350</t>
  </si>
  <si>
    <t>L45</t>
  </si>
  <si>
    <t>P0350</t>
  </si>
  <si>
    <t>CO-ADD:PL0031</t>
  </si>
  <si>
    <t>University of Dundee BMGF (UK) - Small Polar Library</t>
  </si>
  <si>
    <t>Small Polar Lib</t>
  </si>
  <si>
    <t>P0351</t>
  </si>
  <si>
    <t>CO-ADD:PC0352</t>
  </si>
  <si>
    <t>P0352</t>
  </si>
  <si>
    <t>CO-ADD:PC0353</t>
  </si>
  <si>
    <t>P0353</t>
  </si>
  <si>
    <t>CO-ADD:PC0354</t>
  </si>
  <si>
    <t>P0354</t>
  </si>
  <si>
    <t>CO-ADD:PL0055</t>
  </si>
  <si>
    <t>OpenLib L03</t>
  </si>
  <si>
    <t>P0355</t>
  </si>
  <si>
    <t>CO-ADD:PC0356</t>
  </si>
  <si>
    <t>Note the comments # refers to % purity @214nm</t>
  </si>
  <si>
    <t>P0356</t>
  </si>
  <si>
    <t>CO-ADD:PC0357</t>
  </si>
  <si>
    <t>P0357</t>
  </si>
  <si>
    <t>CO-ADD:PC0358</t>
  </si>
  <si>
    <t>P0358</t>
  </si>
  <si>
    <t>CO-ADD:PC0359</t>
  </si>
  <si>
    <t>P0359</t>
  </si>
  <si>
    <t>CO-ADD:PC0360</t>
  </si>
  <si>
    <t>P0360</t>
  </si>
  <si>
    <t>CO-ADD:PC0361</t>
  </si>
  <si>
    <t>L46</t>
  </si>
  <si>
    <t>P0361</t>
  </si>
  <si>
    <t>CO-ADD:PC0362</t>
  </si>
  <si>
    <t>L47</t>
  </si>
  <si>
    <t>P0362</t>
  </si>
  <si>
    <t>CO-ADD:PC0363</t>
  </si>
  <si>
    <t>P0363</t>
  </si>
  <si>
    <t>CO-ADD:PC0364</t>
  </si>
  <si>
    <t>P0364</t>
  </si>
  <si>
    <t>CO-ADD:PC0365</t>
  </si>
  <si>
    <t>P0365</t>
  </si>
  <si>
    <t>CO-ADD:PC0366</t>
  </si>
  <si>
    <t>P0366</t>
  </si>
  <si>
    <t>CO-ADD:PC0367</t>
  </si>
  <si>
    <t>P0367</t>
  </si>
  <si>
    <t>CO-ADD:PC0368</t>
  </si>
  <si>
    <t>L48</t>
  </si>
  <si>
    <t>P0368</t>
  </si>
  <si>
    <t>CO-ADD:PC0369</t>
  </si>
  <si>
    <t>L49</t>
  </si>
  <si>
    <t>P0369</t>
  </si>
  <si>
    <t>CO-ADD:PC0370</t>
  </si>
  <si>
    <t>L50</t>
  </si>
  <si>
    <t>P0370</t>
  </si>
  <si>
    <t>CO-ADD:PC0371</t>
  </si>
  <si>
    <t>Duplicate and Extra Compounds Stored 02/03/17 AH</t>
  </si>
  <si>
    <t>P0371</t>
  </si>
  <si>
    <t>CO-ADD:PC0372</t>
  </si>
  <si>
    <t>NCPRI (Romania)</t>
  </si>
  <si>
    <t>P0372</t>
  </si>
  <si>
    <t>CO-ADD:PC0373</t>
  </si>
  <si>
    <t>P0373</t>
  </si>
  <si>
    <t>CO-ADD:PC0374</t>
  </si>
  <si>
    <t>L51</t>
  </si>
  <si>
    <t>P0374</t>
  </si>
  <si>
    <t>CO-ADD:PC0375</t>
  </si>
  <si>
    <t>P0375</t>
  </si>
  <si>
    <t>CO-ADD:PC0376</t>
  </si>
  <si>
    <t>P0376</t>
  </si>
  <si>
    <t>CO-ADD:PC0377</t>
  </si>
  <si>
    <t>P0377</t>
  </si>
  <si>
    <t>CO-ADD:PC0378</t>
  </si>
  <si>
    <t>P0378</t>
  </si>
  <si>
    <t>CO-ADD:PC0379</t>
  </si>
  <si>
    <t>L52</t>
  </si>
  <si>
    <t>P0379</t>
  </si>
  <si>
    <t>CO-ADD:PC0380</t>
  </si>
  <si>
    <t>FurazPyraz</t>
  </si>
  <si>
    <t>P0380</t>
  </si>
  <si>
    <t>CO-ADD:PC0381</t>
  </si>
  <si>
    <t>P0381</t>
  </si>
  <si>
    <t>CO-ADD:PC0382</t>
  </si>
  <si>
    <t>P0382</t>
  </si>
  <si>
    <t>CO-ADD:PC0383</t>
  </si>
  <si>
    <t>L53</t>
  </si>
  <si>
    <t>P0383</t>
  </si>
  <si>
    <t>CO-ADD:PC0384</t>
  </si>
  <si>
    <t>P0384</t>
  </si>
  <si>
    <t>CO-ADD:PC0385</t>
  </si>
  <si>
    <t>P0385</t>
  </si>
  <si>
    <t>CO-ADD:PC0386</t>
  </si>
  <si>
    <t>P0386</t>
  </si>
  <si>
    <t>CO-ADD:PC0387</t>
  </si>
  <si>
    <t>P0387</t>
  </si>
  <si>
    <t>CO-ADD:PC0388</t>
  </si>
  <si>
    <t>P0388</t>
  </si>
  <si>
    <t>CO-ADD:PC0389</t>
  </si>
  <si>
    <t>P0389</t>
  </si>
  <si>
    <t>CO-ADD:PC0390</t>
  </si>
  <si>
    <t>P0390</t>
  </si>
  <si>
    <t>CO-ADD:PC0391</t>
  </si>
  <si>
    <t>P0391</t>
  </si>
  <si>
    <t>CO-ADD:PC0392</t>
  </si>
  <si>
    <t>P0392</t>
  </si>
  <si>
    <t>CO-ADD:PC0393</t>
  </si>
  <si>
    <t>L54</t>
  </si>
  <si>
    <t>P0393</t>
  </si>
  <si>
    <t>CO-ADD:PC0394</t>
  </si>
  <si>
    <t>L55</t>
  </si>
  <si>
    <t>P0394</t>
  </si>
  <si>
    <t>CO-ADD:PC0395</t>
  </si>
  <si>
    <t>L56</t>
  </si>
  <si>
    <t>P0395</t>
  </si>
  <si>
    <t>CO-ADD:PC0396</t>
  </si>
  <si>
    <t>P0396</t>
  </si>
  <si>
    <t>CO-ADD:PC0397</t>
  </si>
  <si>
    <t>L57</t>
  </si>
  <si>
    <t>P0397</t>
  </si>
  <si>
    <t>CO-ADD:PC0398</t>
  </si>
  <si>
    <t>P0398</t>
  </si>
  <si>
    <t>CO-ADD:PC0399</t>
  </si>
  <si>
    <t>P0399</t>
  </si>
  <si>
    <t>CO-ADD:PC0400</t>
  </si>
  <si>
    <t>P0400</t>
  </si>
  <si>
    <t>CO-ADD:PC0401</t>
  </si>
  <si>
    <t>P0401</t>
  </si>
  <si>
    <t>CO-ADD:PC0402</t>
  </si>
  <si>
    <t>L58</t>
  </si>
  <si>
    <t>P0402</t>
  </si>
  <si>
    <t>CO-ADD:PC0403</t>
  </si>
  <si>
    <t>L59</t>
  </si>
  <si>
    <t>P0403</t>
  </si>
  <si>
    <t>CO-ADD:PC0404</t>
  </si>
  <si>
    <t>P0404</t>
  </si>
  <si>
    <t>CO-ADD:PC0405</t>
  </si>
  <si>
    <t>P0405</t>
  </si>
  <si>
    <t>CO-ADD:PC0406</t>
  </si>
  <si>
    <t>P0406</t>
  </si>
  <si>
    <t>CO-ADD:PC0407</t>
  </si>
  <si>
    <t>P0407</t>
  </si>
  <si>
    <t>CO-ADD:PC0408</t>
  </si>
  <si>
    <t>P0408</t>
  </si>
  <si>
    <t>CO-ADD:PC0409</t>
  </si>
  <si>
    <t>P0409</t>
  </si>
  <si>
    <t>CO-ADD:PC0410</t>
  </si>
  <si>
    <t>L60</t>
  </si>
  <si>
    <t>P0410</t>
  </si>
  <si>
    <t>CO-ADD:PC0411</t>
  </si>
  <si>
    <t>P0411</t>
  </si>
  <si>
    <t>CO-ADD:PC0412</t>
  </si>
  <si>
    <t>P0412</t>
  </si>
  <si>
    <t>CO-ADD:PC0413</t>
  </si>
  <si>
    <t>P0413</t>
  </si>
  <si>
    <t>CO-ADD:PC0414</t>
  </si>
  <si>
    <t>P0414</t>
  </si>
  <si>
    <t>CO-ADD:PC0415</t>
  </si>
  <si>
    <t>P0415</t>
  </si>
  <si>
    <t>CO-ADD:PC0416</t>
  </si>
  <si>
    <t>L61</t>
  </si>
  <si>
    <t>P0416</t>
  </si>
  <si>
    <t>CO-ADD:PC0417</t>
  </si>
  <si>
    <t>L62</t>
  </si>
  <si>
    <t>P0417</t>
  </si>
  <si>
    <t>CO-ADD:PC0418</t>
  </si>
  <si>
    <t>P0418</t>
  </si>
  <si>
    <t>CO-ADD:PC0419</t>
  </si>
  <si>
    <t>P0419</t>
  </si>
  <si>
    <t>CO-ADD:PC0420</t>
  </si>
  <si>
    <t>P0420</t>
  </si>
  <si>
    <t>CO-ADD:PC0421</t>
  </si>
  <si>
    <t>P0421</t>
  </si>
  <si>
    <t>CO-ADD:PC0422</t>
  </si>
  <si>
    <t>L63</t>
  </si>
  <si>
    <t>P0422</t>
  </si>
  <si>
    <t>CO-ADD:PC0423</t>
  </si>
  <si>
    <t>Antibacterial Controls</t>
  </si>
  <si>
    <t>P0423</t>
  </si>
  <si>
    <t>CO-ADD:PC0424</t>
  </si>
  <si>
    <t>Michael J. Kelso</t>
  </si>
  <si>
    <t>P0424</t>
  </si>
  <si>
    <t>CO-ADD:PC0425</t>
  </si>
  <si>
    <t>P0425</t>
  </si>
  <si>
    <t>CO-ADD:PC0426</t>
  </si>
  <si>
    <t>P0426</t>
  </si>
  <si>
    <t>CO-ADD:PC0427</t>
  </si>
  <si>
    <t>P0427</t>
  </si>
  <si>
    <t>CO-ADD:PC0428</t>
  </si>
  <si>
    <t>P0428</t>
  </si>
  <si>
    <t>CO-ADD:PC0429</t>
  </si>
  <si>
    <t>L64</t>
  </si>
  <si>
    <t>P0429</t>
  </si>
  <si>
    <t>CO-ADD:PC0430</t>
  </si>
  <si>
    <t>L65</t>
  </si>
  <si>
    <t>P0430</t>
  </si>
  <si>
    <t>CO-ADD:PC0431</t>
  </si>
  <si>
    <t>P0431</t>
  </si>
  <si>
    <t>CO-ADD:PC0432</t>
  </si>
  <si>
    <t>L66</t>
  </si>
  <si>
    <t>P0432</t>
  </si>
  <si>
    <t>CO-ADD:PL0043</t>
  </si>
  <si>
    <t>QCL Scaffold</t>
  </si>
  <si>
    <t>P0433</t>
  </si>
  <si>
    <t>CO-ADD:PL0042</t>
  </si>
  <si>
    <t>University of Queensland (Australia) - C4D Fragment Library</t>
  </si>
  <si>
    <t>C4D FragLib</t>
  </si>
  <si>
    <t>P0434</t>
  </si>
  <si>
    <t>CO-ADD:PC0435</t>
  </si>
  <si>
    <t>OpenLib 00</t>
  </si>
  <si>
    <t>P0435</t>
  </si>
  <si>
    <t>CO-ADD:PC0436</t>
  </si>
  <si>
    <t>P0436</t>
  </si>
  <si>
    <t>CO-ADD:PC0437</t>
  </si>
  <si>
    <t>P0437</t>
  </si>
  <si>
    <t>CO-ADD:PC0438</t>
  </si>
  <si>
    <t>P0438</t>
  </si>
  <si>
    <t>CO-ADD:PC0439</t>
  </si>
  <si>
    <t>L67</t>
  </si>
  <si>
    <t>P0439</t>
  </si>
  <si>
    <t>CO-ADD:PC0440</t>
  </si>
  <si>
    <t>P0440</t>
  </si>
  <si>
    <t>CO-ADD:PC0441</t>
  </si>
  <si>
    <t>P0441</t>
  </si>
  <si>
    <t>CO-ADD:PC0442</t>
  </si>
  <si>
    <t>P0442</t>
  </si>
  <si>
    <t>CO-ADD:PC0443</t>
  </si>
  <si>
    <t>P0443</t>
  </si>
  <si>
    <t>CO-ADD:PC0444</t>
  </si>
  <si>
    <t>Extra Dry Cmpd stored in COADD ARCHIVE BOX 41, 6.027 Freezer</t>
  </si>
  <si>
    <t>Sel 05-22-17</t>
  </si>
  <si>
    <t>P0444</t>
  </si>
  <si>
    <t>CO-ADD:PC0445</t>
  </si>
  <si>
    <t>P0445</t>
  </si>
  <si>
    <t>CO-ADD:PC0446</t>
  </si>
  <si>
    <t>P0446</t>
  </si>
  <si>
    <t>CO-ADD:PC0447</t>
  </si>
  <si>
    <t>2 compounds not provided; 2 compounds provided without details - Stored in CO-ADD Storage Box 41</t>
  </si>
  <si>
    <t>P0447</t>
  </si>
  <si>
    <t>CO-ADD:PC0448</t>
  </si>
  <si>
    <t>L68</t>
  </si>
  <si>
    <t>P0448</t>
  </si>
  <si>
    <t>CO-ADD:PC0449</t>
  </si>
  <si>
    <t>L69</t>
  </si>
  <si>
    <t>P0449</t>
  </si>
  <si>
    <t>CO-ADD:PC0450</t>
  </si>
  <si>
    <t xml:space="preserve">Rack 50125429 dropped, losing 96 compounds. Will be re-send in next library </t>
  </si>
  <si>
    <t>P0450</t>
  </si>
  <si>
    <t>CO-ADD:PC0451</t>
  </si>
  <si>
    <t>P0451</t>
  </si>
  <si>
    <t>CO-ADD:PC0452</t>
  </si>
  <si>
    <t>P0452</t>
  </si>
  <si>
    <t>CO-ADD:PC0453</t>
  </si>
  <si>
    <t>P0453</t>
  </si>
  <si>
    <t>CO-ADD:PC0454</t>
  </si>
  <si>
    <t xml:space="preserve">Rack 50125715 invalid due to error in RegistrationSheet </t>
  </si>
  <si>
    <t>P0454</t>
  </si>
  <si>
    <t>CO-ADD:PC0455</t>
  </si>
  <si>
    <t>P0455</t>
  </si>
  <si>
    <t>CO-ADD:PC0456</t>
  </si>
  <si>
    <t>P0456</t>
  </si>
  <si>
    <t>CO-ADD:PC0457</t>
  </si>
  <si>
    <t>L70</t>
  </si>
  <si>
    <t>P0457</t>
  </si>
  <si>
    <t>CO-ADD:PC0458</t>
  </si>
  <si>
    <t>P0458</t>
  </si>
  <si>
    <t>CO-ADD:PC0459</t>
  </si>
  <si>
    <t>P0459</t>
  </si>
  <si>
    <t>CO-ADD:PC0460</t>
  </si>
  <si>
    <t>L71</t>
  </si>
  <si>
    <t>P0460</t>
  </si>
  <si>
    <t>CO-ADD:PC0461</t>
  </si>
  <si>
    <t>L72</t>
  </si>
  <si>
    <t>P0461</t>
  </si>
  <si>
    <t>CO-ADD:PC0462</t>
  </si>
  <si>
    <t>P0462</t>
  </si>
  <si>
    <t>CO-ADD:PC0463</t>
  </si>
  <si>
    <t>P0463</t>
  </si>
  <si>
    <t>CO-ADD:PC0464</t>
  </si>
  <si>
    <t>P0464</t>
  </si>
  <si>
    <t>CO-ADD:PC0465</t>
  </si>
  <si>
    <t>P0465</t>
  </si>
  <si>
    <t>CO-ADD:PC0466</t>
  </si>
  <si>
    <t>P0466</t>
  </si>
  <si>
    <t>CO-ADD:PC0467</t>
  </si>
  <si>
    <t>P0467</t>
  </si>
  <si>
    <t>CO-ADD:PC0468</t>
  </si>
  <si>
    <t>P0468</t>
  </si>
  <si>
    <t>CO-ADD:PC0469</t>
  </si>
  <si>
    <t>L73</t>
  </si>
  <si>
    <t>P0469</t>
  </si>
  <si>
    <t>CO-ADD:PC0470</t>
  </si>
  <si>
    <t>L74</t>
  </si>
  <si>
    <t>P0470</t>
  </si>
  <si>
    <t>CO-ADD:PC0471</t>
  </si>
  <si>
    <t>P0471</t>
  </si>
  <si>
    <t>CO-ADD:PC0472</t>
  </si>
  <si>
    <t>P0472</t>
  </si>
  <si>
    <t>CO-ADD:PC0473</t>
  </si>
  <si>
    <t>P0473</t>
  </si>
  <si>
    <t>CO-ADD:PC0474</t>
  </si>
  <si>
    <t>P0474</t>
  </si>
  <si>
    <t>CO-ADD:PC0475</t>
  </si>
  <si>
    <t>P0475</t>
  </si>
  <si>
    <t>CO-ADD:PC0476</t>
  </si>
  <si>
    <t>P0476</t>
  </si>
  <si>
    <t>CO-ADD:PC0477</t>
  </si>
  <si>
    <t>P0477</t>
  </si>
  <si>
    <t>CO-ADD:PC0478</t>
  </si>
  <si>
    <t>P0478</t>
  </si>
  <si>
    <t>CO-ADD:PC0479</t>
  </si>
  <si>
    <t>P0479</t>
  </si>
  <si>
    <t>CO-ADD:PC0480</t>
  </si>
  <si>
    <t>P0480</t>
  </si>
  <si>
    <t>CO-ADD:PC0482</t>
  </si>
  <si>
    <t>P0482</t>
  </si>
  <si>
    <t>CO-ADD:PC0483</t>
  </si>
  <si>
    <t>P0483</t>
  </si>
  <si>
    <t>CO-ADD:PC0484</t>
  </si>
  <si>
    <t>P0484</t>
  </si>
  <si>
    <t>CO-ADD:PC0485</t>
  </si>
  <si>
    <t>P0485</t>
  </si>
  <si>
    <t>CO-ADD:PC0486</t>
  </si>
  <si>
    <t>P0486</t>
  </si>
  <si>
    <t>CO-ADD:PC0487</t>
  </si>
  <si>
    <t>P0487</t>
  </si>
  <si>
    <t>CO-ADD:PC0488</t>
  </si>
  <si>
    <t>P0488</t>
  </si>
  <si>
    <t>CO-ADD:PC0489</t>
  </si>
  <si>
    <t>P0489</t>
  </si>
  <si>
    <t>CO-ADD:PC0490</t>
  </si>
  <si>
    <t>P0490</t>
  </si>
  <si>
    <t>CO-ADD:PC0491</t>
  </si>
  <si>
    <t>P0491</t>
  </si>
  <si>
    <t>CO-ADD:PC0492</t>
  </si>
  <si>
    <t>P0492</t>
  </si>
  <si>
    <t>CO-ADD:PC0493</t>
  </si>
  <si>
    <t>P0493</t>
  </si>
  <si>
    <t>CO-ADD:PC0494</t>
  </si>
  <si>
    <t>P0494</t>
  </si>
  <si>
    <t>CO-ADD:PC0495</t>
  </si>
  <si>
    <t>P0495</t>
  </si>
  <si>
    <t>CO-ADD:PC0496</t>
  </si>
  <si>
    <t>P0496</t>
  </si>
  <si>
    <t>CO-ADD:PC0497</t>
  </si>
  <si>
    <t>L75</t>
  </si>
  <si>
    <t>P0497</t>
  </si>
  <si>
    <t>CO-ADD:PC0498</t>
  </si>
  <si>
    <t>P0498</t>
  </si>
  <si>
    <t>CO-ADD:PC0499</t>
  </si>
  <si>
    <t>P0499</t>
  </si>
  <si>
    <t>CO-ADD:PC0500</t>
  </si>
  <si>
    <t>P0500</t>
  </si>
  <si>
    <t>CO-ADD:PC0501</t>
  </si>
  <si>
    <t>P0501</t>
  </si>
  <si>
    <t>CO-ADD:PC0502</t>
  </si>
  <si>
    <t>L76</t>
  </si>
  <si>
    <t>P0502</t>
  </si>
  <si>
    <t>CO-ADD:PC0503</t>
  </si>
  <si>
    <t>L77</t>
  </si>
  <si>
    <t>P0503</t>
  </si>
  <si>
    <t>CO-ADD:PC0504</t>
  </si>
  <si>
    <t>P0504</t>
  </si>
  <si>
    <t>CO-ADD:PC0505</t>
  </si>
  <si>
    <t>P0505</t>
  </si>
  <si>
    <t>CO-ADD:PC0506</t>
  </si>
  <si>
    <t>P0506</t>
  </si>
  <si>
    <t>CO-ADD:PC0507</t>
  </si>
  <si>
    <t>P0507</t>
  </si>
  <si>
    <t>CO-ADD:PC0508</t>
  </si>
  <si>
    <t>P0508</t>
  </si>
  <si>
    <t>CO-ADD:PC0509</t>
  </si>
  <si>
    <t>L78</t>
  </si>
  <si>
    <t>P0509</t>
  </si>
  <si>
    <t>CO-ADD:PC0510</t>
  </si>
  <si>
    <t>P0510</t>
  </si>
  <si>
    <t>CO-ADD:PC0511</t>
  </si>
  <si>
    <t>P0511</t>
  </si>
  <si>
    <t>CO-ADD:PC0512</t>
  </si>
  <si>
    <t>selOct12</t>
  </si>
  <si>
    <t>P0512</t>
  </si>
  <si>
    <t>CO-ADD:PC0513</t>
  </si>
  <si>
    <t>P0513</t>
  </si>
  <si>
    <t>CO-ADD:PC0514</t>
  </si>
  <si>
    <t>P0514</t>
  </si>
  <si>
    <t>CO-ADD:PC0515</t>
  </si>
  <si>
    <t>Lib04</t>
  </si>
  <si>
    <t>P0515</t>
  </si>
  <si>
    <t>CO-ADD:PC0516</t>
  </si>
  <si>
    <t>P0516</t>
  </si>
  <si>
    <t>CO-ADD:PC0517</t>
  </si>
  <si>
    <t>L79</t>
  </si>
  <si>
    <t>P0517</t>
  </si>
  <si>
    <t>CO-ADD:PC0518</t>
  </si>
  <si>
    <t>L80</t>
  </si>
  <si>
    <t>P0518</t>
  </si>
  <si>
    <t>CO-ADD:PC0519</t>
  </si>
  <si>
    <t>P0519</t>
  </si>
  <si>
    <t>CO-ADD:PC0520</t>
  </si>
  <si>
    <t>P0520</t>
  </si>
  <si>
    <t>CO-ADD:PC0521</t>
  </si>
  <si>
    <t>P0521</t>
  </si>
  <si>
    <t>CO-ADD:PC0522</t>
  </si>
  <si>
    <t>L81</t>
  </si>
  <si>
    <t>P0522</t>
  </si>
  <si>
    <t>CO-ADD:PC0523</t>
  </si>
  <si>
    <t>P0523</t>
  </si>
  <si>
    <t>CO-ADD:PC0524</t>
  </si>
  <si>
    <t>P0524</t>
  </si>
  <si>
    <t>CO-ADD:PC0525</t>
  </si>
  <si>
    <t>L82</t>
  </si>
  <si>
    <t>P0525</t>
  </si>
  <si>
    <t>CO-ADD:PC0526</t>
  </si>
  <si>
    <t>P0526</t>
  </si>
  <si>
    <t>CO-ADD:PC0527</t>
  </si>
  <si>
    <t>P0527</t>
  </si>
  <si>
    <t>CO-ADD:PC0528</t>
  </si>
  <si>
    <t>P0528</t>
  </si>
  <si>
    <t>CO-ADD:PC0529</t>
  </si>
  <si>
    <t>P0529</t>
  </si>
  <si>
    <t>CO-ADD:PC0530</t>
  </si>
  <si>
    <t>L83</t>
  </si>
  <si>
    <t>P0530</t>
  </si>
  <si>
    <t>CO-ADD:PC0531</t>
  </si>
  <si>
    <t>L84</t>
  </si>
  <si>
    <t>P0531</t>
  </si>
  <si>
    <t>CO-ADD:PC0532</t>
  </si>
  <si>
    <t>P0532</t>
  </si>
  <si>
    <t>CO-ADD:PC0533</t>
  </si>
  <si>
    <t>L85</t>
  </si>
  <si>
    <t>P0533</t>
  </si>
  <si>
    <t>CO-ADD:PC0534</t>
  </si>
  <si>
    <t>P0534</t>
  </si>
  <si>
    <t>CO-ADD:PC0535</t>
  </si>
  <si>
    <t>L86</t>
  </si>
  <si>
    <t>P0535</t>
  </si>
  <si>
    <t>CO-ADD:PC0536</t>
  </si>
  <si>
    <t>L87</t>
  </si>
  <si>
    <t>P0536</t>
  </si>
  <si>
    <t>CO-ADD:PC0537</t>
  </si>
  <si>
    <t>P0537</t>
  </si>
  <si>
    <t>CO-ADD:PC0538</t>
  </si>
  <si>
    <t>P0538</t>
  </si>
  <si>
    <t>CO-ADD:PC0539</t>
  </si>
  <si>
    <t>P0539</t>
  </si>
  <si>
    <t>CO-ADD:PC0540</t>
  </si>
  <si>
    <t>P0540</t>
  </si>
  <si>
    <t>CO-ADD:PC0541</t>
  </si>
  <si>
    <t>P0541</t>
  </si>
  <si>
    <t>CO-ADD:PC0542</t>
  </si>
  <si>
    <t>P0542</t>
  </si>
  <si>
    <t>CO-ADD:PC0543</t>
  </si>
  <si>
    <t>P0543</t>
  </si>
  <si>
    <t>CO-ADD:PC0544</t>
  </si>
  <si>
    <t>P0544</t>
  </si>
  <si>
    <t>CO-ADD:PC0545</t>
  </si>
  <si>
    <t>RSSD-46 re-supply (previous P0217 C0165860)</t>
  </si>
  <si>
    <t>RSSD-46 re-supply</t>
  </si>
  <si>
    <t>P0545</t>
  </si>
  <si>
    <t>CO-ADD:PC0546</t>
  </si>
  <si>
    <t>Control for P278 2'deoxy-5-substituted uridine compounds</t>
  </si>
  <si>
    <t>Telbivudine</t>
  </si>
  <si>
    <t>P0546</t>
  </si>
  <si>
    <t>CO-ADD:PC0547</t>
  </si>
  <si>
    <t>2 compounds soluble; 46 insoluble, could not be reformatted; Inaccurate mass supplied.</t>
  </si>
  <si>
    <t>P0547</t>
  </si>
  <si>
    <t>CO-ADD:PC0548</t>
  </si>
  <si>
    <t>L88</t>
  </si>
  <si>
    <t>P0548</t>
  </si>
  <si>
    <t>CO-ADD:PC0549</t>
  </si>
  <si>
    <t>L89</t>
  </si>
  <si>
    <t>P0549</t>
  </si>
  <si>
    <t>CO-ADD:PC0550</t>
  </si>
  <si>
    <t>L90</t>
  </si>
  <si>
    <t>P0550</t>
  </si>
  <si>
    <t>CO-ADD:PC0551</t>
  </si>
  <si>
    <t>P0551</t>
  </si>
  <si>
    <t>CO-ADD:PC0552</t>
  </si>
  <si>
    <t>P0552</t>
  </si>
  <si>
    <t>CO-ADD:PC0553</t>
  </si>
  <si>
    <t>P0553</t>
  </si>
  <si>
    <t>CO-ADD:PC0554</t>
  </si>
  <si>
    <t>P0554</t>
  </si>
  <si>
    <t>CO-ADD:PC0555</t>
  </si>
  <si>
    <t>L91</t>
  </si>
  <si>
    <t>P0555</t>
  </si>
  <si>
    <t>CO-ADD:PC0556</t>
  </si>
  <si>
    <t>L92</t>
  </si>
  <si>
    <t>P0556</t>
  </si>
  <si>
    <t>CO-ADD:PC0557</t>
  </si>
  <si>
    <t>L93</t>
  </si>
  <si>
    <t>P0557</t>
  </si>
  <si>
    <t>CO-ADD:PC0558</t>
  </si>
  <si>
    <t>P0558</t>
  </si>
  <si>
    <t>CO-ADD:PC0559</t>
  </si>
  <si>
    <t>L94</t>
  </si>
  <si>
    <t>P0559</t>
  </si>
  <si>
    <t>CO-ADD:PC0560</t>
  </si>
  <si>
    <t>P0560</t>
  </si>
  <si>
    <t>CO-ADD:PC0561</t>
  </si>
  <si>
    <t>P0561</t>
  </si>
  <si>
    <t>CO-ADD:PC0562</t>
  </si>
  <si>
    <t>P0562</t>
  </si>
  <si>
    <t>CO-ADD:PC0563</t>
  </si>
  <si>
    <t>P0563</t>
  </si>
  <si>
    <t>CO-ADD:PC0564</t>
  </si>
  <si>
    <t>P0564</t>
  </si>
  <si>
    <t>CO-ADD:PC0565</t>
  </si>
  <si>
    <t>P0565</t>
  </si>
  <si>
    <t>CO-ADD:PC0566</t>
  </si>
  <si>
    <t>L95</t>
  </si>
  <si>
    <t>P0566</t>
  </si>
  <si>
    <t>CO-ADD:PC0567</t>
  </si>
  <si>
    <t>L96</t>
  </si>
  <si>
    <t>P0567</t>
  </si>
  <si>
    <t>CO-ADD:PC0568</t>
  </si>
  <si>
    <t>P0568</t>
  </si>
  <si>
    <t>CO-ADD:PC0569</t>
  </si>
  <si>
    <t>P0569</t>
  </si>
  <si>
    <t>CO-ADD:PC0570</t>
  </si>
  <si>
    <t>L97</t>
  </si>
  <si>
    <t>P0570</t>
  </si>
  <si>
    <t>CO-ADD:PC0571</t>
  </si>
  <si>
    <t>L98</t>
  </si>
  <si>
    <t>P0571</t>
  </si>
  <si>
    <t>CO-ADD:PC0572</t>
  </si>
  <si>
    <t>S-048</t>
  </si>
  <si>
    <t>P0572</t>
  </si>
  <si>
    <t>CO-ADD:PC0573</t>
  </si>
  <si>
    <t>P0573</t>
  </si>
  <si>
    <t>CO-ADD:PC0574</t>
  </si>
  <si>
    <t>P0574</t>
  </si>
  <si>
    <t>CO-ADD:PC0575</t>
  </si>
  <si>
    <t>P0575</t>
  </si>
  <si>
    <t>CO-ADD:PC0576</t>
  </si>
  <si>
    <t>P0576</t>
  </si>
  <si>
    <t>CO-ADD:PC0577</t>
  </si>
  <si>
    <t>L99</t>
  </si>
  <si>
    <t>P0577</t>
  </si>
  <si>
    <t>CO-ADD:PC0578</t>
  </si>
  <si>
    <t>L100</t>
  </si>
  <si>
    <t>P0578</t>
  </si>
  <si>
    <t>CO-ADD:PC0579</t>
  </si>
  <si>
    <t>L101</t>
  </si>
  <si>
    <t>P0579</t>
  </si>
  <si>
    <t>CO-ADD:PC0580</t>
  </si>
  <si>
    <t>L102</t>
  </si>
  <si>
    <t>P0580</t>
  </si>
  <si>
    <t>CO-ADD:PC0581</t>
  </si>
  <si>
    <t>L103</t>
  </si>
  <si>
    <t>P0581</t>
  </si>
  <si>
    <t>CO-ADD:PC0582</t>
  </si>
  <si>
    <t>P0582</t>
  </si>
  <si>
    <t>CO-ADD:PC0583</t>
  </si>
  <si>
    <t>P0583</t>
  </si>
  <si>
    <t>CO-ADD:PC0584</t>
  </si>
  <si>
    <t>Lib1</t>
  </si>
  <si>
    <t>P0584</t>
  </si>
  <si>
    <t>CO-ADD:PC0585</t>
  </si>
  <si>
    <t>OpenLib L04</t>
  </si>
  <si>
    <t>P0585</t>
  </si>
  <si>
    <t>CO-ADD:PC0586</t>
  </si>
  <si>
    <t>P0586</t>
  </si>
  <si>
    <t>CO-ADD:PC0587</t>
  </si>
  <si>
    <t>P0587</t>
  </si>
  <si>
    <t>CO-ADD:PC0588</t>
  </si>
  <si>
    <t>L104</t>
  </si>
  <si>
    <t>P0588</t>
  </si>
  <si>
    <t>CO-ADD:PC0589</t>
  </si>
  <si>
    <t>P0589</t>
  </si>
  <si>
    <t>CO-ADD:PC0590</t>
  </si>
  <si>
    <t>Diaminofurazan</t>
  </si>
  <si>
    <t>P0590</t>
  </si>
  <si>
    <t>CO-ADD:PC0592</t>
  </si>
  <si>
    <t>P0592</t>
  </si>
  <si>
    <t>CO-ADD:PC0593</t>
  </si>
  <si>
    <t>P0593</t>
  </si>
  <si>
    <t>CO-ADD:PC0594</t>
  </si>
  <si>
    <t>P0594</t>
  </si>
  <si>
    <t>CO-ADD:PC0595</t>
  </si>
  <si>
    <t>L105</t>
  </si>
  <si>
    <t>P0595</t>
  </si>
  <si>
    <t>CO-ADD:PC0596</t>
  </si>
  <si>
    <t>L106</t>
  </si>
  <si>
    <t>P0596</t>
  </si>
  <si>
    <t>CO-ADD:PC0597</t>
  </si>
  <si>
    <t>P0597</t>
  </si>
  <si>
    <t>CO-ADD:PC0598</t>
  </si>
  <si>
    <t>P0598</t>
  </si>
  <si>
    <t>CO-ADD:PC0599</t>
  </si>
  <si>
    <t>P0599</t>
  </si>
  <si>
    <t>CO-ADD:PC0600</t>
  </si>
  <si>
    <t>L107</t>
  </si>
  <si>
    <t>P0600</t>
  </si>
  <si>
    <t>CO-ADD:PC0601</t>
  </si>
  <si>
    <t>P0601</t>
  </si>
  <si>
    <t>CO-ADD:PC0602</t>
  </si>
  <si>
    <t>P0602</t>
  </si>
  <si>
    <t>CO-ADD:PC0603</t>
  </si>
  <si>
    <t>P0603</t>
  </si>
  <si>
    <t>CO-ADD:PC0604</t>
  </si>
  <si>
    <t>L108</t>
  </si>
  <si>
    <t>P0604</t>
  </si>
  <si>
    <t>CO-ADD:PC0605</t>
  </si>
  <si>
    <t>P0605</t>
  </si>
  <si>
    <t>CO-ADD:PC0606</t>
  </si>
  <si>
    <t>P0606</t>
  </si>
  <si>
    <t>CO-ADD:PC0607</t>
  </si>
  <si>
    <t>P0607</t>
  </si>
  <si>
    <t>CO-ADD:PC0608</t>
  </si>
  <si>
    <t>L109</t>
  </si>
  <si>
    <t>P0608</t>
  </si>
  <si>
    <t>CO-ADD:PC0609</t>
  </si>
  <si>
    <t>P0609</t>
  </si>
  <si>
    <t>CO-ADD:PC0610</t>
  </si>
  <si>
    <t>P0610</t>
  </si>
  <si>
    <t>CO-ADD:PC0611</t>
  </si>
  <si>
    <t>P0611</t>
  </si>
  <si>
    <t>CO-ADD:PC0612</t>
  </si>
  <si>
    <t>P0612</t>
  </si>
  <si>
    <t>CO-ADD:PC0613</t>
  </si>
  <si>
    <t>L110</t>
  </si>
  <si>
    <t>P0613</t>
  </si>
  <si>
    <t>CO-ADD:PC0614</t>
  </si>
  <si>
    <t>P0614</t>
  </si>
  <si>
    <t>CO-ADD:PC0615</t>
  </si>
  <si>
    <t>P0615</t>
  </si>
  <si>
    <t>CO-ADD:PC0616</t>
  </si>
  <si>
    <t>L111</t>
  </si>
  <si>
    <t>P0616</t>
  </si>
  <si>
    <t>CO-ADD:PC0617</t>
  </si>
  <si>
    <t>L112</t>
  </si>
  <si>
    <t>P0617</t>
  </si>
  <si>
    <t>CO-ADD:PC0618</t>
  </si>
  <si>
    <t>P0618</t>
  </si>
  <si>
    <t>CO-ADD:PC0619</t>
  </si>
  <si>
    <t>L113</t>
  </si>
  <si>
    <t>P0619</t>
  </si>
  <si>
    <t>CO-ADD:PC0620</t>
  </si>
  <si>
    <t>P0620</t>
  </si>
  <si>
    <t>CO-ADD:PC0621</t>
  </si>
  <si>
    <t>L114</t>
  </si>
  <si>
    <t>P0621</t>
  </si>
  <si>
    <t>CO-ADD:PC0622</t>
  </si>
  <si>
    <t>Lib05</t>
  </si>
  <si>
    <t>P0622</t>
  </si>
  <si>
    <t>CO-ADD:PC0624</t>
  </si>
  <si>
    <t>P0624</t>
  </si>
  <si>
    <t>CO-ADD:PC0625</t>
  </si>
  <si>
    <t>P0625</t>
  </si>
  <si>
    <t>CO-ADD:PC0626</t>
  </si>
  <si>
    <t>P0626</t>
  </si>
  <si>
    <t>CO-ADD:PC0627</t>
  </si>
  <si>
    <t>SW02</t>
  </si>
  <si>
    <t>P0627</t>
  </si>
  <si>
    <t>CO-ADD:PC0628</t>
  </si>
  <si>
    <t>Synthesis of Biological active molecules for mutiple targets</t>
  </si>
  <si>
    <t>P0628</t>
  </si>
  <si>
    <t>CO-ADD:PC0629</t>
  </si>
  <si>
    <t>PRFU</t>
  </si>
  <si>
    <t>P0629</t>
  </si>
  <si>
    <t>CO-ADD:PC0630</t>
  </si>
  <si>
    <t>HT1 - Milane</t>
  </si>
  <si>
    <t>P0630</t>
  </si>
  <si>
    <t>CO-ADD:PC0631</t>
  </si>
  <si>
    <t>Ant venom peptides</t>
  </si>
  <si>
    <t>P0631</t>
  </si>
  <si>
    <t>CO-ADD:PC0632</t>
  </si>
  <si>
    <t>P0632</t>
  </si>
  <si>
    <t>CO-ADD:PC0633</t>
  </si>
  <si>
    <t>P0633</t>
  </si>
  <si>
    <t>CO-ADD:PC0634</t>
  </si>
  <si>
    <t>P0634</t>
  </si>
  <si>
    <t>CO-ADD:PC0635</t>
  </si>
  <si>
    <t>Tyrosinase Inhibitors</t>
  </si>
  <si>
    <t>P0635</t>
  </si>
  <si>
    <t>CO-ADD:PC0636</t>
  </si>
  <si>
    <t>P0636</t>
  </si>
  <si>
    <t>CO-ADD:PC0637</t>
  </si>
  <si>
    <t>Isolation of bioactive compounds</t>
  </si>
  <si>
    <t>P0637</t>
  </si>
  <si>
    <t>CO-ADD:PC0638</t>
  </si>
  <si>
    <t>Antifungal compounds</t>
  </si>
  <si>
    <t>P0638</t>
  </si>
  <si>
    <t>CO-ADD:PC0639</t>
  </si>
  <si>
    <t>P0639</t>
  </si>
  <si>
    <t>CO-ADD:PC0641</t>
  </si>
  <si>
    <t>P0641</t>
  </si>
  <si>
    <t>CO-ADD:PC0642</t>
  </si>
  <si>
    <t>P0642</t>
  </si>
  <si>
    <t>CO-ADD:PC0643</t>
  </si>
  <si>
    <t>Trans-dichloride Ruthenium agents</t>
  </si>
  <si>
    <t>P0643</t>
  </si>
  <si>
    <t>CO-ADD:PC0644</t>
  </si>
  <si>
    <t>P0644</t>
  </si>
  <si>
    <t>CO-ADD:PC0645</t>
  </si>
  <si>
    <t>DDD Final</t>
  </si>
  <si>
    <t>P0645</t>
  </si>
  <si>
    <t>CO-ADD:PC0646</t>
  </si>
  <si>
    <t>Anti-microbial testing for small molecules</t>
  </si>
  <si>
    <t>P0646</t>
  </si>
  <si>
    <t>CO-ADD:PC0647</t>
  </si>
  <si>
    <t>N-acyl derivatives of L-phenylalanine and L-tyrosine</t>
  </si>
  <si>
    <t>P0647</t>
  </si>
  <si>
    <t>CO-ADD:PC0648</t>
  </si>
  <si>
    <t>lactamase Inhibitor 2014/17</t>
  </si>
  <si>
    <t>P0648</t>
  </si>
  <si>
    <t>CO-ADD:PC0649</t>
  </si>
  <si>
    <t>P0649</t>
  </si>
  <si>
    <t>CO-ADD:PC0650</t>
  </si>
  <si>
    <t>Analgesic Project - Batch I</t>
  </si>
  <si>
    <t>P0650</t>
  </si>
  <si>
    <t>CO-ADD:PC0651</t>
  </si>
  <si>
    <t>Synthesis of novel spiro heterocyclics and their biological evaluation</t>
  </si>
  <si>
    <t>P0651</t>
  </si>
  <si>
    <t>CO-ADD:PC0652</t>
  </si>
  <si>
    <t>ND2SB_10_09_2018</t>
  </si>
  <si>
    <t>P0652</t>
  </si>
  <si>
    <t>CO-ADD:PC0653</t>
  </si>
  <si>
    <t>The Metal Enol Project</t>
  </si>
  <si>
    <t>P0653</t>
  </si>
  <si>
    <t>CO-ADD:PC0654</t>
  </si>
  <si>
    <t>L115</t>
  </si>
  <si>
    <t>P0654</t>
  </si>
  <si>
    <t>CO-ADD:PC0655</t>
  </si>
  <si>
    <t>L116</t>
  </si>
  <si>
    <t>P0655</t>
  </si>
  <si>
    <t>CO-ADD:PC0656</t>
  </si>
  <si>
    <t>Azoles</t>
  </si>
  <si>
    <t>P0656</t>
  </si>
  <si>
    <t>CO-ADD:PC0657</t>
  </si>
  <si>
    <t>Hits from P0113</t>
  </si>
  <si>
    <t>P0657</t>
  </si>
  <si>
    <t>CO-ADD:PC0658</t>
  </si>
  <si>
    <t>P0658</t>
  </si>
  <si>
    <t>CO-ADD:PC0659</t>
  </si>
  <si>
    <t>P0659</t>
  </si>
  <si>
    <t>CO-ADD:PC0660</t>
  </si>
  <si>
    <t>Cobb Group Screening</t>
  </si>
  <si>
    <t>P0660</t>
  </si>
  <si>
    <t>CO-ADD:PC0661</t>
  </si>
  <si>
    <t>A1</t>
  </si>
  <si>
    <t>P0661</t>
  </si>
  <si>
    <t>CO-ADD:PC0662</t>
  </si>
  <si>
    <t>L117</t>
  </si>
  <si>
    <t>P0662</t>
  </si>
  <si>
    <t>CO-ADD:PC0663</t>
  </si>
  <si>
    <t>L118</t>
  </si>
  <si>
    <t>P0663</t>
  </si>
  <si>
    <t>CO-ADD:PC0664</t>
  </si>
  <si>
    <t>L119</t>
  </si>
  <si>
    <t>P0664</t>
  </si>
  <si>
    <t>CO-ADD:PC0665</t>
  </si>
  <si>
    <t>Mufaddal compounds</t>
  </si>
  <si>
    <t>P0665</t>
  </si>
  <si>
    <t>CO-ADD:PC0666</t>
  </si>
  <si>
    <t>Synthetic derivatives for antimicrobial potential.</t>
  </si>
  <si>
    <t>P0666</t>
  </si>
  <si>
    <t>CO-ADD:PC0667</t>
  </si>
  <si>
    <t>2018-Aug</t>
  </si>
  <si>
    <t>P0667</t>
  </si>
  <si>
    <t>CO-ADD:PC0668</t>
  </si>
  <si>
    <t>ACSRC-CO-ADD cyanine-antibiotics</t>
  </si>
  <si>
    <t>P0668</t>
  </si>
  <si>
    <t>CO-ADD:PC0669</t>
  </si>
  <si>
    <t>Glycosidated Ellagic Acid Derivatives</t>
  </si>
  <si>
    <t>P0669</t>
  </si>
  <si>
    <t>CO-ADD:PC0670</t>
  </si>
  <si>
    <t>Triazene series</t>
  </si>
  <si>
    <t>P0670</t>
  </si>
  <si>
    <t>CO-ADD:PC0671</t>
  </si>
  <si>
    <t>UNE Chemistry</t>
  </si>
  <si>
    <t>P0671</t>
  </si>
  <si>
    <t>CO-ADD:PC0672</t>
  </si>
  <si>
    <t>L120</t>
  </si>
  <si>
    <t>P0672</t>
  </si>
  <si>
    <t>CO-ADD:PC0673</t>
  </si>
  <si>
    <t>P0673</t>
  </si>
  <si>
    <t>CO-ADD:PC0674</t>
  </si>
  <si>
    <t>L121</t>
  </si>
  <si>
    <t>P0674</t>
  </si>
  <si>
    <t>CO-ADD:PC0675</t>
  </si>
  <si>
    <t>L122</t>
  </si>
  <si>
    <t>P0675</t>
  </si>
  <si>
    <t>CO-ADD:PC0676</t>
  </si>
  <si>
    <t>P0676</t>
  </si>
  <si>
    <t>CO-ADD:PC0677</t>
  </si>
  <si>
    <t>P0677</t>
  </si>
  <si>
    <t>CO-ADD:PC0678</t>
  </si>
  <si>
    <t>L123</t>
  </si>
  <si>
    <t>P0678</t>
  </si>
  <si>
    <t>CO-ADD:PC0679</t>
  </si>
  <si>
    <t>L124</t>
  </si>
  <si>
    <t>P0679</t>
  </si>
  <si>
    <t>CO-ADD:PC0680</t>
  </si>
  <si>
    <t>P0680</t>
  </si>
  <si>
    <t>CO-ADD:PC0681</t>
  </si>
  <si>
    <t>P0681</t>
  </si>
  <si>
    <t>CO-ADD:PC0682</t>
  </si>
  <si>
    <t>P0682</t>
  </si>
  <si>
    <t>CO-ADD:PC0683</t>
  </si>
  <si>
    <t>P0683</t>
  </si>
  <si>
    <t>CO-ADD:PC0684</t>
  </si>
  <si>
    <t>8 compounds supplied as solution in DMSO, 7 with unknown concentration. Unknown concentration tubes have been archived in CO-ADD Box 30 (-20C)</t>
  </si>
  <si>
    <t>P0684</t>
  </si>
  <si>
    <t>CO-ADD:PC0685</t>
  </si>
  <si>
    <t>P0685</t>
  </si>
  <si>
    <t>CO-ADD:PC0686</t>
  </si>
  <si>
    <t>ST Inhibitors</t>
  </si>
  <si>
    <t>P0686</t>
  </si>
  <si>
    <t>CO-ADD:PC0687</t>
  </si>
  <si>
    <t>P0687</t>
  </si>
  <si>
    <t>CO-ADD:PC0688</t>
  </si>
  <si>
    <t>Simplified Muraymycin Analogues.</t>
  </si>
  <si>
    <t>P0688</t>
  </si>
  <si>
    <t>CO-ADD:PC0689</t>
  </si>
  <si>
    <t>Antimicrobial Activity Screening</t>
  </si>
  <si>
    <t>P0689</t>
  </si>
  <si>
    <t>CO-ADD:PC0690</t>
  </si>
  <si>
    <t>SCELSE Antimicrobial Molecules</t>
  </si>
  <si>
    <t>P0690</t>
  </si>
  <si>
    <t>CO-ADD:PC0691</t>
  </si>
  <si>
    <t>Comparative control for P0478 and P0626</t>
  </si>
  <si>
    <t>Cadmium</t>
  </si>
  <si>
    <t>P0691</t>
  </si>
  <si>
    <t>CO-ADD:PC0692</t>
  </si>
  <si>
    <t>Benzimidazole and triazoles</t>
  </si>
  <si>
    <t>P0692</t>
  </si>
  <si>
    <t>CO-ADD:PC0693</t>
  </si>
  <si>
    <t>L125</t>
  </si>
  <si>
    <t>P0693</t>
  </si>
  <si>
    <t>CO-ADD:PC0694</t>
  </si>
  <si>
    <t>P0694</t>
  </si>
  <si>
    <t>CO-ADD:PC0695</t>
  </si>
  <si>
    <t>51 compounds received</t>
  </si>
  <si>
    <t>ALM</t>
  </si>
  <si>
    <t>P0695</t>
  </si>
  <si>
    <t>CO-ADD:PC0696</t>
  </si>
  <si>
    <t>P0696</t>
  </si>
  <si>
    <t>CO-ADD:PC0697</t>
  </si>
  <si>
    <t>P0697</t>
  </si>
  <si>
    <t>CO-ADD:PC0698</t>
  </si>
  <si>
    <t>Probing multidrug resistance through novel small organic molecules</t>
  </si>
  <si>
    <t>novel small organic molecules</t>
  </si>
  <si>
    <t>P0698</t>
  </si>
  <si>
    <t>CO-ADD:PC0699</t>
  </si>
  <si>
    <t>Selenium heterocycles</t>
  </si>
  <si>
    <t>P0699</t>
  </si>
  <si>
    <t>CO-ADD:PC0700</t>
  </si>
  <si>
    <t>ALM - DAI series</t>
  </si>
  <si>
    <t>P0700</t>
  </si>
  <si>
    <t>CO-ADD:PC0701</t>
  </si>
  <si>
    <t>Urea series-3</t>
  </si>
  <si>
    <t>P0701</t>
  </si>
  <si>
    <t>CO-ADD:PC0702</t>
  </si>
  <si>
    <t>18Qn Series</t>
  </si>
  <si>
    <t>P0702</t>
  </si>
  <si>
    <t>CO-ADD:PC0703</t>
  </si>
  <si>
    <t>Synthesis andEvaluation of Novel Quorum Sensing Inhibitors</t>
  </si>
  <si>
    <t>Quorum Sensing Inhibitors</t>
  </si>
  <si>
    <t>P0703</t>
  </si>
  <si>
    <t>CO-ADD:PC0704</t>
  </si>
  <si>
    <t>L126</t>
  </si>
  <si>
    <t>P0704</t>
  </si>
  <si>
    <t>CO-ADD:PC0705</t>
  </si>
  <si>
    <t>L127</t>
  </si>
  <si>
    <t>P0705</t>
  </si>
  <si>
    <t>CO-ADD:PC0706</t>
  </si>
  <si>
    <t>P0706</t>
  </si>
  <si>
    <t>CO-ADD:PC0707</t>
  </si>
  <si>
    <t>NHMRC - C. difficile Project</t>
  </si>
  <si>
    <t>P0707</t>
  </si>
  <si>
    <t>CO-ADD:PC0708</t>
  </si>
  <si>
    <t>New product collaboration</t>
  </si>
  <si>
    <t>P0708</t>
  </si>
  <si>
    <t>CO-ADD:PC0709</t>
  </si>
  <si>
    <t>L128</t>
  </si>
  <si>
    <t>P0709</t>
  </si>
  <si>
    <t>CO-ADD:PC0710</t>
  </si>
  <si>
    <t>Screening for Bioactive Molecules</t>
  </si>
  <si>
    <t>P0710</t>
  </si>
  <si>
    <t>CO-ADD:PC0711</t>
  </si>
  <si>
    <t>L129</t>
  </si>
  <si>
    <t>P0711</t>
  </si>
  <si>
    <t>CO-ADD:PC0712</t>
  </si>
  <si>
    <t>1H-Pyrrole-2,3-diones</t>
  </si>
  <si>
    <t>P0712</t>
  </si>
  <si>
    <t>CO-ADD:PC0713</t>
  </si>
  <si>
    <t>Imidazoles February 1019</t>
  </si>
  <si>
    <t>P0713</t>
  </si>
  <si>
    <t>CO-ADD:PC0714</t>
  </si>
  <si>
    <t>L130</t>
  </si>
  <si>
    <t>P0714</t>
  </si>
  <si>
    <t>CO-ADD:PC0715</t>
  </si>
  <si>
    <t>L131</t>
  </si>
  <si>
    <t>P0715</t>
  </si>
  <si>
    <t>CO-ADD:PC0716</t>
  </si>
  <si>
    <t>Cycloaddition</t>
  </si>
  <si>
    <t>P0716</t>
  </si>
  <si>
    <t>CO-ADD:PC0717</t>
  </si>
  <si>
    <t>Semisynthetic analogs of natural terpenoids and N,S-containing heterocycles</t>
  </si>
  <si>
    <t>P0717</t>
  </si>
  <si>
    <t>CO-ADD:PC0718</t>
  </si>
  <si>
    <t>P0718</t>
  </si>
  <si>
    <t>CO-ADD:PC0719</t>
  </si>
  <si>
    <t>MMV (CH) - SAR-1</t>
  </si>
  <si>
    <t>PathogenBox Actives 01</t>
  </si>
  <si>
    <t>P0719</t>
  </si>
  <si>
    <t>CO-ADD:PC0720</t>
  </si>
  <si>
    <t>Design and Synthesis of Novel Indazole derivatives  as antibacterial agents</t>
  </si>
  <si>
    <t>Novel Indazole derivatives</t>
  </si>
  <si>
    <t>P0720</t>
  </si>
  <si>
    <t>CO-ADD:PC0721</t>
  </si>
  <si>
    <t>Antimicrobial screening</t>
  </si>
  <si>
    <t>P0721</t>
  </si>
  <si>
    <t>CO-ADD:PC0722</t>
  </si>
  <si>
    <t>R. metallica peptides</t>
  </si>
  <si>
    <t>P0722</t>
  </si>
  <si>
    <t>CO-ADD:PC0723</t>
  </si>
  <si>
    <t>L132</t>
  </si>
  <si>
    <t>P0723</t>
  </si>
  <si>
    <t>CO-ADD:PC0724</t>
  </si>
  <si>
    <t>Transition metal complexes for antimcirobial activity studies</t>
  </si>
  <si>
    <t>P0724</t>
  </si>
  <si>
    <t>CO-ADD:PC0725</t>
  </si>
  <si>
    <t>MM ZPS</t>
  </si>
  <si>
    <t>P0725</t>
  </si>
  <si>
    <t>CO-ADD:PC0726</t>
  </si>
  <si>
    <t>Quinolines/Quinazolines</t>
  </si>
  <si>
    <t>P0726</t>
  </si>
  <si>
    <t>CO-ADD:PC0727</t>
  </si>
  <si>
    <t>P0727</t>
  </si>
  <si>
    <t>CO-ADD:PC0728</t>
  </si>
  <si>
    <t>P0728</t>
  </si>
  <si>
    <t>CO-ADD:PC0729</t>
  </si>
  <si>
    <t>Curcuminoid derivatives and complexes</t>
  </si>
  <si>
    <t>P0729</t>
  </si>
  <si>
    <t>CO-ADD:PC0730</t>
  </si>
  <si>
    <t>Ph.D thesis</t>
  </si>
  <si>
    <t>P0730</t>
  </si>
  <si>
    <t>CO-ADD:PC0731</t>
  </si>
  <si>
    <t>L133</t>
  </si>
  <si>
    <t>P0731</t>
  </si>
  <si>
    <t>CO-ADD:PC0732</t>
  </si>
  <si>
    <t>L134</t>
  </si>
  <si>
    <t>P0732</t>
  </si>
  <si>
    <t>CO-ADD:PL0023</t>
  </si>
  <si>
    <t>MMV (CH) - Pandemic Response Box</t>
  </si>
  <si>
    <t>Pandemic Response Box</t>
  </si>
  <si>
    <t>P0733</t>
  </si>
  <si>
    <t>CO-ADD:PC0734</t>
  </si>
  <si>
    <t>L135</t>
  </si>
  <si>
    <t>P0734</t>
  </si>
  <si>
    <t>CO-ADD:PC0735</t>
  </si>
  <si>
    <t>L136</t>
  </si>
  <si>
    <t>P0735</t>
  </si>
  <si>
    <t>CO-ADD:PC0736</t>
  </si>
  <si>
    <t>PICT 2014-2063</t>
  </si>
  <si>
    <t>P0736</t>
  </si>
  <si>
    <t>CO-ADD:PC0737</t>
  </si>
  <si>
    <t>L137</t>
  </si>
  <si>
    <t>P0737</t>
  </si>
  <si>
    <t>CO-ADD:PC0738</t>
  </si>
  <si>
    <t>P0738</t>
  </si>
  <si>
    <t>CO-ADD:PC0739</t>
  </si>
  <si>
    <t>Quinazoline derivatives</t>
  </si>
  <si>
    <t>P0739</t>
  </si>
  <si>
    <t>CO-ADD:PC0740</t>
  </si>
  <si>
    <t>P0740</t>
  </si>
  <si>
    <t>CO-ADD:PC0741</t>
  </si>
  <si>
    <t>Mg7a</t>
  </si>
  <si>
    <t>P0741</t>
  </si>
  <si>
    <t>CO-ADD:PC0742</t>
  </si>
  <si>
    <t>L138</t>
  </si>
  <si>
    <t>P0742</t>
  </si>
  <si>
    <t>CO-ADD:PC0743</t>
  </si>
  <si>
    <t>L139</t>
  </si>
  <si>
    <t>P0743</t>
  </si>
  <si>
    <t>CO-ADD:PC0744</t>
  </si>
  <si>
    <t>L140</t>
  </si>
  <si>
    <t>P0744</t>
  </si>
  <si>
    <t>CO-ADD:PC0745</t>
  </si>
  <si>
    <t>P0745</t>
  </si>
  <si>
    <t>CO-ADD:PC0746</t>
  </si>
  <si>
    <t>P0746</t>
  </si>
  <si>
    <t>L141</t>
  </si>
  <si>
    <t>P0747</t>
  </si>
  <si>
    <t>P0748</t>
  </si>
  <si>
    <t>S-061</t>
  </si>
  <si>
    <t>P0749</t>
  </si>
  <si>
    <t>Phenylthiazole Analogues.</t>
  </si>
  <si>
    <t>P0750</t>
  </si>
  <si>
    <t>L142</t>
  </si>
  <si>
    <t>P0751</t>
  </si>
  <si>
    <t>Martha2</t>
  </si>
  <si>
    <t>P0752</t>
  </si>
  <si>
    <t>H. brevisepalum</t>
  </si>
  <si>
    <t>P0753</t>
  </si>
  <si>
    <t>L143</t>
  </si>
  <si>
    <t>P0754</t>
  </si>
  <si>
    <t>P0755</t>
  </si>
  <si>
    <t>State project No AAAA-A17-117011910023-2</t>
  </si>
  <si>
    <t>P0756</t>
  </si>
  <si>
    <t>Metal complexes-1</t>
  </si>
  <si>
    <t>P0757</t>
  </si>
  <si>
    <t>P0758</t>
  </si>
  <si>
    <t>L144</t>
  </si>
  <si>
    <t>P0759</t>
  </si>
  <si>
    <t>ABFish</t>
  </si>
  <si>
    <t>P0760</t>
  </si>
  <si>
    <t>Boron-Antimicrobial compounds</t>
  </si>
  <si>
    <t>P0761</t>
  </si>
  <si>
    <t>Quinolone-nitrofuran series</t>
  </si>
  <si>
    <t>P0762</t>
  </si>
  <si>
    <t>Antimicrobial Screening of Fused thiophenes</t>
  </si>
  <si>
    <t>Fused thiophenes</t>
  </si>
  <si>
    <t>P0763</t>
  </si>
  <si>
    <t>P0764</t>
  </si>
  <si>
    <t>MR</t>
  </si>
  <si>
    <t>P0765</t>
  </si>
  <si>
    <t>LpxC inhibitors</t>
  </si>
  <si>
    <t>P0766</t>
  </si>
  <si>
    <t>2,4-Dimethylpyrrole derivatives</t>
  </si>
  <si>
    <t>P0767</t>
  </si>
  <si>
    <t>P0768</t>
  </si>
  <si>
    <t>P0769</t>
  </si>
  <si>
    <t>P0770</t>
  </si>
  <si>
    <t>Pyrimidine derivatives HA</t>
  </si>
  <si>
    <t>P0771</t>
  </si>
  <si>
    <t>Antimicrobial compounds</t>
  </si>
  <si>
    <t>P0772</t>
  </si>
  <si>
    <t>P0773</t>
  </si>
  <si>
    <t>L145</t>
  </si>
  <si>
    <t>P0774</t>
  </si>
  <si>
    <t>Botros August imidazoles</t>
  </si>
  <si>
    <t>P0775</t>
  </si>
  <si>
    <t>MIX ESKAPE</t>
  </si>
  <si>
    <t>P0776</t>
  </si>
  <si>
    <t>Urea series-4</t>
  </si>
  <si>
    <t>P0777</t>
  </si>
  <si>
    <t>P0778</t>
  </si>
  <si>
    <t>L146</t>
  </si>
  <si>
    <t>P0779</t>
  </si>
  <si>
    <t>Antimicrobial peptides</t>
  </si>
  <si>
    <t>P0780</t>
  </si>
  <si>
    <t>Anti-bacterial</t>
  </si>
  <si>
    <t>P0781</t>
  </si>
  <si>
    <t>P0782</t>
  </si>
  <si>
    <t>Functionalized Dihydropyrimidine Antibacterial Compounds</t>
  </si>
  <si>
    <t>Functionalized Dihydropyrimidine</t>
  </si>
  <si>
    <t>P0783</t>
  </si>
  <si>
    <t>Tafricanum_peptides</t>
  </si>
  <si>
    <t>P0784</t>
  </si>
  <si>
    <t>Polyamines/Indoles</t>
  </si>
  <si>
    <t>P0785</t>
  </si>
  <si>
    <t>P0786</t>
  </si>
  <si>
    <t>Metal complexes with secondary ligands</t>
  </si>
  <si>
    <t>P0787</t>
  </si>
  <si>
    <t>P0788</t>
  </si>
  <si>
    <t>P0789</t>
  </si>
  <si>
    <t>Lytic proteins from Kogelberg Biosphere Reserve soil.</t>
  </si>
  <si>
    <t>Lytic proteins from Kogelberg Biosphere Reserve soil</t>
  </si>
  <si>
    <t>P0790</t>
  </si>
  <si>
    <t>Piperine Analogs</t>
  </si>
  <si>
    <t>P0791</t>
  </si>
  <si>
    <t>Gold Biological Properties</t>
  </si>
  <si>
    <t>P0792</t>
  </si>
  <si>
    <t>P0793</t>
  </si>
  <si>
    <t>P0794</t>
  </si>
  <si>
    <t>Polycarbonyl compounds</t>
  </si>
  <si>
    <t>P0795</t>
  </si>
  <si>
    <t>Polyamines</t>
  </si>
  <si>
    <t>P0796</t>
  </si>
  <si>
    <t>P0797</t>
  </si>
  <si>
    <t>1,2,4-Triazolo[1,5-a] Pyrimidine</t>
  </si>
  <si>
    <t>P0798</t>
  </si>
  <si>
    <t>ANI-7 Analogues</t>
  </si>
  <si>
    <t>P0799</t>
  </si>
  <si>
    <t>iodonitroolefins</t>
  </si>
  <si>
    <t>P0800</t>
  </si>
  <si>
    <t>Synthesis and biological evaluation of 2-thioxopyrimidinones</t>
  </si>
  <si>
    <t>2-thioxopyrimidinones</t>
  </si>
  <si>
    <t>P0801</t>
  </si>
  <si>
    <t>Design, Synthesis and Biological Evaluation of PhenylthiazoleAnalogues (Series II).</t>
  </si>
  <si>
    <t>Phenylthiazole (Series II)</t>
  </si>
  <si>
    <t>P0802</t>
  </si>
  <si>
    <t>L147</t>
  </si>
  <si>
    <t>P0803</t>
  </si>
  <si>
    <t>P0804</t>
  </si>
  <si>
    <t>L148</t>
  </si>
  <si>
    <t>P0805</t>
  </si>
  <si>
    <t>MMV (CH) - SAR-2</t>
  </si>
  <si>
    <t>PathogenBox Actives 02</t>
  </si>
  <si>
    <t>P0806</t>
  </si>
  <si>
    <t>P0807</t>
  </si>
  <si>
    <t>Allene-Metal complexes</t>
  </si>
  <si>
    <t>P0808</t>
  </si>
  <si>
    <t>Unraveling spider web silk droplet proteopeptides content and functional characterization of web toxins cantidates</t>
  </si>
  <si>
    <t>Spider web silk droplet proteopeptides</t>
  </si>
  <si>
    <t>P0809</t>
  </si>
  <si>
    <t>L149</t>
  </si>
  <si>
    <t>P0810</t>
  </si>
  <si>
    <t>Gotra</t>
  </si>
  <si>
    <t>P0811</t>
  </si>
  <si>
    <t>Design and Synthesis of Thiazolidin-4-ones as Antimicrobial agents</t>
  </si>
  <si>
    <t>Thiazolidin-4-ones</t>
  </si>
  <si>
    <t>P0812</t>
  </si>
  <si>
    <t>Synthesis of isobutyl tiglamide (a marine fungal natural product)</t>
  </si>
  <si>
    <t>Isobutyl tiglamide</t>
  </si>
  <si>
    <t>P0813</t>
  </si>
  <si>
    <t>P0814</t>
  </si>
  <si>
    <t>P0815</t>
  </si>
  <si>
    <t>P0816</t>
  </si>
  <si>
    <t>Azole molecules based indole</t>
  </si>
  <si>
    <t>P0817</t>
  </si>
  <si>
    <t>P0818</t>
  </si>
  <si>
    <t>Medcinal Chemistry</t>
  </si>
  <si>
    <t>P0819</t>
  </si>
  <si>
    <t>Natural Product Chemistry</t>
  </si>
  <si>
    <t>P0820</t>
  </si>
  <si>
    <t>Calcium Channel Blockers - Batch 2</t>
  </si>
  <si>
    <t>P0821</t>
  </si>
  <si>
    <t>P0822</t>
  </si>
  <si>
    <t>israa112</t>
  </si>
  <si>
    <t>P0823</t>
  </si>
  <si>
    <t>P0824</t>
  </si>
  <si>
    <t>P0825</t>
  </si>
  <si>
    <t>P0826</t>
  </si>
  <si>
    <t>P0827</t>
  </si>
  <si>
    <t>nicotinamid</t>
  </si>
  <si>
    <t>P0828</t>
  </si>
  <si>
    <t>1,2,4 oxadiazoles</t>
  </si>
  <si>
    <t>P0829</t>
  </si>
  <si>
    <t>P0830</t>
  </si>
  <si>
    <t xml:space="preserve">As part of KIT Libraries P0667 and P0749  </t>
  </si>
  <si>
    <t>Clarithromycin, Telithromycin derivatives</t>
  </si>
  <si>
    <t>P0831</t>
  </si>
  <si>
    <t>Antibacterial Amphiphiles</t>
  </si>
  <si>
    <t>P0832</t>
  </si>
  <si>
    <t>Ni Schiff bases</t>
  </si>
  <si>
    <t>P0833</t>
  </si>
  <si>
    <t>ABFish 20 June 2020</t>
  </si>
  <si>
    <t>P0834</t>
  </si>
  <si>
    <t>Abietane Diterpene and Fusidane Tritepene</t>
  </si>
  <si>
    <t>P0835</t>
  </si>
  <si>
    <t>P0836</t>
  </si>
  <si>
    <t>cAuncer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</si>
  <si>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</si>
  <si>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</si>
  <si>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</si>
  <si>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</si>
  <si>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</si>
  <si>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</si>
  <si>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</si>
  <si>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</si>
  <si>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Insect venom peptides</t>
  </si>
  <si>
    <t>P0845</t>
  </si>
  <si>
    <t>Carbamoylbicyclocarboxylic and tetrahydromethanoisoindoledione</t>
  </si>
  <si>
    <t>P0846</t>
  </si>
  <si>
    <t>Xylylenediimine Polyimidazole Manganese Chelators</t>
  </si>
  <si>
    <t>P0847</t>
  </si>
  <si>
    <t>P0848</t>
  </si>
  <si>
    <t>2,4-Disubstituted phenylthiazoles</t>
  </si>
  <si>
    <t>P0849</t>
  </si>
  <si>
    <t>UST_oxazolidinones</t>
  </si>
  <si>
    <t>P0850</t>
  </si>
  <si>
    <t>P0851</t>
  </si>
  <si>
    <t>Engineered b-hairpin antimicrobial peptides</t>
  </si>
  <si>
    <t>P0852</t>
  </si>
  <si>
    <t>Australian Desert Plant, Eremophila microtheca</t>
  </si>
  <si>
    <t>P0854</t>
  </si>
  <si>
    <t>P0855</t>
  </si>
  <si>
    <t>P0856</t>
  </si>
  <si>
    <t>P0857</t>
  </si>
  <si>
    <t>P0858</t>
  </si>
  <si>
    <t>P0859</t>
  </si>
  <si>
    <t>PGM dipyridyl complexes</t>
  </si>
  <si>
    <t>P0860</t>
  </si>
  <si>
    <t>Synergy of antibiotics and AMP</t>
  </si>
  <si>
    <t>P0861</t>
  </si>
  <si>
    <t>P0862</t>
  </si>
  <si>
    <t>Caterpillar Venom Toxins</t>
  </si>
  <si>
    <t>P0863</t>
  </si>
  <si>
    <t>KT series 2</t>
  </si>
  <si>
    <t>P0864</t>
  </si>
  <si>
    <t>P0865</t>
  </si>
  <si>
    <t>P0866</t>
  </si>
  <si>
    <t>P0867</t>
  </si>
  <si>
    <t>imidazo-thiazolo analogues</t>
  </si>
  <si>
    <t>P0868</t>
  </si>
  <si>
    <t>novel acylhydrazones</t>
  </si>
  <si>
    <t>P0869</t>
  </si>
  <si>
    <t>P0870</t>
  </si>
  <si>
    <t>TAM-Project</t>
  </si>
  <si>
    <t>P0871</t>
  </si>
  <si>
    <t>P0872</t>
  </si>
  <si>
    <t>P0873</t>
  </si>
  <si>
    <t>PA1 analogs, Coumarin tripeptides, A5 analog</t>
  </si>
  <si>
    <t>P0874</t>
  </si>
  <si>
    <t>P0875</t>
  </si>
  <si>
    <t>Triterpene semisynthetic analogs</t>
  </si>
  <si>
    <t>P0877</t>
  </si>
  <si>
    <t>polyamines</t>
  </si>
  <si>
    <t>P0878</t>
  </si>
  <si>
    <t>AntimicrobialAct</t>
  </si>
  <si>
    <t>P0879</t>
  </si>
  <si>
    <t>PMC99965</t>
  </si>
  <si>
    <t>Coumarin amphiphiles</t>
  </si>
  <si>
    <t>P0880</t>
  </si>
  <si>
    <t>P0881</t>
  </si>
  <si>
    <t>AminoBenzo fused Heterocycles</t>
  </si>
  <si>
    <t>P0882</t>
  </si>
  <si>
    <t>Guanidine based derivatives</t>
  </si>
  <si>
    <t>P0883</t>
  </si>
  <si>
    <t>Benzimidazole derivatives</t>
  </si>
  <si>
    <t>P0884</t>
  </si>
  <si>
    <t>P0885</t>
  </si>
  <si>
    <t>Titanium Compounds_Tinoco Lab</t>
  </si>
  <si>
    <t>P0886</t>
  </si>
  <si>
    <t>Sulphonamido naphthyridine and pyrazolotetrahydropyridines</t>
  </si>
  <si>
    <t>P0887</t>
  </si>
  <si>
    <t>Agarofuran and Flavanoid</t>
  </si>
  <si>
    <t>P0888</t>
  </si>
  <si>
    <t>Copper Geometry</t>
  </si>
  <si>
    <t>P0889</t>
  </si>
  <si>
    <t>SU_OrgmetRes</t>
  </si>
  <si>
    <t>P0890</t>
  </si>
  <si>
    <t>P0891</t>
  </si>
  <si>
    <t>P0892</t>
  </si>
  <si>
    <t>P0893</t>
  </si>
  <si>
    <t>P0894</t>
  </si>
  <si>
    <t>HA-Total Synthesis</t>
  </si>
  <si>
    <t>P0895</t>
  </si>
  <si>
    <t>P0896</t>
  </si>
  <si>
    <t>Antimicrobial properties of insect peptides</t>
  </si>
  <si>
    <t>P0897</t>
  </si>
  <si>
    <t>Thiophene analogues benzene Sulfonamide</t>
  </si>
  <si>
    <t>P0898</t>
  </si>
  <si>
    <t>P0899</t>
  </si>
  <si>
    <t>MM-Test</t>
  </si>
  <si>
    <t>P0900</t>
  </si>
  <si>
    <t>New Heterocyclic Compounds (PBC)</t>
  </si>
  <si>
    <t>P0901</t>
  </si>
  <si>
    <t>21DH SERIES</t>
  </si>
  <si>
    <t>P0902</t>
  </si>
  <si>
    <t>Antimicrobial synergy of antimalarials and antimicrobial peptides</t>
  </si>
  <si>
    <t>P0903</t>
  </si>
  <si>
    <t>P0904</t>
  </si>
  <si>
    <t>P0905</t>
  </si>
  <si>
    <t>Tedizolid Dimers</t>
  </si>
  <si>
    <t>P0906</t>
  </si>
  <si>
    <t>Mutillid_peptides</t>
  </si>
  <si>
    <t>P0907</t>
  </si>
  <si>
    <t>5-nitrofuran</t>
  </si>
  <si>
    <t>P0908</t>
  </si>
  <si>
    <t>NotPublic</t>
  </si>
  <si>
    <t>PMC99976</t>
  </si>
  <si>
    <t>P0909</t>
  </si>
  <si>
    <t>P0910</t>
  </si>
  <si>
    <t>Fragment-derived EcDPCK inhibitors</t>
  </si>
  <si>
    <t>P0911</t>
  </si>
  <si>
    <t>Thiazolidine Gramicidin S Analogues</t>
  </si>
  <si>
    <t>P0912</t>
  </si>
  <si>
    <t>UPR RP Second Screen_Tinoco Lab</t>
  </si>
  <si>
    <t>P0913</t>
  </si>
  <si>
    <t>Benzimidazole TAKDM</t>
  </si>
  <si>
    <t>P0914</t>
  </si>
  <si>
    <t>P0915</t>
  </si>
  <si>
    <t>P0916</t>
  </si>
  <si>
    <t>Peptide-Bismuth Bicycles</t>
  </si>
  <si>
    <t>P0917</t>
  </si>
  <si>
    <t>Derivatives of fluoroquinolone</t>
  </si>
  <si>
    <t>P0918</t>
  </si>
  <si>
    <t>P0919</t>
  </si>
  <si>
    <t>P0920</t>
  </si>
  <si>
    <t>Short peptides, modified amino acids</t>
  </si>
  <si>
    <t>P0921</t>
  </si>
  <si>
    <t>Pseudoceratina Compound Screen</t>
  </si>
  <si>
    <t>P0922</t>
  </si>
  <si>
    <t>2022-Feb</t>
  </si>
  <si>
    <t>P0923</t>
  </si>
  <si>
    <t>Missing 1 coumpound from the list. RTK30 (the "23rd" tube)</t>
  </si>
  <si>
    <t>RTK Series</t>
  </si>
  <si>
    <t>P0924</t>
  </si>
  <si>
    <t>P0925</t>
  </si>
  <si>
    <t>P0927</t>
  </si>
  <si>
    <t>Providing plates and tubes. Tube and control data entered manually. Will need to be repeated as compounds were in Mm, therefore incorrect DMSO volumes were added.</t>
  </si>
  <si>
    <t>Leprosy Drug Analogs</t>
  </si>
  <si>
    <t>P0928</t>
  </si>
  <si>
    <t>Synergy of antibiotics and proline-rich antimicrobial peptides</t>
  </si>
  <si>
    <t>P0929</t>
  </si>
  <si>
    <t>P0930</t>
  </si>
  <si>
    <t>MMBJ</t>
  </si>
  <si>
    <t>P0931</t>
  </si>
  <si>
    <t>P0932</t>
  </si>
  <si>
    <t>P0933</t>
  </si>
  <si>
    <t>P0934</t>
  </si>
  <si>
    <t>UPP RP Screen_Tinoco Lab_JAM</t>
  </si>
  <si>
    <t>P0935</t>
  </si>
  <si>
    <t>Novel benzimidazole derivatives</t>
  </si>
  <si>
    <t>P0936</t>
  </si>
  <si>
    <t>P0937</t>
  </si>
  <si>
    <t>CARKOB 2022</t>
  </si>
  <si>
    <t>P0938</t>
  </si>
  <si>
    <t>TRC Project</t>
  </si>
  <si>
    <t>P0939</t>
  </si>
  <si>
    <t>P0940</t>
  </si>
  <si>
    <t>P0941</t>
  </si>
  <si>
    <t>Amphenicol Analogues</t>
  </si>
  <si>
    <t>P0942</t>
  </si>
  <si>
    <t>Natural Product and Synthesis</t>
  </si>
  <si>
    <t>P0943</t>
  </si>
  <si>
    <t>AMP permutation UyCT3</t>
  </si>
  <si>
    <t>P0944</t>
  </si>
  <si>
    <t>Finland</t>
  </si>
  <si>
    <t>P0945</t>
  </si>
  <si>
    <t>CSIRO 2023.Lib01</t>
  </si>
  <si>
    <t>P0950</t>
  </si>
  <si>
    <t>P0951</t>
  </si>
  <si>
    <t>Novel Aryl Benzimidazole derivatives</t>
  </si>
  <si>
    <t>P0952</t>
  </si>
  <si>
    <t>P0953</t>
  </si>
  <si>
    <t>P0954</t>
  </si>
  <si>
    <t>P0955</t>
  </si>
  <si>
    <t>Deep Eutectic Solvent</t>
  </si>
  <si>
    <t>P0956</t>
  </si>
  <si>
    <t>Synthetic antimicrobial ketones</t>
  </si>
  <si>
    <t>P0957</t>
  </si>
  <si>
    <t>Global Health Priority Box</t>
  </si>
  <si>
    <t>P0958</t>
  </si>
  <si>
    <t>UoD - CHASER</t>
  </si>
  <si>
    <t>P0959</t>
  </si>
  <si>
    <t>P0960</t>
  </si>
  <si>
    <t>P0961</t>
  </si>
  <si>
    <t>Hydroxylamino substitutedThiocarbohydrazide derivatives</t>
  </si>
  <si>
    <t>P0962</t>
  </si>
  <si>
    <t>CYCLACID</t>
  </si>
  <si>
    <t>P0963</t>
  </si>
  <si>
    <t>P0964</t>
  </si>
  <si>
    <t>P0965</t>
  </si>
  <si>
    <t>Micro Drug Discovery FB 2023</t>
  </si>
  <si>
    <t>P0966</t>
  </si>
  <si>
    <t>Cyanophycin</t>
  </si>
  <si>
    <t>P0967</t>
  </si>
  <si>
    <t>P0968</t>
  </si>
  <si>
    <t>Inorganic nanoenzymes</t>
  </si>
  <si>
    <t>P0969</t>
  </si>
  <si>
    <t>P0970</t>
  </si>
  <si>
    <t>P0971</t>
  </si>
  <si>
    <t>P0972</t>
  </si>
  <si>
    <t>JJ Series</t>
  </si>
  <si>
    <t>P0973</t>
  </si>
  <si>
    <t>P0974</t>
  </si>
  <si>
    <t>UoD -</t>
  </si>
  <si>
    <t>P0975</t>
  </si>
  <si>
    <t>SubstitutedThiosemicarbohydrazide derivatives</t>
  </si>
  <si>
    <t>P0976</t>
  </si>
  <si>
    <t>AA project</t>
  </si>
  <si>
    <t>P0977</t>
  </si>
  <si>
    <t>MM project</t>
  </si>
  <si>
    <t>P0978</t>
  </si>
  <si>
    <t>P0979</t>
  </si>
  <si>
    <t>AMP 01</t>
  </si>
  <si>
    <t>P0980</t>
  </si>
  <si>
    <t>Novel Pentathiepin derivatives</t>
  </si>
  <si>
    <t>P0981</t>
  </si>
  <si>
    <t>P0982</t>
  </si>
  <si>
    <t>P0983</t>
  </si>
  <si>
    <t>P0984</t>
  </si>
  <si>
    <t>P0985</t>
  </si>
  <si>
    <t>MMBJ-second_generation</t>
  </si>
  <si>
    <t>P0986</t>
  </si>
  <si>
    <t>P0987</t>
  </si>
  <si>
    <t>P0988</t>
  </si>
  <si>
    <t>UCC DT-JD Inorganic Screening 1</t>
  </si>
  <si>
    <t>P0989</t>
  </si>
  <si>
    <t>Antimicrobial complexes</t>
  </si>
  <si>
    <t>P0990</t>
  </si>
  <si>
    <t>Pyrazolidine and Isoxazolidine</t>
  </si>
  <si>
    <t>P0991</t>
  </si>
  <si>
    <t>05/02/2024</t>
  </si>
  <si>
    <t>Antibacterial rotaxanes</t>
  </si>
  <si>
    <t>P0992</t>
  </si>
  <si>
    <t>Secapins</t>
  </si>
  <si>
    <t>P0993</t>
  </si>
  <si>
    <t>GT Inhibitor</t>
  </si>
  <si>
    <t>P0994</t>
  </si>
  <si>
    <t>CO-ADD-SDT-AJ-AU</t>
  </si>
  <si>
    <t>P0995</t>
  </si>
  <si>
    <t>P0996</t>
  </si>
  <si>
    <t>P0997</t>
  </si>
  <si>
    <t>Internal project, no report sent</t>
  </si>
  <si>
    <t>Davy AI01</t>
  </si>
  <si>
    <t>P0998</t>
  </si>
  <si>
    <t>P0999</t>
  </si>
  <si>
    <t>Chloracetamide derivatives</t>
  </si>
  <si>
    <t>P1000</t>
  </si>
  <si>
    <t>Thiophene der</t>
  </si>
  <si>
    <t>P1001</t>
  </si>
  <si>
    <t>UCC Benzofuroquinolines</t>
  </si>
  <si>
    <t>P1002</t>
  </si>
  <si>
    <t>Extracts from native plants</t>
  </si>
  <si>
    <t>P1003</t>
  </si>
  <si>
    <t>Thioxoimidazolidin-4-one derivatives</t>
  </si>
  <si>
    <t>P1004</t>
  </si>
  <si>
    <t>symba</t>
  </si>
  <si>
    <t>P1005</t>
  </si>
  <si>
    <t>Antibacterial BODIPY and Fe-bpys</t>
  </si>
  <si>
    <t>P1006</t>
  </si>
  <si>
    <t>2024-RMB-COADD</t>
  </si>
  <si>
    <t>P1007</t>
  </si>
  <si>
    <t>BK</t>
  </si>
  <si>
    <t>P1008</t>
  </si>
  <si>
    <t>Rescreen</t>
  </si>
  <si>
    <t>P1009</t>
  </si>
  <si>
    <t>BCP 7047</t>
  </si>
  <si>
    <t>P1010</t>
  </si>
  <si>
    <t>oxygenated polyhalogenated diphenyl ether (O-PHDE) library</t>
  </si>
  <si>
    <t>P1011</t>
  </si>
  <si>
    <t>P1012</t>
  </si>
  <si>
    <t>Antibacteria Co Ce</t>
  </si>
  <si>
    <t>P1013</t>
  </si>
  <si>
    <t>Elvis and Maggie Polymers</t>
  </si>
  <si>
    <t>P1014</t>
  </si>
  <si>
    <t>Proline Mimetic Gramicidin S Analogues</t>
  </si>
  <si>
    <t>P1015</t>
  </si>
  <si>
    <t>CO-ADD-SDT-AU-2-2024</t>
  </si>
  <si>
    <t>P1016</t>
  </si>
  <si>
    <t>P1017</t>
  </si>
  <si>
    <t>P1018</t>
  </si>
  <si>
    <t xml:space="preserve">Oxygenated polyhalogenated diphenyl ether (O-PHDE) </t>
  </si>
  <si>
    <t>P1019</t>
  </si>
  <si>
    <t>Seed Money, Integral University</t>
  </si>
  <si>
    <t>P1020</t>
  </si>
  <si>
    <t>P1021</t>
  </si>
  <si>
    <t>CO-ADD:PL0001</t>
  </si>
  <si>
    <t>Antibacterial Drugs</t>
  </si>
  <si>
    <t>Controls</t>
  </si>
  <si>
    <t>Internal</t>
  </si>
  <si>
    <t>Antibacterial Controls (P0304)</t>
  </si>
  <si>
    <t>PC001</t>
  </si>
  <si>
    <t>CO-ADD:PL0002</t>
  </si>
  <si>
    <t>Antifungal Drugs</t>
  </si>
  <si>
    <t>Antifungal Controls (P0481)</t>
  </si>
  <si>
    <t>PC002</t>
  </si>
  <si>
    <t>General Controls</t>
  </si>
  <si>
    <t>PC003</t>
  </si>
  <si>
    <t>Project</t>
  </si>
  <si>
    <t>002: Colop, Colistin Octapetin</t>
  </si>
  <si>
    <t>PMC002</t>
  </si>
  <si>
    <t>027: FluoroProbes</t>
  </si>
  <si>
    <t>PMC027</t>
  </si>
  <si>
    <t>029: Anaerobic</t>
  </si>
  <si>
    <t>PMC029</t>
  </si>
  <si>
    <t>033: Click Antibiotics</t>
  </si>
  <si>
    <t>PMC033</t>
  </si>
  <si>
    <t>036: Genomics for Superpugs</t>
  </si>
  <si>
    <t>PMC036</t>
  </si>
  <si>
    <t>037: Beta hairpin peptides; Arenicin</t>
  </si>
  <si>
    <t>PMC037</t>
  </si>
  <si>
    <t>043: Potentiator Synergy</t>
  </si>
  <si>
    <t>PMC043</t>
  </si>
  <si>
    <t>045: Antibacterial Controls - G-ve Antibiogram</t>
  </si>
  <si>
    <t>PMC045</t>
  </si>
  <si>
    <t>046: Metal-Complex Drug Discovery</t>
  </si>
  <si>
    <t>PMC046</t>
  </si>
  <si>
    <t>047: Tyrosinase Inhibitors</t>
  </si>
  <si>
    <t>PMC047</t>
  </si>
  <si>
    <t>048: Cardiolipin</t>
  </si>
  <si>
    <t>PMC048</t>
  </si>
  <si>
    <t>050: GNegHits</t>
  </si>
  <si>
    <t>PMC050</t>
  </si>
  <si>
    <t>051:_FtsZ</t>
  </si>
  <si>
    <t>PMC051</t>
  </si>
  <si>
    <t>052:_TargetDegrad</t>
  </si>
  <si>
    <t>PMC052</t>
  </si>
  <si>
    <t>99949: Michael Whittaker, Monash University, 2016</t>
  </si>
  <si>
    <t>PMC99949</t>
  </si>
  <si>
    <t>Botanix</t>
  </si>
  <si>
    <t>PMC99962</t>
  </si>
  <si>
    <t>99964: D3 William Scott</t>
  </si>
  <si>
    <t>PMC99964</t>
  </si>
  <si>
    <t>99967: Ann Kwan USydney</t>
  </si>
  <si>
    <t>PMC99967</t>
  </si>
  <si>
    <t>99969: MCR-1 Inhib Auckland</t>
  </si>
  <si>
    <t>PMC99969</t>
  </si>
  <si>
    <t xml:space="preserve">99974: ULB </t>
  </si>
  <si>
    <t>PMC99974</t>
  </si>
  <si>
    <t>Anti-fungal Se compounds</t>
  </si>
  <si>
    <t>PMC99975</t>
  </si>
  <si>
    <t>99976: CSIRO FSPBiodiscovery</t>
  </si>
  <si>
    <t>CO-ADD:PL0041</t>
  </si>
  <si>
    <t>Enamine (Russia) - Antibacterial Set</t>
  </si>
  <si>
    <t>Enamine Antibact Lib</t>
  </si>
  <si>
    <t>PX002</t>
  </si>
  <si>
    <t>ReFRAME Primary Potentiation Screen Ab Kp</t>
  </si>
  <si>
    <t>ReFrame_01</t>
  </si>
  <si>
    <t>PUB_DATE</t>
  </si>
  <si>
    <t>COADD_ID</t>
  </si>
  <si>
    <t>LIBRARY_NAME</t>
  </si>
  <si>
    <t>CONTACT_B_ID</t>
  </si>
  <si>
    <t>CONTACT_A_ID</t>
  </si>
  <si>
    <t>PROJECT_COMMENT</t>
  </si>
  <si>
    <t>PROJECT_TYPE</t>
  </si>
  <si>
    <t>PROJECT_NAME</t>
  </si>
  <si>
    <t>PROJECT_ID</t>
  </si>
  <si>
    <t>University of Sciences</t>
  </si>
  <si>
    <t>Indiana University</t>
  </si>
  <si>
    <t>Chancellor's Professor (Retired)</t>
  </si>
  <si>
    <t>SQL</t>
  </si>
  <si>
    <t>Hautes Etudes Ingénieur (HEI)</t>
  </si>
  <si>
    <t>Institut Català Investigació Química (ICIQ)</t>
  </si>
  <si>
    <t>Universite du Littoral-Cote Opale</t>
  </si>
  <si>
    <t>University of Virginia College at Wise</t>
  </si>
  <si>
    <t>University of Newcastle (Australia)</t>
  </si>
  <si>
    <t>University of Wollongong (Australia)</t>
  </si>
  <si>
    <t>Bangalore University (India)</t>
  </si>
  <si>
    <t>Wroclaw Medical University (Poland)</t>
  </si>
  <si>
    <t>University of Graz (Austria)</t>
  </si>
  <si>
    <t>Deakin University (Australia)</t>
  </si>
  <si>
    <t>Imperial College London (United Kingdom)</t>
  </si>
  <si>
    <t>Griffith University (Australia)</t>
  </si>
  <si>
    <t>National University of Singapore (NUS) (Singapore)</t>
  </si>
  <si>
    <t>Cardiff University  (United Kingdom)</t>
  </si>
  <si>
    <t>University of New South Wales (Australia)</t>
  </si>
  <si>
    <t>Arkansas State University Jonesboro (United States)</t>
  </si>
  <si>
    <t>University of Auckland (New Zealand)</t>
  </si>
  <si>
    <t>University of Arizona (United States)</t>
  </si>
  <si>
    <t>Karlsruhe Institute of Technology (KIT) (Germany)</t>
  </si>
  <si>
    <t>University-Hospital Schleswig-Holstein (Germany)</t>
  </si>
  <si>
    <t>University of Capetown (South Africa)</t>
  </si>
  <si>
    <t>Trinity College (United States)</t>
  </si>
  <si>
    <t>University of Leeds (United Kingdom)</t>
  </si>
  <si>
    <t>Universita degli Studi di Urbino Carlo Bo (Italy)</t>
  </si>
  <si>
    <t>University of Nottingham (United Kingdom)</t>
  </si>
  <si>
    <t>Memorial University of Newfoundland (Canada)</t>
  </si>
  <si>
    <t>ETH Zurich (Switzerland)</t>
  </si>
  <si>
    <t>Boston University (United States)</t>
  </si>
  <si>
    <t>RWTH Aachen University (Germany)</t>
  </si>
  <si>
    <t>Curtin University (Australia)</t>
  </si>
  <si>
    <t>Université Lyon 1 (France)</t>
  </si>
  <si>
    <t>Novosibirsk Institute of Organic Chemistry (Russia)</t>
  </si>
  <si>
    <t>NSHM College of Pharmaceutical Technology (India)</t>
  </si>
  <si>
    <t>Institut Català Investigació Química (ICIQ) (Spain)</t>
  </si>
  <si>
    <t>University College Dublin (Ireland)</t>
  </si>
  <si>
    <t>University of Virginia College at Wise (United States)</t>
  </si>
  <si>
    <t>Vanderbilt University (United States)</t>
  </si>
  <si>
    <t>University of Nebraska Medical Center (United States)</t>
  </si>
  <si>
    <t>V.N. Karazin Kharkiv National University (Ukraine)</t>
  </si>
  <si>
    <t>Leuphana University Lueneburg (Germany)</t>
  </si>
  <si>
    <t>Universite du Littoral-Cote Opale (France)</t>
  </si>
  <si>
    <t>Victoria University of Wellington (New Zealand)</t>
  </si>
  <si>
    <t>California Institute of Technology (Caltech) (United States)</t>
  </si>
  <si>
    <t>University of Wolverhampton (United Kingdom)</t>
  </si>
  <si>
    <t>University of Vienna (Austria)</t>
  </si>
  <si>
    <t>VU University Amsterdam (Netherlands)</t>
  </si>
  <si>
    <t>University of Bath (United Kingdom)</t>
  </si>
  <si>
    <t>Chulalongkorn University (Thailand)</t>
  </si>
  <si>
    <t>Bombay College of Pharmacy (India)</t>
  </si>
  <si>
    <t>National Institute of Technology (NIT) Warangal (India)</t>
  </si>
  <si>
    <t>NMIMS (India)</t>
  </si>
  <si>
    <t>Tumkur University (India)</t>
  </si>
  <si>
    <t>University of Arkansas For Medical Sciences (United States)</t>
  </si>
  <si>
    <t>Manipal (India)</t>
  </si>
  <si>
    <t>University of Edinburgh (United Kingdom)</t>
  </si>
  <si>
    <t>University of Western Australia (Australia)</t>
  </si>
  <si>
    <t>University of Oxford (United Kingdom)</t>
  </si>
  <si>
    <t>Indiana University-Purdue University Indianapolis (United States)</t>
  </si>
  <si>
    <t>Deogiri College (India)</t>
  </si>
  <si>
    <t>Rosalind Franklin University of Medicine and Science (United States)</t>
  </si>
  <si>
    <t>KU Leuven (Belgium)</t>
  </si>
  <si>
    <t>Monash University (Australia)</t>
  </si>
  <si>
    <t>George Washington University (United States)</t>
  </si>
  <si>
    <t>University of Massachusetts Lowell (United States)</t>
  </si>
  <si>
    <t>Karolinska Institute (Sweden)</t>
  </si>
  <si>
    <t>University of South Australia (Australia)</t>
  </si>
  <si>
    <t>University of Delaware (United States)</t>
  </si>
  <si>
    <t>Sultan Qaboos University (Oman)</t>
  </si>
  <si>
    <t>Mendeleev University of Chemical Technology of Russia (Russia)</t>
  </si>
  <si>
    <t>Facultad de Química Universidad de la República (Uruguay)</t>
  </si>
  <si>
    <t>Mansoura University (Egypt)</t>
  </si>
  <si>
    <t>University of Tuebingen (Germany)</t>
  </si>
  <si>
    <t>Institute of Petrochemistry and Catalysis (Russia)</t>
  </si>
  <si>
    <t>Ciatej AC, Conacyt (Mexico)</t>
  </si>
  <si>
    <t>Scripps Research Institute (United States)</t>
  </si>
  <si>
    <t>Federal University of ABC (UFABC) (Brazil)</t>
  </si>
  <si>
    <t>Polish Academy of Sciences (Poland)</t>
  </si>
  <si>
    <t>University of Adelaide (Australia)</t>
  </si>
  <si>
    <t>Ain Shams University (Egypt)</t>
  </si>
  <si>
    <t>Goshen College (United States)</t>
  </si>
  <si>
    <t>University of the Sunshine Coast (Australia)</t>
  </si>
  <si>
    <t>Assiut University (Egypt)</t>
  </si>
  <si>
    <t>University of Warwick (United Kingdom)</t>
  </si>
  <si>
    <t>Al-Azhar University (Egypt)</t>
  </si>
  <si>
    <t>Maharaja Krishnakumarsinhji Bhavnagar University (India)</t>
  </si>
  <si>
    <t>University College Cork (Ireland)</t>
  </si>
  <si>
    <t>Institute of Pharmacology and Toxicology of Ukraine (Ukraine)</t>
  </si>
  <si>
    <t>Bergische Universität Wuppertal (Germany)</t>
  </si>
  <si>
    <t>Institute of Molecular Biology and Genetics of NASU (Ukraine)</t>
  </si>
  <si>
    <t>Sri Venkateswara University (India)</t>
  </si>
  <si>
    <t>University of Porto (Portugal)</t>
  </si>
  <si>
    <t>Modern University for Technology and Information (Egypt)</t>
  </si>
  <si>
    <t>Ecole Polytechnique Fédérale de Lausanne (EPFL) (Switzerland)</t>
  </si>
  <si>
    <t>National Technical University of Athens (Greece)</t>
  </si>
  <si>
    <t>University of New England (Australia)</t>
  </si>
  <si>
    <t>University of Leeds (United States)</t>
  </si>
  <si>
    <t>Cairo University (Egypt)</t>
  </si>
  <si>
    <t>University of KwaZulu Natal (South Africa)</t>
  </si>
  <si>
    <t>Université de Montréal (Canada)</t>
  </si>
  <si>
    <t>National University of Ireland Galway (Ireland)</t>
  </si>
  <si>
    <t>University of North Carolina at Chapel Hill (United States)</t>
  </si>
  <si>
    <t>Masaryk University (Czech Republic)</t>
  </si>
  <si>
    <t>Sardar Patel University (India)</t>
  </si>
  <si>
    <t>Baylor University (United States)</t>
  </si>
  <si>
    <t>Würzburg University (Germany)</t>
  </si>
  <si>
    <t>University of Alberta (Canada)</t>
  </si>
  <si>
    <t>Broad Institute (United States)</t>
  </si>
  <si>
    <t>Aix-Marseille University (France)</t>
  </si>
  <si>
    <t>VIT University (India)</t>
  </si>
  <si>
    <t>University of East Anglia (United Kingdom)</t>
  </si>
  <si>
    <t>University of Technology Sydney (Australia)</t>
  </si>
  <si>
    <t>Rhodes University (South Africa)</t>
  </si>
  <si>
    <t>Damanhour University (Egypt)</t>
  </si>
  <si>
    <t>Wake Forest University (United States)</t>
  </si>
  <si>
    <t>RMIT University (Australia)</t>
  </si>
  <si>
    <t>Saurashtra University (India)</t>
  </si>
  <si>
    <t>University of Victoria (Canada)</t>
  </si>
  <si>
    <t>Stanford University (United States)</t>
  </si>
  <si>
    <t>Jamia Hamdard (India)</t>
  </si>
  <si>
    <t>Western University (Canada)</t>
  </si>
  <si>
    <t>University of Queensland  (Australia)</t>
  </si>
  <si>
    <t>Yerevan State University (Armenia)</t>
  </si>
  <si>
    <t>BMS College of Engineering (India)</t>
  </si>
  <si>
    <t>Universidad de Buenos Aires (Argentina)</t>
  </si>
  <si>
    <t>IIT Madras (India)</t>
  </si>
  <si>
    <t>University of Trieste (Italy)</t>
  </si>
  <si>
    <t>University of Zurich (Switzerland)</t>
  </si>
  <si>
    <t>Chimie ParisTech PSL University (France)</t>
  </si>
  <si>
    <t>Allama Iqbal Open University Islamabad (Pakistan)</t>
  </si>
  <si>
    <t>Indira Gandhi National Tribal University (India)</t>
  </si>
  <si>
    <t>University of The Free State (South Africa)</t>
  </si>
  <si>
    <t>Ryerson Unversity (Canada)</t>
  </si>
  <si>
    <t>Université de Sherbrooke (Canada)</t>
  </si>
  <si>
    <t>Durham University (United Kingdom)</t>
  </si>
  <si>
    <t>University of Central Lancashire (United Kingdom)</t>
  </si>
  <si>
    <t>Federal Urdu University of Arts, Science and Technology (Pakistan)</t>
  </si>
  <si>
    <t>Sinai University (Egypt)</t>
  </si>
  <si>
    <t>Mount Allison University (Canada)</t>
  </si>
  <si>
    <t>Dalain University of Technology (China)</t>
  </si>
  <si>
    <t>Lahore University of Management Sciences (Pakistan)</t>
  </si>
  <si>
    <t>University of California Santa Barbara (UCSB) (United States)</t>
  </si>
  <si>
    <t>Perm State University (Russia)</t>
  </si>
  <si>
    <t>University of Texas at San Antonio (United States)</t>
  </si>
  <si>
    <t>Monash University Malaysia (Malaysia)</t>
  </si>
  <si>
    <t>National Center for Scientific Research (NCSR) Demokritos (Greece)</t>
  </si>
  <si>
    <t>Hautes Etudes Ingénieur (HEI) (France)</t>
  </si>
  <si>
    <t>Ufa Institute of Chemistry (Russia)</t>
  </si>
  <si>
    <t>University of Sciences (United States)</t>
  </si>
  <si>
    <t>University of Iowa (United States)</t>
  </si>
  <si>
    <t>Omdurman Islamic University (Sudan)</t>
  </si>
  <si>
    <t>McDaniel College (United States)</t>
  </si>
  <si>
    <t>Savitribai Phule Pune University (India)</t>
  </si>
  <si>
    <t>German University in Cairo (Egypt)</t>
  </si>
  <si>
    <t>Tennessee State University (United States)</t>
  </si>
  <si>
    <t>University of Wisconsin River Falls (United States)</t>
  </si>
  <si>
    <t>Penn State Behrend (United States)</t>
  </si>
  <si>
    <t>University of Maine (United States)</t>
  </si>
  <si>
    <t>Nahda University (Egypt)</t>
  </si>
  <si>
    <t>Sree Vidyanikethan College of Pharmacy (India)</t>
  </si>
  <si>
    <t>Waynesburg University (United States)</t>
  </si>
  <si>
    <t>North-West University (South Africa)</t>
  </si>
  <si>
    <t>Ruhr-Universität Bochum (Germany)</t>
  </si>
  <si>
    <t>University of Medicine and Pharmacy Ho Chi Minh City (Vietnam)</t>
  </si>
  <si>
    <t>Korea Institute of Science and Technology (KIST) (South Korea)</t>
  </si>
  <si>
    <t>University of St Thomas (United States)</t>
  </si>
  <si>
    <t>Indian Institute of Science (India)</t>
  </si>
  <si>
    <t>Pedeciba Universidad de la República (Uruguay)</t>
  </si>
  <si>
    <t>Alexandria University (Egypt)</t>
  </si>
  <si>
    <t>Zagazig University (Egypt)</t>
  </si>
  <si>
    <t>University of Science and Technology Bannu (Pakistan)</t>
  </si>
  <si>
    <t>National University of Singapore (Singapore)</t>
  </si>
  <si>
    <t>University of Waterloo (Canada)</t>
  </si>
  <si>
    <t>Cracow University of Technology (Poland)</t>
  </si>
  <si>
    <t>Trinity College Dublin (Ireland)</t>
  </si>
  <si>
    <t>University of Puerto Rico Rio Piedras (United States)</t>
  </si>
  <si>
    <t>Dr. Babasaheb Ambedkar Marathwada University (India)</t>
  </si>
  <si>
    <t>La Trobe University (Sudan)</t>
  </si>
  <si>
    <t>Jouf University (Saudi Arabia)</t>
  </si>
  <si>
    <t>October University for Modern Sciences and Arts (MSA) (Egypt)</t>
  </si>
  <si>
    <t>Australian National University (ANU) (Australia)</t>
  </si>
  <si>
    <t>Indiana University (Australia)</t>
  </si>
  <si>
    <t>Institut Català Investigació Química (Spain)</t>
  </si>
  <si>
    <t>CO-ADD:PC0814</t>
  </si>
  <si>
    <t>CO-ADD:PC0817</t>
  </si>
  <si>
    <t>CO-ADD:PC0887</t>
  </si>
  <si>
    <t>CO-ADD:PC0859</t>
  </si>
  <si>
    <t>CO-ADD:PC0772</t>
  </si>
  <si>
    <t>CO-ADD:PC0911</t>
  </si>
  <si>
    <t>CO-ADD:PC0912</t>
  </si>
  <si>
    <t>CO-ADD:PC0917</t>
  </si>
  <si>
    <t>CO-ADD:PC0800</t>
  </si>
  <si>
    <t>CO-ADD:PC0879</t>
  </si>
  <si>
    <t>CO-ADD:PC0881</t>
  </si>
  <si>
    <t>CO-ADD:PC0901</t>
  </si>
  <si>
    <t>CO-ADD:PC0771</t>
  </si>
  <si>
    <t>CO-ADD:PC0750</t>
  </si>
  <si>
    <t>CO-ADD:PC0802</t>
  </si>
  <si>
    <t>CO-ADD:PC0854</t>
  </si>
  <si>
    <t>CO-ADD:PC0888</t>
  </si>
  <si>
    <t>CO-ADD:PC0852</t>
  </si>
  <si>
    <t>CO-ADD:PC9964</t>
  </si>
  <si>
    <t>CO-ADD:PC0895</t>
  </si>
  <si>
    <t>CO-ADD:PC0905</t>
  </si>
  <si>
    <t>CO-ADD:PC0835</t>
  </si>
  <si>
    <t>CO-ADD:PC0877</t>
  </si>
  <si>
    <t>CO-ADD:PC0787</t>
  </si>
  <si>
    <t>CO-ADD:PC0908</t>
  </si>
  <si>
    <t>CO-ADD:PC0749</t>
  </si>
  <si>
    <t>CO-ADD:PC0923</t>
  </si>
  <si>
    <t>CO-ADD:PC0849</t>
  </si>
  <si>
    <t>CO-ADD:PC0906</t>
  </si>
  <si>
    <t>CO-ADD:PC0770</t>
  </si>
  <si>
    <t>CO-ADD:PC0766</t>
  </si>
  <si>
    <t>CO-ADD:PC0833</t>
  </si>
  <si>
    <t>CO-ADD:PC0806</t>
  </si>
  <si>
    <t>CO-ADD:PC0775</t>
  </si>
  <si>
    <t>CO-ADD:PC0752</t>
  </si>
  <si>
    <t>CO-ADD:PC0793</t>
  </si>
  <si>
    <t>CO-ADD:PC0798</t>
  </si>
  <si>
    <t>CO-ADD:PC0755</t>
  </si>
  <si>
    <t>CO-ADD:PC0821</t>
  </si>
  <si>
    <t>CO-ADD:PC0794</t>
  </si>
  <si>
    <t>CO-ADD:PC0823</t>
  </si>
  <si>
    <t>CO-ADD:PC0873</t>
  </si>
  <si>
    <t>CO-ADD:PC0824</t>
  </si>
  <si>
    <t>CO-ADD:PC0825</t>
  </si>
  <si>
    <t>CO-ADD:PC0797</t>
  </si>
  <si>
    <t>CO-ADD:PC0910</t>
  </si>
  <si>
    <t>CO-ADD:PC0765</t>
  </si>
  <si>
    <t>CO-ADD:PC0858</t>
  </si>
  <si>
    <t>CO-ADD:PC0791</t>
  </si>
  <si>
    <t>CO-ADD:PC0795</t>
  </si>
  <si>
    <t>CO-ADD:PC0762</t>
  </si>
  <si>
    <t>CO-ADD:PC0776</t>
  </si>
  <si>
    <t>CO-ADD:PC0857</t>
  </si>
  <si>
    <t>CO-ADD:PC0902</t>
  </si>
  <si>
    <t>CO-ADD:PC0753</t>
  </si>
  <si>
    <t>CO-ADD:PC0891</t>
  </si>
  <si>
    <t>CO-ADD:PC0922</t>
  </si>
  <si>
    <t>CO-ADD:PC0831</t>
  </si>
  <si>
    <t>CO-ADD:PC0747</t>
  </si>
  <si>
    <t>CO-ADD:PC0751</t>
  </si>
  <si>
    <t>CO-ADD:PC0754</t>
  </si>
  <si>
    <t>CO-ADD:PC0759</t>
  </si>
  <si>
    <t>CO-ADD:PC0774</t>
  </si>
  <si>
    <t>CO-ADD:PC0779</t>
  </si>
  <si>
    <t>CO-ADD:PC0803</t>
  </si>
  <si>
    <t>CO-ADD:PC0805</t>
  </si>
  <si>
    <t>CO-ADD:PC0810</t>
  </si>
  <si>
    <t>CO-ADD:PC0767</t>
  </si>
  <si>
    <t>CO-ADD:PC0812</t>
  </si>
  <si>
    <t>CO-ADD:PC0875</t>
  </si>
  <si>
    <t>CO-ADD:PC0780</t>
  </si>
  <si>
    <t>CO-ADD:PC0861</t>
  </si>
  <si>
    <t>CO-ADD:PC0883</t>
  </si>
  <si>
    <t>CO-ADD:PC0756</t>
  </si>
  <si>
    <t>CO-ADD:PC0892</t>
  </si>
  <si>
    <t>CO-ADD:PC0894</t>
  </si>
  <si>
    <t>CO-ADD:PC0785</t>
  </si>
  <si>
    <t>CO-ADD:PC0796</t>
  </si>
  <si>
    <t>CO-ADD:PC0830</t>
  </si>
  <si>
    <t>CO-ADD:PC0851</t>
  </si>
  <si>
    <t>CO-ADD:PC0878</t>
  </si>
  <si>
    <t>CO-ADD:PC0916</t>
  </si>
  <si>
    <t>CO-ADD:PC0932</t>
  </si>
  <si>
    <t>CO-ADD:PC0808</t>
  </si>
  <si>
    <t>CO-ADD:PC0763</t>
  </si>
  <si>
    <t>CO-ADD:PC0792</t>
  </si>
  <si>
    <t>CO-ADD:PC0848</t>
  </si>
  <si>
    <t>CO-ADD:PC0856</t>
  </si>
  <si>
    <t>CO-ADD:PC0896</t>
  </si>
  <si>
    <t>CO-ADD:PC0855</t>
  </si>
  <si>
    <t>CO-ADD:PC0885</t>
  </si>
  <si>
    <t>CO-ADD:PC0764</t>
  </si>
  <si>
    <t>CO-ADD:PC0799</t>
  </si>
  <si>
    <t>CO-ADD:PC0748</t>
  </si>
  <si>
    <t>CO-ADD:PC0788</t>
  </si>
  <si>
    <t>CO-ADD:PC0789</t>
  </si>
  <si>
    <t>CO-ADD:PC0760</t>
  </si>
  <si>
    <t>CO-ADD:PC0834</t>
  </si>
  <si>
    <t>CO-ADD:PC0886</t>
  </si>
  <si>
    <t>CO-ADD:PC0913</t>
  </si>
  <si>
    <t>CO-ADD:PC0863</t>
  </si>
  <si>
    <t>CO-ADD:PCC003</t>
  </si>
  <si>
    <t>CO-ADD:PC0872</t>
  </si>
  <si>
    <t>CO-ADD:PC0761</t>
  </si>
  <si>
    <t>CO-ADD:PC0882</t>
  </si>
  <si>
    <t>CO-ADD:PC0898</t>
  </si>
  <si>
    <t>CO-ADD:PC0880</t>
  </si>
  <si>
    <t>CO-ADD:PC0920</t>
  </si>
  <si>
    <t>CO-ADD:PC0850</t>
  </si>
  <si>
    <t>CO-ADD:PC0874</t>
  </si>
  <si>
    <t>CO-ADD:PC0816</t>
  </si>
  <si>
    <t>CO-ADD:PC0783</t>
  </si>
  <si>
    <t>CO-ADD:PC0781</t>
  </si>
  <si>
    <t>CO-ADD:PC0801</t>
  </si>
  <si>
    <t>CO-ADD:PC0820</t>
  </si>
  <si>
    <t>CO-ADD:PC0832</t>
  </si>
  <si>
    <t>CO-ADD:PC0865</t>
  </si>
  <si>
    <t>CO-ADD:PC0813</t>
  </si>
  <si>
    <t>CO-ADD:PC0826</t>
  </si>
  <si>
    <t>CO-ADD:PC0786</t>
  </si>
  <si>
    <t>CO-ADD:PC0869</t>
  </si>
  <si>
    <t>Academic</t>
  </si>
  <si>
    <t>For-Profit</t>
  </si>
  <si>
    <t>Not-for-Profit</t>
  </si>
  <si>
    <t>ANU</t>
  </si>
  <si>
    <t>Caltech</t>
  </si>
  <si>
    <t>CNRS</t>
  </si>
  <si>
    <t>CSIRO</t>
  </si>
  <si>
    <t>CSIR</t>
  </si>
  <si>
    <t>EPFL</t>
  </si>
  <si>
    <t>WEHI</t>
  </si>
  <si>
    <t>ZHAW</t>
  </si>
  <si>
    <t>BOKU</t>
  </si>
  <si>
    <t>UCSB</t>
  </si>
  <si>
    <t>UCSF</t>
  </si>
  <si>
    <t>UCSD</t>
  </si>
  <si>
    <t>MSA</t>
  </si>
  <si>
    <t>NDSU</t>
  </si>
  <si>
    <t>NUS</t>
  </si>
  <si>
    <t>NITW</t>
  </si>
  <si>
    <t>NCSRD</t>
  </si>
  <si>
    <t>NCRRT</t>
  </si>
  <si>
    <t>MSKCC</t>
  </si>
  <si>
    <t>KIST</t>
  </si>
  <si>
    <t>KIT</t>
  </si>
  <si>
    <t>JCU</t>
  </si>
  <si>
    <t>CSIC</t>
  </si>
  <si>
    <t>ICIQ</t>
  </si>
  <si>
    <t>HEI</t>
  </si>
  <si>
    <t>UFABC</t>
  </si>
  <si>
    <t>UNSW</t>
  </si>
  <si>
    <t>UQ</t>
  </si>
  <si>
    <t>USYD</t>
  </si>
  <si>
    <t>USC</t>
  </si>
  <si>
    <t>UWA</t>
  </si>
  <si>
    <t>UGraz</t>
  </si>
  <si>
    <t>UGreifswald</t>
  </si>
  <si>
    <t>UIowa</t>
  </si>
  <si>
    <t>ULeeds</t>
  </si>
  <si>
    <t>ULisbon</t>
  </si>
  <si>
    <t>ULoughborough</t>
  </si>
  <si>
    <t>UMaine</t>
  </si>
  <si>
    <t>UManchester</t>
  </si>
  <si>
    <t>UMelbourne</t>
  </si>
  <si>
    <t>UMinnesota</t>
  </si>
  <si>
    <t>UMontana</t>
  </si>
  <si>
    <t>UMosul</t>
  </si>
  <si>
    <t>UMysore</t>
  </si>
  <si>
    <t>UNewcastle</t>
  </si>
  <si>
    <t>QUT</t>
  </si>
  <si>
    <t>ETH</t>
  </si>
  <si>
    <t>TUGraz</t>
  </si>
  <si>
    <t>TULodz</t>
  </si>
  <si>
    <t>TUBraunschweig</t>
  </si>
  <si>
    <t>ASTAR</t>
  </si>
  <si>
    <t>CRBt</t>
  </si>
  <si>
    <t>BMSCoE</t>
  </si>
  <si>
    <t>PharmacyU</t>
  </si>
  <si>
    <t>BostonU</t>
  </si>
  <si>
    <t>CairoU</t>
  </si>
  <si>
    <t>CardiffU</t>
  </si>
  <si>
    <t>ChulalongkornU</t>
  </si>
  <si>
    <t>CIATEJ</t>
  </si>
  <si>
    <t>CSHL</t>
  </si>
  <si>
    <t>ColumbiaU</t>
  </si>
  <si>
    <t>AbileneCU</t>
  </si>
  <si>
    <t>AinShamsU</t>
  </si>
  <si>
    <t>AixMarseilleU</t>
  </si>
  <si>
    <t>AlAzharU</t>
  </si>
  <si>
    <t>UAlexandria</t>
  </si>
  <si>
    <t>AIOUIslamabad</t>
  </si>
  <si>
    <t>ArkansasSU</t>
  </si>
  <si>
    <t>ArmstrongSU</t>
  </si>
  <si>
    <t>AssiutU</t>
  </si>
  <si>
    <t>BangaloreU</t>
  </si>
  <si>
    <t>BaylorU</t>
  </si>
  <si>
    <t>BUWuppertal</t>
  </si>
  <si>
    <t>CornellU</t>
  </si>
  <si>
    <t>CSIR-IN</t>
  </si>
  <si>
    <t>CurtinU</t>
  </si>
  <si>
    <t>DalainUT</t>
  </si>
  <si>
    <t>DeakinU</t>
  </si>
  <si>
    <t>DeogiriCol</t>
  </si>
  <si>
    <t>DBAMU</t>
  </si>
  <si>
    <t>DurhamU</t>
  </si>
  <si>
    <t>FQURep</t>
  </si>
  <si>
    <t>Fuuast</t>
  </si>
  <si>
    <t>FlindersU</t>
  </si>
  <si>
    <t>GWashingtonU</t>
  </si>
  <si>
    <t>GeorgiaIT</t>
  </si>
  <si>
    <t>GUCairo</t>
  </si>
  <si>
    <t>GulfC</t>
  </si>
  <si>
    <t>HacettepeU</t>
  </si>
  <si>
    <t>HamiltonU</t>
  </si>
  <si>
    <t>IbnTofailU</t>
  </si>
  <si>
    <t>IITMadras</t>
  </si>
  <si>
    <t>IICB</t>
  </si>
  <si>
    <t>IndianInstSci</t>
  </si>
  <si>
    <t>IUPIndiana</t>
  </si>
  <si>
    <t>IndiraGandhiNTU</t>
  </si>
  <si>
    <t>IBN</t>
  </si>
  <si>
    <t>ICTMumbai</t>
  </si>
  <si>
    <t>NASU</t>
  </si>
  <si>
    <t>IPC</t>
  </si>
  <si>
    <t>IPUkraine</t>
  </si>
  <si>
    <t>JainU</t>
  </si>
  <si>
    <t>JamiaHamdard</t>
  </si>
  <si>
    <t>KLU</t>
  </si>
  <si>
    <t>Karolinska</t>
  </si>
  <si>
    <t>KIingSaudU</t>
  </si>
  <si>
    <t>KomiSC</t>
  </si>
  <si>
    <t>KULeven</t>
  </si>
  <si>
    <t>LancasterU</t>
  </si>
  <si>
    <t>ULueneberg</t>
  </si>
  <si>
    <t>MacquarieU</t>
  </si>
  <si>
    <t>MKBU</t>
  </si>
  <si>
    <t>UMullana</t>
  </si>
  <si>
    <t>MangaloreU</t>
  </si>
  <si>
    <t>FUEgypt</t>
  </si>
  <si>
    <t>MasarykU</t>
  </si>
  <si>
    <t>McDanielC</t>
  </si>
  <si>
    <t>MUSouthCarolina</t>
  </si>
  <si>
    <t>MedUniVienna</t>
  </si>
  <si>
    <t>MUNewfoundland</t>
  </si>
  <si>
    <t>MUCTRussia</t>
  </si>
  <si>
    <t>MississippiSU</t>
  </si>
  <si>
    <t>Monash</t>
  </si>
  <si>
    <t>MtAllisonU</t>
  </si>
  <si>
    <t>NanyangTU</t>
  </si>
  <si>
    <t>NICPRD</t>
  </si>
  <si>
    <t>NRC</t>
  </si>
  <si>
    <t>NTUAthen</t>
  </si>
  <si>
    <t>NUIGalway</t>
  </si>
  <si>
    <t>NewcastleU</t>
  </si>
  <si>
    <t>NMIMSU</t>
  </si>
  <si>
    <t>NovosibirskIOC</t>
  </si>
  <si>
    <t>NSHM</t>
  </si>
  <si>
    <t>OmdurumIU</t>
  </si>
  <si>
    <t>PedecibaU</t>
  </si>
  <si>
    <t>PekingU</t>
  </si>
  <si>
    <t>PennStateBehrend</t>
  </si>
  <si>
    <t>PermStateU</t>
  </si>
  <si>
    <t>PolishAcadSci</t>
  </si>
  <si>
    <t>RIPER</t>
  </si>
  <si>
    <t>RhodesU</t>
  </si>
  <si>
    <t>RKDF</t>
  </si>
  <si>
    <t>RMIT</t>
  </si>
  <si>
    <t>RFUMedSAci</t>
  </si>
  <si>
    <t>RowanU</t>
  </si>
  <si>
    <t>RTM</t>
  </si>
  <si>
    <t>RU-Bochum</t>
  </si>
  <si>
    <t>RusAcadSci</t>
  </si>
  <si>
    <t>RWTHAachenU</t>
  </si>
  <si>
    <t>RyersonU</t>
  </si>
  <si>
    <t>SardarPatelU</t>
  </si>
  <si>
    <t>SaurashtraU</t>
  </si>
  <si>
    <t>SPPuneU</t>
  </si>
  <si>
    <t>SinaiU</t>
  </si>
  <si>
    <t>SVCoP</t>
  </si>
  <si>
    <t>SJohnFisherC</t>
  </si>
  <si>
    <t>StellenboschU</t>
  </si>
  <si>
    <t>SQaboosU</t>
  </si>
  <si>
    <t>TelAvivU</t>
  </si>
  <si>
    <t>TennesseSU</t>
  </si>
  <si>
    <t>TumkurU</t>
  </si>
  <si>
    <t>Ufa</t>
  </si>
  <si>
    <t>UAdelaide</t>
  </si>
  <si>
    <t>UBuenosAires</t>
  </si>
  <si>
    <t>UNTucuman</t>
  </si>
  <si>
    <t>UBarcelona</t>
  </si>
  <si>
    <t>UMontreal</t>
  </si>
  <si>
    <t>USherbrooke</t>
  </si>
  <si>
    <t>ULittoralCoteOpale</t>
  </si>
  <si>
    <t>ULyon1</t>
  </si>
  <si>
    <t>UPutraM</t>
  </si>
  <si>
    <t>UAlberta</t>
  </si>
  <si>
    <t>UArizona</t>
  </si>
  <si>
    <t>UArkansasMS</t>
  </si>
  <si>
    <t>UAuckland</t>
  </si>
  <si>
    <t>UBath</t>
  </si>
  <si>
    <t>UBirmingham</t>
  </si>
  <si>
    <t>UBradford</t>
  </si>
  <si>
    <t>UBristol</t>
  </si>
  <si>
    <t>UCapetown</t>
  </si>
  <si>
    <t>UCentLancashire</t>
  </si>
  <si>
    <t>UColombo</t>
  </si>
  <si>
    <t>UDelaware</t>
  </si>
  <si>
    <t>UDundee</t>
  </si>
  <si>
    <t>UEastAnglia</t>
  </si>
  <si>
    <t>UEdinburgh</t>
  </si>
  <si>
    <t>UKwaZuluNatal</t>
  </si>
  <si>
    <t>UMasssL</t>
  </si>
  <si>
    <t>UNebraskaMC</t>
  </si>
  <si>
    <t>UNorthCarolina</t>
  </si>
  <si>
    <t>UNorthwesternStPaul</t>
  </si>
  <si>
    <t>UNottingham</t>
  </si>
  <si>
    <t>UOtago</t>
  </si>
  <si>
    <t>UOxford</t>
  </si>
  <si>
    <t>UPorto</t>
  </si>
  <si>
    <t>UPrEdwardIsl</t>
  </si>
  <si>
    <t>USTBannu</t>
  </si>
  <si>
    <t>USiena</t>
  </si>
  <si>
    <t>USouthAustralia</t>
  </si>
  <si>
    <t>UStrathclyde</t>
  </si>
  <si>
    <t>UFreeState</t>
  </si>
  <si>
    <t>UPhilippinesManila</t>
  </si>
  <si>
    <t>UWesternCape</t>
  </si>
  <si>
    <t>UTrieste</t>
  </si>
  <si>
    <t>UTuebignen</t>
  </si>
  <si>
    <t>UUtah</t>
  </si>
  <si>
    <t>UVictoria</t>
  </si>
  <si>
    <t>UVienna</t>
  </si>
  <si>
    <t>UVirginiaCollWise</t>
  </si>
  <si>
    <t>UWaterloo</t>
  </si>
  <si>
    <t>UWolverhampton</t>
  </si>
  <si>
    <t>UZurich</t>
  </si>
  <si>
    <t>UHSchleswig</t>
  </si>
  <si>
    <t>UWMilwaukee</t>
  </si>
  <si>
    <t>KKharivNU</t>
  </si>
  <si>
    <t>VanderbiltU</t>
  </si>
  <si>
    <t>VUWellington</t>
  </si>
  <si>
    <t>VIT</t>
  </si>
  <si>
    <t>WakeForestU</t>
  </si>
  <si>
    <t>WUStLouis</t>
  </si>
  <si>
    <t>WaynesburgU</t>
  </si>
  <si>
    <t>WesternU</t>
  </si>
  <si>
    <t>WroclawMedU</t>
  </si>
  <si>
    <t>YaleU</t>
  </si>
  <si>
    <t>YantaiU</t>
  </si>
  <si>
    <t>YerevanSU</t>
  </si>
  <si>
    <t>ZagazigU</t>
  </si>
  <si>
    <t>UNSW|ADFA</t>
  </si>
  <si>
    <t>UoPuertoRicoRP</t>
  </si>
  <si>
    <t>UTSyd</t>
  </si>
  <si>
    <t>Scripps</t>
  </si>
  <si>
    <t>CarletonU</t>
  </si>
  <si>
    <t>BroadI</t>
  </si>
  <si>
    <t>BioCipher</t>
  </si>
  <si>
    <t>AucklandUT</t>
  </si>
  <si>
    <t>AtmiyaU</t>
  </si>
  <si>
    <t>CESCP</t>
  </si>
  <si>
    <t>ParisTechPSLUni</t>
  </si>
  <si>
    <t>CSanMateo</t>
  </si>
  <si>
    <t>CracowUT</t>
  </si>
  <si>
    <t>DamanhourUT</t>
  </si>
  <si>
    <t>GoshenC</t>
  </si>
  <si>
    <t>GriffithU</t>
  </si>
  <si>
    <t>ImperialC</t>
  </si>
  <si>
    <t>IR</t>
  </si>
  <si>
    <t>IntegralU</t>
  </si>
  <si>
    <t>IPBU</t>
  </si>
  <si>
    <t>JoufU</t>
  </si>
  <si>
    <t>LaTrobe</t>
  </si>
  <si>
    <t>LahoreUMS</t>
  </si>
  <si>
    <t>McGill</t>
  </si>
  <si>
    <t>MansouraU</t>
  </si>
  <si>
    <t>MKetchumU</t>
  </si>
  <si>
    <t>MUTI</t>
  </si>
  <si>
    <t>MonashMalaysia</t>
  </si>
  <si>
    <t>NBSciC</t>
  </si>
  <si>
    <t>NorthWestU</t>
  </si>
  <si>
    <t>NorwegianUST</t>
  </si>
  <si>
    <t>SVenkateswaraU</t>
  </si>
  <si>
    <t>SJohnCHS</t>
  </si>
  <si>
    <t>StandfordU</t>
  </si>
  <si>
    <t>TamlukC</t>
  </si>
  <si>
    <t>TrinityCUS</t>
  </si>
  <si>
    <t>TrinityC</t>
  </si>
  <si>
    <t>UZaragoza</t>
  </si>
  <si>
    <t>UNorte</t>
  </si>
  <si>
    <t>UENorteFluDR</t>
  </si>
  <si>
    <t>UFVicosa</t>
  </si>
  <si>
    <t>Uurbino</t>
  </si>
  <si>
    <t>UClermont</t>
  </si>
  <si>
    <t>UStrasbourg</t>
  </si>
  <si>
    <t>ULBruxelles</t>
  </si>
  <si>
    <t>UCCork</t>
  </si>
  <si>
    <t>UCDublin</t>
  </si>
  <si>
    <t>UCLondon</t>
  </si>
  <si>
    <t>UMPHoChiMinh</t>
  </si>
  <si>
    <t>UoNewEngland</t>
  </si>
  <si>
    <t>USharijah</t>
  </si>
  <si>
    <t>UStThomas</t>
  </si>
  <si>
    <t>UTech</t>
  </si>
  <si>
    <t>UTSanAntonio</t>
  </si>
  <si>
    <t>UWitwatersrand</t>
  </si>
  <si>
    <t>UWarwick</t>
  </si>
  <si>
    <t>UWisconsin</t>
  </si>
  <si>
    <t>UWollongong</t>
  </si>
  <si>
    <t>UNCWilmington</t>
  </si>
  <si>
    <t>Zurich University of Applied Sciences</t>
  </si>
  <si>
    <t>Walter and Eliza Hall Institute of Medical Research</t>
  </si>
  <si>
    <t>University of New South Wales, Australian Defence Force Academy</t>
  </si>
  <si>
    <t>University of Natural Resources and Life</t>
  </si>
  <si>
    <t>University of California Santa Barbara</t>
  </si>
  <si>
    <t>University of California San Francisco</t>
  </si>
  <si>
    <t>University of California San Diego</t>
  </si>
  <si>
    <t>October University for Modern Sciences and Arts</t>
  </si>
  <si>
    <t>Agency for Science, Technology and Research</t>
  </si>
  <si>
    <t>Australian National University</t>
  </si>
  <si>
    <t>Biotechnology Research Centre</t>
  </si>
  <si>
    <t>California Institute of Technology</t>
  </si>
  <si>
    <t>Commonwealth Scientific and Industrial Research</t>
  </si>
  <si>
    <t>Council for Scientific and Industrial Research</t>
  </si>
  <si>
    <t>Ecole Polytechnique Fédérale de Lausanne</t>
  </si>
  <si>
    <t>Federal University of ABC</t>
  </si>
  <si>
    <t>Global Antibiotic Research and Development Partnership</t>
  </si>
  <si>
    <t>Hautes Etudes Ingénieur</t>
  </si>
  <si>
    <t>Helmholtz Institute for Pharmaceutical Research Saarland</t>
  </si>
  <si>
    <t>Institut Català Investigació Química</t>
  </si>
  <si>
    <t>James Cook University</t>
  </si>
  <si>
    <t>Karlsruhe Institute of Technology</t>
  </si>
  <si>
    <t>Korea Institute of Science and Technology</t>
  </si>
  <si>
    <t>Medicines for Malaria Venture</t>
  </si>
  <si>
    <t>Memorial Sloan Kettering Cancer Center</t>
  </si>
  <si>
    <t>National Center for Radiation Research and Technology</t>
  </si>
  <si>
    <t>National Center for Scientific Research Demokritos</t>
  </si>
  <si>
    <t>National Institute of Health</t>
  </si>
  <si>
    <t>National Institute of Technology Warangal</t>
  </si>
  <si>
    <t>North Dakota State University</t>
  </si>
  <si>
    <t>Instituto de Química Orgánica General</t>
  </si>
  <si>
    <t>IQOG</t>
  </si>
  <si>
    <t>Nahda University Beni Suef</t>
  </si>
  <si>
    <t>São Paulo State University</t>
  </si>
  <si>
    <t>NUBeniSuef</t>
  </si>
  <si>
    <t>WurzburgU</t>
  </si>
  <si>
    <t>UWuppertal</t>
  </si>
  <si>
    <t>ChRiver</t>
  </si>
  <si>
    <t>EvotecFR</t>
  </si>
  <si>
    <t>EvotecUS</t>
  </si>
  <si>
    <t>Federal Urdu University of Arts Science and Technology</t>
  </si>
  <si>
    <t>UTromsø</t>
  </si>
  <si>
    <t>ULaHabana</t>
  </si>
  <si>
    <t>USPhiladelphia</t>
  </si>
  <si>
    <t>NUPharmacy</t>
  </si>
  <si>
    <t>KonradiMol</t>
  </si>
  <si>
    <t>MicroLabs</t>
  </si>
  <si>
    <t>VUAmsterdam</t>
  </si>
  <si>
    <t>Vrije Universiteit Amsterdam</t>
  </si>
  <si>
    <t>University of Miami Coral Gables</t>
  </si>
  <si>
    <t>ULeHavre</t>
  </si>
  <si>
    <t>UMCoralGables</t>
  </si>
  <si>
    <t>SãoPauloSU</t>
  </si>
  <si>
    <t>SudanUST</t>
  </si>
  <si>
    <t>PDEA Baburaoji Gholap College</t>
  </si>
  <si>
    <t>College of Pharmacy Baghdad</t>
  </si>
  <si>
    <t>UPBaghdad</t>
  </si>
  <si>
    <t>BaburaojiGholapC</t>
  </si>
  <si>
    <t>University of Karachi</t>
  </si>
  <si>
    <t>UKarachi</t>
  </si>
  <si>
    <t>organisation_code</t>
  </si>
  <si>
    <t>organisation</t>
  </si>
  <si>
    <t>country</t>
  </si>
  <si>
    <t>organisation_name</t>
  </si>
  <si>
    <t>organisation_type</t>
  </si>
  <si>
    <t>United States of America</t>
  </si>
  <si>
    <t>Türkiye</t>
  </si>
  <si>
    <t>chk1</t>
  </si>
  <si>
    <t>chk2</t>
  </si>
  <si>
    <t>Clinical and Health Sciences</t>
  </si>
  <si>
    <t>Dapartment of Chemistry and Biochemistry</t>
  </si>
  <si>
    <t>Australian Institute of Tropical Health and Medicine</t>
  </si>
  <si>
    <t>Department of Chemistry and Chemical Engineering, SBASSE</t>
  </si>
  <si>
    <t>Department of Chemistry and Physics</t>
  </si>
  <si>
    <t>Department of Mechanical and Process Engineering Institute of Process Engineering</t>
  </si>
  <si>
    <t>Faculty of Science Engineering and Built Environment</t>
  </si>
  <si>
    <t>Florey Institute for Neuroscience and Mental Health</t>
  </si>
  <si>
    <t>Microbiology and Immunology</t>
  </si>
  <si>
    <t>National Cancer Institute -DS andCB, Fisher Bioservices</t>
  </si>
  <si>
    <t>RandD</t>
  </si>
  <si>
    <t>School of Mathematical and Physical Sciences</t>
  </si>
  <si>
    <t>school of Molecular Biology (SCMB)</t>
  </si>
  <si>
    <t>Departamento de Quimica Organica, UMYMFOR, Facultad de Ciencias Exactas y Naturales</t>
  </si>
  <si>
    <t>HEJ research institute, International Centre for Chemical and Biological Sciences</t>
  </si>
  <si>
    <t>Jain University, Jain Global Campus Jakkasandra Post, Kanakapura Taluk Ramanagara District - 562112 Karnataka, IndiaKarnataka,</t>
  </si>
  <si>
    <t>Laboratory of Organic Chemistry, Catalysis and Environment, Faculty of Science, Ibn Tofail University, BO 133, 14000, Kenitra</t>
  </si>
  <si>
    <t>Faculty of Science Store, Monash University, Room G55, 17 Rainforest Walk (Bldg 23), Clayton, VIC 3800</t>
  </si>
  <si>
    <t>Research lab, depertment of chemistry, NIT Warangal. 506004. telangana</t>
  </si>
  <si>
    <t>Campus Universitaire des Cézeaux, 24 avenue Blaise Pascal, TSA 60026 CS 60026, 63178 Aubière Cedex</t>
  </si>
  <si>
    <t>Nasibullah</t>
  </si>
  <si>
    <t>Pharmaceutical chemistry, Faculty of Pharmacy</t>
  </si>
  <si>
    <t>Department of Pharmacognosy and Pharmaceutical Botany, Faculty of Pharmacy</t>
  </si>
  <si>
    <t>Pharmaceutical Chemistry, Faculty of Pharmacy</t>
  </si>
  <si>
    <t xml:space="preserve">Pharmaceutical organic chemistry, </t>
  </si>
  <si>
    <t>Instituto Superior Técnico, Centre for Structural Chemistry</t>
  </si>
  <si>
    <t>Community of Open Antimicrobial Drug Discovery (CO-ADD), Institute for Molecular Bioscience</t>
  </si>
  <si>
    <t>info@co-add.org</t>
  </si>
  <si>
    <t>BlaskovichM_UQ</t>
  </si>
  <si>
    <t xml:space="preserve">Deputy Head (Learning and Teaching) </t>
  </si>
  <si>
    <t>Professor of Pharmaceutical and Medicinal Chemistry</t>
  </si>
  <si>
    <t>Discovery Coordinator, Research and Development</t>
  </si>
  <si>
    <t>Professor of Chemistry and Pharmacology</t>
  </si>
  <si>
    <t>Postdoc researcher and Assistant professor</t>
  </si>
  <si>
    <t>ora_user_id</t>
  </si>
  <si>
    <t>ora_group_id</t>
  </si>
  <si>
    <t>first_name</t>
  </si>
  <si>
    <t>last_name</t>
  </si>
  <si>
    <t>title</t>
  </si>
  <si>
    <t>position</t>
  </si>
  <si>
    <t>X</t>
  </si>
  <si>
    <t>department</t>
  </si>
  <si>
    <t>postal_address</t>
  </si>
  <si>
    <t>phone</t>
  </si>
  <si>
    <t>email1</t>
  </si>
  <si>
    <t>email2</t>
  </si>
  <si>
    <t>active_email</t>
  </si>
  <si>
    <t>Lackovic</t>
  </si>
  <si>
    <t>Czechia</t>
  </si>
  <si>
    <t>email</t>
  </si>
  <si>
    <t>mta_document</t>
  </si>
  <si>
    <t>mta_status</t>
  </si>
  <si>
    <t>group_code</t>
  </si>
  <si>
    <t>ora_pi_id</t>
  </si>
  <si>
    <t>Open</t>
  </si>
  <si>
    <t>Restricted</t>
  </si>
  <si>
    <t>MTA 39; MTA for each Project; Restricted to 2 screens; IP with MMV</t>
  </si>
  <si>
    <t>Monash Institute of Pharmaceutical Science</t>
  </si>
  <si>
    <t>x1</t>
  </si>
  <si>
    <t>group_id</t>
  </si>
  <si>
    <t>djGroup_ID</t>
  </si>
  <si>
    <t>CGRP00297</t>
  </si>
  <si>
    <t>CGRP00204</t>
  </si>
  <si>
    <t>CGRP00216</t>
  </si>
  <si>
    <t>CGRP00236</t>
  </si>
  <si>
    <t>CGRP00224</t>
  </si>
  <si>
    <t>CGRP00343</t>
  </si>
  <si>
    <t>CGRP00358</t>
  </si>
  <si>
    <t>CGRP00292</t>
  </si>
  <si>
    <t>CGRP00034</t>
  </si>
  <si>
    <t>CGRP00160</t>
  </si>
  <si>
    <t>CGRP00210</t>
  </si>
  <si>
    <t>CGRP00250</t>
  </si>
  <si>
    <t>CGRP00401</t>
  </si>
  <si>
    <t>CGRP00370</t>
  </si>
  <si>
    <t>CGRP00359</t>
  </si>
  <si>
    <t>CGRP00376</t>
  </si>
  <si>
    <t>CGRP00377</t>
  </si>
  <si>
    <t>CGRP00378</t>
  </si>
  <si>
    <t>CGRP00045</t>
  </si>
  <si>
    <t>CGRP00260</t>
  </si>
  <si>
    <t>CGRP00231</t>
  </si>
  <si>
    <t>CGRP00383</t>
  </si>
  <si>
    <t>CGRP00139</t>
  </si>
  <si>
    <t>CGRP00285</t>
  </si>
  <si>
    <t>CGRP00143</t>
  </si>
  <si>
    <t>CGRP00074</t>
  </si>
  <si>
    <t>CGRP00108</t>
  </si>
  <si>
    <t>CGRP00002</t>
  </si>
  <si>
    <t>CGRP00266</t>
  </si>
  <si>
    <t>CGRP00098</t>
  </si>
  <si>
    <t>CGRP00252</t>
  </si>
  <si>
    <t>CGRP00122</t>
  </si>
  <si>
    <t>CGRP00047</t>
  </si>
  <si>
    <t>CGRP00385</t>
  </si>
  <si>
    <t>CGRP00044</t>
  </si>
  <si>
    <t>CGRP00291</t>
  </si>
  <si>
    <t>CGRP00142</t>
  </si>
  <si>
    <t>CGRP00141</t>
  </si>
  <si>
    <t>CGRP00379</t>
  </si>
  <si>
    <t>CGRP00164</t>
  </si>
  <si>
    <t>CGRP00155</t>
  </si>
  <si>
    <t>CGRP00042</t>
  </si>
  <si>
    <t>CGRP00190</t>
  </si>
  <si>
    <t>CGRP00374</t>
  </si>
  <si>
    <t>CGRP00386</t>
  </si>
  <si>
    <t>CGRP00104</t>
  </si>
  <si>
    <t>CGRP00310</t>
  </si>
  <si>
    <t>CGRP00337</t>
  </si>
  <si>
    <t>CGRP00364</t>
  </si>
  <si>
    <t>CGRP00028</t>
  </si>
  <si>
    <t>CGRP00088</t>
  </si>
  <si>
    <t>CGRP00227</t>
  </si>
  <si>
    <t>CGRP00238</t>
  </si>
  <si>
    <t>CGRP00317</t>
  </si>
  <si>
    <t>CGRP00014</t>
  </si>
  <si>
    <t>CGRP00165</t>
  </si>
  <si>
    <t>CGRP00371</t>
  </si>
  <si>
    <t>CGRP00303</t>
  </si>
  <si>
    <t>CGRP00241</t>
  </si>
  <si>
    <t>CGRP00073</t>
  </si>
  <si>
    <t>CGRP00218</t>
  </si>
  <si>
    <t>CGRP00393</t>
  </si>
  <si>
    <t>CGRP00193</t>
  </si>
  <si>
    <t>CGRP00211</t>
  </si>
  <si>
    <t>CGRP00304</t>
  </si>
  <si>
    <t>CGRP00159</t>
  </si>
  <si>
    <t>CGRP00173</t>
  </si>
  <si>
    <t>CGRP00096</t>
  </si>
  <si>
    <t>CGRP00072</t>
  </si>
  <si>
    <t>CGRP00314</t>
  </si>
  <si>
    <t>CGRP00219</t>
  </si>
  <si>
    <t>CGRP00032</t>
  </si>
  <si>
    <t>CGRP00015</t>
  </si>
  <si>
    <t>CGRP00046</t>
  </si>
  <si>
    <t>CGRP00061</t>
  </si>
  <si>
    <t>CGRP00059</t>
  </si>
  <si>
    <t>CGRP00127</t>
  </si>
  <si>
    <t>CGRP00281</t>
  </si>
  <si>
    <t>CGRP00248</t>
  </si>
  <si>
    <t>CGRP00251</t>
  </si>
  <si>
    <t>CGRP00202</t>
  </si>
  <si>
    <t>CGRP00069</t>
  </si>
  <si>
    <t>CGRP00326</t>
  </si>
  <si>
    <t>CGRP00360</t>
  </si>
  <si>
    <t>CGRP00287</t>
  </si>
  <si>
    <t>CGRP00019</t>
  </si>
  <si>
    <t>CGRP00362</t>
  </si>
  <si>
    <t>CGRP00111</t>
  </si>
  <si>
    <t>CGRP00200</t>
  </si>
  <si>
    <t>CGRP00356</t>
  </si>
  <si>
    <t>CGRP00126</t>
  </si>
  <si>
    <t>CGRP00294</t>
  </si>
  <si>
    <t>CGRP00097</t>
  </si>
  <si>
    <t>CGRP00217</t>
  </si>
  <si>
    <t>CGRP00182</t>
  </si>
  <si>
    <t>CGRP00201</t>
  </si>
  <si>
    <t>CGRP00206</t>
  </si>
  <si>
    <t>CGRP00240</t>
  </si>
  <si>
    <t>CGRP00229</t>
  </si>
  <si>
    <t>CGRP00087</t>
  </si>
  <si>
    <t>CGRP00404</t>
  </si>
  <si>
    <t>CGRP00384</t>
  </si>
  <si>
    <t>CGRP00130</t>
  </si>
  <si>
    <t>CGRP00153</t>
  </si>
  <si>
    <t>CGRP00253</t>
  </si>
  <si>
    <t>CGRP00039</t>
  </si>
  <si>
    <t>CGRP00120</t>
  </si>
  <si>
    <t>CGRP00396</t>
  </si>
  <si>
    <t>CGRP00373</t>
  </si>
  <si>
    <t>CGRP00150</t>
  </si>
  <si>
    <t>CGRP00112</t>
  </si>
  <si>
    <t>CGRP00068</t>
  </si>
  <si>
    <t>CGRP00176</t>
  </si>
  <si>
    <t>CGRP00154</t>
  </si>
  <si>
    <t>CGRP00346</t>
  </si>
  <si>
    <t>CGRP00354</t>
  </si>
  <si>
    <t>CGRP00171</t>
  </si>
  <si>
    <t>CGRP00223</t>
  </si>
  <si>
    <t>CGRP00372</t>
  </si>
  <si>
    <t>CGRP00311</t>
  </si>
  <si>
    <t>CGRP00094</t>
  </si>
  <si>
    <t>CGRP00116</t>
  </si>
  <si>
    <t>CGRP00054</t>
  </si>
  <si>
    <t>CGRP00117</t>
  </si>
  <si>
    <t>CGRP00191</t>
  </si>
  <si>
    <t>CGRP00330</t>
  </si>
  <si>
    <t>CGRP00332</t>
  </si>
  <si>
    <t>CGRP00226</t>
  </si>
  <si>
    <t>CGRP00298</t>
  </si>
  <si>
    <t>CGRP00320</t>
  </si>
  <si>
    <t>CGRP00151</t>
  </si>
  <si>
    <t>CGRP00196</t>
  </si>
  <si>
    <t>CGRP00080</t>
  </si>
  <si>
    <t>CGRP00258</t>
  </si>
  <si>
    <t>CGRP00328</t>
  </si>
  <si>
    <t>CGRP00392</t>
  </si>
  <si>
    <t>CGRP00246</t>
  </si>
  <si>
    <t>CGRP00288</t>
  </si>
  <si>
    <t>CGRP00163</t>
  </si>
  <si>
    <t>CGRP00273</t>
  </si>
  <si>
    <t>CGRP00071</t>
  </si>
  <si>
    <t>CGRP00085</t>
  </si>
  <si>
    <t>CGRP00086</t>
  </si>
  <si>
    <t>CGRP00188</t>
  </si>
  <si>
    <t>CGRP00352</t>
  </si>
  <si>
    <t>CGRP00242</t>
  </si>
  <si>
    <t>CGRP00051</t>
  </si>
  <si>
    <t>CGRP00172</t>
  </si>
  <si>
    <t>CGRP00221</t>
  </si>
  <si>
    <t>CGRP00249</t>
  </si>
  <si>
    <t>CGRP00261</t>
  </si>
  <si>
    <t>CGRP00299</t>
  </si>
  <si>
    <t>CGRP00397</t>
  </si>
  <si>
    <t>CGRP00233</t>
  </si>
  <si>
    <t>CGRP00308</t>
  </si>
  <si>
    <t>CGRP00340</t>
  </si>
  <si>
    <t>CGRP00166</t>
  </si>
  <si>
    <t>CGRP00309</t>
  </si>
  <si>
    <t>CGRP00267</t>
  </si>
  <si>
    <t>CGRP00319</t>
  </si>
  <si>
    <t>CGRP00205</t>
  </si>
  <si>
    <t>CGRP00146</t>
  </si>
  <si>
    <t>CGRP00110</t>
  </si>
  <si>
    <t>CGRP00198</t>
  </si>
  <si>
    <t>CGRP00103</t>
  </si>
  <si>
    <t>CGRP00243</t>
  </si>
  <si>
    <t>CGRP00256</t>
  </si>
  <si>
    <t>CGRP00331</t>
  </si>
  <si>
    <t>CGRP00036</t>
  </si>
  <si>
    <t>CGRP00084</t>
  </si>
  <si>
    <t>CGRP00156</t>
  </si>
  <si>
    <t>CGRP00083</t>
  </si>
  <si>
    <t>CGRP00144</t>
  </si>
  <si>
    <t>CGRP00134</t>
  </si>
  <si>
    <t>CGRP00345</t>
  </si>
  <si>
    <t>CGRP00192</t>
  </si>
  <si>
    <t>CGRP00091</t>
  </si>
  <si>
    <t>CGRP00093</t>
  </si>
  <si>
    <t>CGRP00375</t>
  </si>
  <si>
    <t>CGRP00327</t>
  </si>
  <si>
    <t>CGRP00357</t>
  </si>
  <si>
    <t>CGRP00102</t>
  </si>
  <si>
    <t>CGRP00338</t>
  </si>
  <si>
    <t>CGRP00315</t>
  </si>
  <si>
    <t>CGRP00214</t>
  </si>
  <si>
    <t>CGRP00220</t>
  </si>
  <si>
    <t>CGRP00302</t>
  </si>
  <si>
    <t>CGRP00186</t>
  </si>
  <si>
    <t>CGRP00265</t>
  </si>
  <si>
    <t>CGRP00017</t>
  </si>
  <si>
    <t>CGRP00157</t>
  </si>
  <si>
    <t>CGRP00168</t>
  </si>
  <si>
    <t>CGRP00025</t>
  </si>
  <si>
    <t>CGRP00106</t>
  </si>
  <si>
    <t>CGRP00349</t>
  </si>
  <si>
    <t>CGRP00052</t>
  </si>
  <si>
    <t>CGRP00075</t>
  </si>
  <si>
    <t>CGRP00300</t>
  </si>
  <si>
    <t>CGRP00195</t>
  </si>
  <si>
    <t>CGRP00011</t>
  </si>
  <si>
    <t>CGRP00012</t>
  </si>
  <si>
    <t>CGRP00329</t>
  </si>
  <si>
    <t>CGRP00209</t>
  </si>
  <si>
    <t>CGRP00336</t>
  </si>
  <si>
    <t>CGRP00307</t>
  </si>
  <si>
    <t>CGRP00341</t>
  </si>
  <si>
    <t>CGRP00235</t>
  </si>
  <si>
    <t>CGRP00344</t>
  </si>
  <si>
    <t>CGRP00402</t>
  </si>
  <si>
    <t>CGRP00279</t>
  </si>
  <si>
    <t>CGRP00162</t>
  </si>
  <si>
    <t>CGRP00361</t>
  </si>
  <si>
    <t>CGRP00183</t>
  </si>
  <si>
    <t>CGRP00124</t>
  </si>
  <si>
    <t>CGRP00007</t>
  </si>
  <si>
    <t>CGRP00382</t>
  </si>
  <si>
    <t>CGRP00390</t>
  </si>
  <si>
    <t>CGRP00244</t>
  </si>
  <si>
    <t>CGRP00333</t>
  </si>
  <si>
    <t>CGRP00009</t>
  </si>
  <si>
    <t>CGRP00367</t>
  </si>
  <si>
    <t>CGRP00147</t>
  </si>
  <si>
    <t>CGRP00322</t>
  </si>
  <si>
    <t>CGRP00024</t>
  </si>
  <si>
    <t>CGRP00286</t>
  </si>
  <si>
    <t>CGRP00321</t>
  </si>
  <si>
    <t>CGRP00350</t>
  </si>
  <si>
    <t>CGRP00140</t>
  </si>
  <si>
    <t>CGRP00043</t>
  </si>
  <si>
    <t>CGRP00006</t>
  </si>
  <si>
    <t>CGRP00351</t>
  </si>
  <si>
    <t>CGRP00060</t>
  </si>
  <si>
    <t>CGRP00123</t>
  </si>
  <si>
    <t>CGRP00132</t>
  </si>
  <si>
    <t>CGRP00403</t>
  </si>
  <si>
    <t>CGRP00255</t>
  </si>
  <si>
    <t>CGRP00078</t>
  </si>
  <si>
    <t>CGRP00301</t>
  </si>
  <si>
    <t>CGRP00394</t>
  </si>
  <si>
    <t>CGRP00119</t>
  </si>
  <si>
    <t>CGRP00365</t>
  </si>
  <si>
    <t>CGRP00089</t>
  </si>
  <si>
    <t>CGRP00038</t>
  </si>
  <si>
    <t>CGRP00115</t>
  </si>
  <si>
    <t>CGRP00145</t>
  </si>
  <si>
    <t>CGRP00228</t>
  </si>
  <si>
    <t>CGRP00318</t>
  </si>
  <si>
    <t>CGRP00369</t>
  </si>
  <si>
    <t>CGRP00099</t>
  </si>
  <si>
    <t>CGRP00020</t>
  </si>
  <si>
    <t>CGRP00138</t>
  </si>
  <si>
    <t>CGRP00215</t>
  </si>
  <si>
    <t>CGRP00179</t>
  </si>
  <si>
    <t>CGRP00018</t>
  </si>
  <si>
    <t>CGRP00149</t>
  </si>
  <si>
    <t>CGRP00031</t>
  </si>
  <si>
    <t>CGRP00021</t>
  </si>
  <si>
    <t>CGRP00063</t>
  </si>
  <si>
    <t>CGRP00239</t>
  </si>
  <si>
    <t>CGRP00280</t>
  </si>
  <si>
    <t>CGRP00305</t>
  </si>
  <si>
    <t>CGRP00090</t>
  </si>
  <si>
    <t>CGRP00095</t>
  </si>
  <si>
    <t>CGRP00004</t>
  </si>
  <si>
    <t>CGRP00296</t>
  </si>
  <si>
    <t>CGRP00230</t>
  </si>
  <si>
    <t>CGRP00293</t>
  </si>
  <si>
    <t>CGRP00022</t>
  </si>
  <si>
    <t>CGRP00005</t>
  </si>
  <si>
    <t>CGRP00313</t>
  </si>
  <si>
    <t>CGRP00055</t>
  </si>
  <si>
    <t>CGRP00118</t>
  </si>
  <si>
    <t>CGRP00312</t>
  </si>
  <si>
    <t>CGRP00170</t>
  </si>
  <si>
    <t>CGRP00180</t>
  </si>
  <si>
    <t>CGRP00194</t>
  </si>
  <si>
    <t>CGRP00389</t>
  </si>
  <si>
    <t>CGRP00270</t>
  </si>
  <si>
    <t>CGRP00152</t>
  </si>
  <si>
    <t>CGRP00053</t>
  </si>
  <si>
    <t>CGRP00395</t>
  </si>
  <si>
    <t>CGRP00325</t>
  </si>
  <si>
    <t>CGRP00254</t>
  </si>
  <si>
    <t>CGRP00169</t>
  </si>
  <si>
    <t>CGRP00058</t>
  </si>
  <si>
    <t>CGRP00161</t>
  </si>
  <si>
    <t>CGRP00391</t>
  </si>
  <si>
    <t>CGRP00100</t>
  </si>
  <si>
    <t>CGRP00339</t>
  </si>
  <si>
    <t>CGRP00067</t>
  </si>
  <si>
    <t>CGRP00174</t>
  </si>
  <si>
    <t>CGRP00353</t>
  </si>
  <si>
    <t>CGRP00023</t>
  </si>
  <si>
    <t>CGRP00245</t>
  </si>
  <si>
    <t>CGRP00175</t>
  </si>
  <si>
    <t>CGRP00181</t>
  </si>
  <si>
    <t>CGRP00062</t>
  </si>
  <si>
    <t>CGRP00105</t>
  </si>
  <si>
    <t>CGRP00278</t>
  </si>
  <si>
    <t>CGRP00128</t>
  </si>
  <si>
    <t>CGRP00113</t>
  </si>
  <si>
    <t>CGRP00185</t>
  </si>
  <si>
    <t>CGRP00247</t>
  </si>
  <si>
    <t>CGRP00388</t>
  </si>
  <si>
    <t>CGRP00030</t>
  </si>
  <si>
    <t>CGRP00081</t>
  </si>
  <si>
    <t>CGRP00082</t>
  </si>
  <si>
    <t>CGRP00234</t>
  </si>
  <si>
    <t>CGRP00257</t>
  </si>
  <si>
    <t>CGRP00137</t>
  </si>
  <si>
    <t>CGRP00184</t>
  </si>
  <si>
    <t>CGRP00064</t>
  </si>
  <si>
    <t>CGRP00065</t>
  </si>
  <si>
    <t>CGRP00135</t>
  </si>
  <si>
    <t>CGRP00399</t>
  </si>
  <si>
    <t>CGRP00158</t>
  </si>
  <si>
    <t>CGRP00237</t>
  </si>
  <si>
    <t>CGRP00323</t>
  </si>
  <si>
    <t>CGRP00101</t>
  </si>
  <si>
    <t>CGRP00368</t>
  </si>
  <si>
    <t>CGRP00013</t>
  </si>
  <si>
    <t>CGRP00016</t>
  </si>
  <si>
    <t>CGRP00040</t>
  </si>
  <si>
    <t>CGRP00033</t>
  </si>
  <si>
    <t>CGRP00070</t>
  </si>
  <si>
    <t>CGRP00076</t>
  </si>
  <si>
    <t>CGRP00148</t>
  </si>
  <si>
    <t>CGRP00212</t>
  </si>
  <si>
    <t>CGRP00213</t>
  </si>
  <si>
    <t>CGRP00225</t>
  </si>
  <si>
    <t>CGRP00276</t>
  </si>
  <si>
    <t>CGRP00001</t>
  </si>
  <si>
    <t>CGRP00269</t>
  </si>
  <si>
    <t>CGRP00334</t>
  </si>
  <si>
    <t>CGRP00283</t>
  </si>
  <si>
    <t>CGRP00363</t>
  </si>
  <si>
    <t>CGRP00324</t>
  </si>
  <si>
    <t>CGRP00366</t>
  </si>
  <si>
    <t>CGRP00387</t>
  </si>
  <si>
    <t>CGRP00077</t>
  </si>
  <si>
    <t>CGRP00178</t>
  </si>
  <si>
    <t>CGRP00355</t>
  </si>
  <si>
    <t>CGRP00008</t>
  </si>
  <si>
    <t>CGRP00010</t>
  </si>
  <si>
    <t>CGRP00066</t>
  </si>
  <si>
    <t>CGRP00041</t>
  </si>
  <si>
    <t>CGRP00187</t>
  </si>
  <si>
    <t>CGRP00264</t>
  </si>
  <si>
    <t>CGRP00026</t>
  </si>
  <si>
    <t>CGRP00262</t>
  </si>
  <si>
    <t>CGRP00271</t>
  </si>
  <si>
    <t>CGRP00316</t>
  </si>
  <si>
    <t>CGRP00295</t>
  </si>
  <si>
    <t>CGRP00125</t>
  </si>
  <si>
    <t>CGRP00222</t>
  </si>
  <si>
    <t>CGRP00275</t>
  </si>
  <si>
    <t>CGRP00398</t>
  </si>
  <si>
    <t>CGRP00289</t>
  </si>
  <si>
    <t>CGRP00203</t>
  </si>
  <si>
    <t>CGRP00199</t>
  </si>
  <si>
    <t>CGRP00277</t>
  </si>
  <si>
    <t>CGRP00131</t>
  </si>
  <si>
    <t>CGRP00381</t>
  </si>
  <si>
    <t>CGRP00107</t>
  </si>
  <si>
    <t>CGRP00167</t>
  </si>
  <si>
    <t>CGRP00400</t>
  </si>
  <si>
    <t>CGRP00197</t>
  </si>
  <si>
    <t>CGRP00189</t>
  </si>
  <si>
    <t>CGRP00335</t>
  </si>
  <si>
    <t>CGRP00049</t>
  </si>
  <si>
    <t>CGRP00057</t>
  </si>
  <si>
    <t>CGRP00048</t>
  </si>
  <si>
    <t>CGRP00029</t>
  </si>
  <si>
    <t>CGRP00037</t>
  </si>
  <si>
    <t>CGRP00380</t>
  </si>
  <si>
    <t>CGRP00129</t>
  </si>
  <si>
    <t>CGRP00290</t>
  </si>
  <si>
    <t>CGRP00027</t>
  </si>
  <si>
    <t>CGRP00136</t>
  </si>
  <si>
    <t>CGRP00114</t>
  </si>
  <si>
    <t>CGRP00109</t>
  </si>
  <si>
    <t>CGRP00306</t>
  </si>
  <si>
    <t>CGRP00121</t>
  </si>
  <si>
    <t>CGRP00259</t>
  </si>
  <si>
    <t>CGRP00268</t>
  </si>
  <si>
    <t>CGRP00272</t>
  </si>
  <si>
    <t>CGRP00133</t>
  </si>
  <si>
    <t>CGRP00274</t>
  </si>
  <si>
    <t>CGRP00056</t>
  </si>
  <si>
    <t>CGRP00079</t>
  </si>
  <si>
    <t>CGRP00342</t>
  </si>
  <si>
    <t>CGRP00282</t>
  </si>
  <si>
    <t>CGRP00035</t>
  </si>
  <si>
    <t>CGRP00232</t>
  </si>
  <si>
    <t>CGRP00207</t>
  </si>
  <si>
    <t>CGRP00177</t>
  </si>
  <si>
    <t>CGRP00208</t>
  </si>
  <si>
    <t>CGRP00284</t>
  </si>
  <si>
    <t>CGRP00347</t>
  </si>
  <si>
    <t>CGRP00348</t>
  </si>
  <si>
    <t>CGRP00263</t>
  </si>
  <si>
    <t>organisation_id</t>
  </si>
  <si>
    <t>CORG00001</t>
  </si>
  <si>
    <t>CORG00002</t>
  </si>
  <si>
    <t>CORG00003</t>
  </si>
  <si>
    <t>CORG00004</t>
  </si>
  <si>
    <t>CORG00005</t>
  </si>
  <si>
    <t>CORG00006</t>
  </si>
  <si>
    <t>CORG00007</t>
  </si>
  <si>
    <t>CORG00008</t>
  </si>
  <si>
    <t>CORG00009</t>
  </si>
  <si>
    <t>CORG00010</t>
  </si>
  <si>
    <t>CORG00011</t>
  </si>
  <si>
    <t>CORG00012</t>
  </si>
  <si>
    <t>CORG00013</t>
  </si>
  <si>
    <t>CORG00014</t>
  </si>
  <si>
    <t>CORG00015</t>
  </si>
  <si>
    <t>CORG00016</t>
  </si>
  <si>
    <t>CORG00017</t>
  </si>
  <si>
    <t>CORG00018</t>
  </si>
  <si>
    <t>CORG00019</t>
  </si>
  <si>
    <t>CORG00020</t>
  </si>
  <si>
    <t>CORG00021</t>
  </si>
  <si>
    <t>CORG00022</t>
  </si>
  <si>
    <t>CORG00023</t>
  </si>
  <si>
    <t>CORG00024</t>
  </si>
  <si>
    <t>CORG00025</t>
  </si>
  <si>
    <t>CORG00026</t>
  </si>
  <si>
    <t>CORG00027</t>
  </si>
  <si>
    <t>CORG00028</t>
  </si>
  <si>
    <t>CORG00029</t>
  </si>
  <si>
    <t>CORG00030</t>
  </si>
  <si>
    <t>CORG00031</t>
  </si>
  <si>
    <t>CORG00032</t>
  </si>
  <si>
    <t>CORG00033</t>
  </si>
  <si>
    <t>CORG00034</t>
  </si>
  <si>
    <t>CORG00035</t>
  </si>
  <si>
    <t>CORG00036</t>
  </si>
  <si>
    <t>CORG00037</t>
  </si>
  <si>
    <t>CORG00038</t>
  </si>
  <si>
    <t>CORG00039</t>
  </si>
  <si>
    <t>CORG00040</t>
  </si>
  <si>
    <t>CORG00041</t>
  </si>
  <si>
    <t>CORG00042</t>
  </si>
  <si>
    <t>CORG00043</t>
  </si>
  <si>
    <t>CORG00044</t>
  </si>
  <si>
    <t>CORG00045</t>
  </si>
  <si>
    <t>CORG00046</t>
  </si>
  <si>
    <t>CORG00047</t>
  </si>
  <si>
    <t>CORG00048</t>
  </si>
  <si>
    <t>CORG00049</t>
  </si>
  <si>
    <t>CORG00050</t>
  </si>
  <si>
    <t>CORG00051</t>
  </si>
  <si>
    <t>CORG00052</t>
  </si>
  <si>
    <t>CORG00053</t>
  </si>
  <si>
    <t>CORG00054</t>
  </si>
  <si>
    <t>CORG00055</t>
  </si>
  <si>
    <t>CORG00056</t>
  </si>
  <si>
    <t>CORG00057</t>
  </si>
  <si>
    <t>CORG00058</t>
  </si>
  <si>
    <t>CORG00059</t>
  </si>
  <si>
    <t>CORG00060</t>
  </si>
  <si>
    <t>CORG00061</t>
  </si>
  <si>
    <t>CORG00062</t>
  </si>
  <si>
    <t>CORG00063</t>
  </si>
  <si>
    <t>CORG00064</t>
  </si>
  <si>
    <t>CORG00065</t>
  </si>
  <si>
    <t>CORG00066</t>
  </si>
  <si>
    <t>CORG00067</t>
  </si>
  <si>
    <t>CORG00068</t>
  </si>
  <si>
    <t>CORG00069</t>
  </si>
  <si>
    <t>CORG00070</t>
  </si>
  <si>
    <t>CORG00071</t>
  </si>
  <si>
    <t>CORG00072</t>
  </si>
  <si>
    <t>CORG00073</t>
  </si>
  <si>
    <t>CORG00074</t>
  </si>
  <si>
    <t>CORG00075</t>
  </si>
  <si>
    <t>CORG00076</t>
  </si>
  <si>
    <t>CORG00077</t>
  </si>
  <si>
    <t>CORG00078</t>
  </si>
  <si>
    <t>CORG00079</t>
  </si>
  <si>
    <t>CORG00080</t>
  </si>
  <si>
    <t>CORG00081</t>
  </si>
  <si>
    <t>CORG00082</t>
  </si>
  <si>
    <t>CORG00083</t>
  </si>
  <si>
    <t>CORG00084</t>
  </si>
  <si>
    <t>CORG00085</t>
  </si>
  <si>
    <t>CORG00086</t>
  </si>
  <si>
    <t>CORG00087</t>
  </si>
  <si>
    <t>CORG00088</t>
  </si>
  <si>
    <t>CORG00089</t>
  </si>
  <si>
    <t>CORG00090</t>
  </si>
  <si>
    <t>CORG00091</t>
  </si>
  <si>
    <t>CORG00092</t>
  </si>
  <si>
    <t>CORG00093</t>
  </si>
  <si>
    <t>CORG00094</t>
  </si>
  <si>
    <t>CORG00095</t>
  </si>
  <si>
    <t>CORG00096</t>
  </si>
  <si>
    <t>CORG00097</t>
  </si>
  <si>
    <t>CORG00098</t>
  </si>
  <si>
    <t>CORG00099</t>
  </si>
  <si>
    <t>CORG00100</t>
  </si>
  <si>
    <t>CORG00101</t>
  </si>
  <si>
    <t>CORG00102</t>
  </si>
  <si>
    <t>CORG00103</t>
  </si>
  <si>
    <t>CORG00104</t>
  </si>
  <si>
    <t>CORG00105</t>
  </si>
  <si>
    <t>CORG00106</t>
  </si>
  <si>
    <t>CORG00107</t>
  </si>
  <si>
    <t>CORG00108</t>
  </si>
  <si>
    <t>CORG00109</t>
  </si>
  <si>
    <t>CORG00110</t>
  </si>
  <si>
    <t>CORG00111</t>
  </si>
  <si>
    <t>CORG00112</t>
  </si>
  <si>
    <t>CORG00113</t>
  </si>
  <si>
    <t>CORG00114</t>
  </si>
  <si>
    <t>CORG00115</t>
  </si>
  <si>
    <t>CORG00116</t>
  </si>
  <si>
    <t>CORG00117</t>
  </si>
  <si>
    <t>CORG00118</t>
  </si>
  <si>
    <t>CORG00119</t>
  </si>
  <si>
    <t>CORG00120</t>
  </si>
  <si>
    <t>CORG00121</t>
  </si>
  <si>
    <t>CORG00122</t>
  </si>
  <si>
    <t>CORG00123</t>
  </si>
  <si>
    <t>CORG00124</t>
  </si>
  <si>
    <t>CORG00125</t>
  </si>
  <si>
    <t>CORG00126</t>
  </si>
  <si>
    <t>CORG00127</t>
  </si>
  <si>
    <t>CORG00128</t>
  </si>
  <si>
    <t>CORG00129</t>
  </si>
  <si>
    <t>CORG00130</t>
  </si>
  <si>
    <t>CORG00131</t>
  </si>
  <si>
    <t>CORG00132</t>
  </si>
  <si>
    <t>CORG00133</t>
  </si>
  <si>
    <t>CORG00134</t>
  </si>
  <si>
    <t>CORG00135</t>
  </si>
  <si>
    <t>CORG00136</t>
  </si>
  <si>
    <t>CORG00137</t>
  </si>
  <si>
    <t>CORG00138</t>
  </si>
  <si>
    <t>CORG00139</t>
  </si>
  <si>
    <t>CORG00140</t>
  </si>
  <si>
    <t>CORG00141</t>
  </si>
  <si>
    <t>CORG00142</t>
  </si>
  <si>
    <t>CORG00143</t>
  </si>
  <si>
    <t>CORG00144</t>
  </si>
  <si>
    <t>CORG00145</t>
  </si>
  <si>
    <t>CORG00146</t>
  </si>
  <si>
    <t>CORG00147</t>
  </si>
  <si>
    <t>CORG00148</t>
  </si>
  <si>
    <t>CORG00149</t>
  </si>
  <si>
    <t>CORG00150</t>
  </si>
  <si>
    <t>CORG00151</t>
  </si>
  <si>
    <t>CORG00152</t>
  </si>
  <si>
    <t>CORG00153</t>
  </si>
  <si>
    <t>CORG00154</t>
  </si>
  <si>
    <t>CORG00155</t>
  </si>
  <si>
    <t>CORG00156</t>
  </si>
  <si>
    <t>CORG00157</t>
  </si>
  <si>
    <t>CORG00158</t>
  </si>
  <si>
    <t>CORG00159</t>
  </si>
  <si>
    <t>CORG00160</t>
  </si>
  <si>
    <t>CORG00161</t>
  </si>
  <si>
    <t>CORG00162</t>
  </si>
  <si>
    <t>CORG00163</t>
  </si>
  <si>
    <t>CORG00164</t>
  </si>
  <si>
    <t>CORG00165</t>
  </si>
  <si>
    <t>CORG00166</t>
  </si>
  <si>
    <t>CORG00167</t>
  </si>
  <si>
    <t>CORG00168</t>
  </si>
  <si>
    <t>CORG00169</t>
  </si>
  <si>
    <t>CORG00170</t>
  </si>
  <si>
    <t>CORG00171</t>
  </si>
  <si>
    <t>CORG00172</t>
  </si>
  <si>
    <t>CORG00173</t>
  </si>
  <si>
    <t>CORG00174</t>
  </si>
  <si>
    <t>CORG00175</t>
  </si>
  <si>
    <t>CORG00176</t>
  </si>
  <si>
    <t>CORG00177</t>
  </si>
  <si>
    <t>CORG00178</t>
  </si>
  <si>
    <t>CORG00179</t>
  </si>
  <si>
    <t>CORG00180</t>
  </si>
  <si>
    <t>CORG00181</t>
  </si>
  <si>
    <t>CORG00182</t>
  </si>
  <si>
    <t>CORG00183</t>
  </si>
  <si>
    <t>CORG00184</t>
  </si>
  <si>
    <t>CORG00185</t>
  </si>
  <si>
    <t>CORG00186</t>
  </si>
  <si>
    <t>CORG00187</t>
  </si>
  <si>
    <t>CORG00188</t>
  </si>
  <si>
    <t>CORG00189</t>
  </si>
  <si>
    <t>CORG00190</t>
  </si>
  <si>
    <t>CORG00191</t>
  </si>
  <si>
    <t>CORG00192</t>
  </si>
  <si>
    <t>CORG00193</t>
  </si>
  <si>
    <t>CORG00194</t>
  </si>
  <si>
    <t>CORG00195</t>
  </si>
  <si>
    <t>CORG00196</t>
  </si>
  <si>
    <t>CORG00197</t>
  </si>
  <si>
    <t>CORG00198</t>
  </si>
  <si>
    <t>CORG00199</t>
  </si>
  <si>
    <t>CORG00200</t>
  </si>
  <si>
    <t>CORG00201</t>
  </si>
  <si>
    <t>CORG00202</t>
  </si>
  <si>
    <t>CORG00203</t>
  </si>
  <si>
    <t>CORG00204</t>
  </si>
  <si>
    <t>CORG00205</t>
  </si>
  <si>
    <t>CORG00206</t>
  </si>
  <si>
    <t>CORG00207</t>
  </si>
  <si>
    <t>CORG00208</t>
  </si>
  <si>
    <t>CORG00209</t>
  </si>
  <si>
    <t>CORG00210</t>
  </si>
  <si>
    <t>CORG00211</t>
  </si>
  <si>
    <t>CORG00212</t>
  </si>
  <si>
    <t>CORG00213</t>
  </si>
  <si>
    <t>CORG00214</t>
  </si>
  <si>
    <t>CORG00215</t>
  </si>
  <si>
    <t>CORG00216</t>
  </si>
  <si>
    <t>CORG00217</t>
  </si>
  <si>
    <t>CORG00218</t>
  </si>
  <si>
    <t>CORG00219</t>
  </si>
  <si>
    <t>CORG00220</t>
  </si>
  <si>
    <t>CORG00221</t>
  </si>
  <si>
    <t>CORG00222</t>
  </si>
  <si>
    <t>CORG00223</t>
  </si>
  <si>
    <t>CORG00224</t>
  </si>
  <si>
    <t>CORG00225</t>
  </si>
  <si>
    <t>CORG00226</t>
  </si>
  <si>
    <t>CORG00227</t>
  </si>
  <si>
    <t>CORG00228</t>
  </si>
  <si>
    <t>CORG00229</t>
  </si>
  <si>
    <t>CORG00230</t>
  </si>
  <si>
    <t>CORG00231</t>
  </si>
  <si>
    <t>CORG00232</t>
  </si>
  <si>
    <t>CORG00233</t>
  </si>
  <si>
    <t>CORG00234</t>
  </si>
  <si>
    <t>CORG00235</t>
  </si>
  <si>
    <t>CORG00236</t>
  </si>
  <si>
    <t>CORG00237</t>
  </si>
  <si>
    <t>CORG00238</t>
  </si>
  <si>
    <t>CORG00239</t>
  </si>
  <si>
    <t>CORG00240</t>
  </si>
  <si>
    <t>CORG00241</t>
  </si>
  <si>
    <t>CORG00242</t>
  </si>
  <si>
    <t>CORG00243</t>
  </si>
  <si>
    <t>CORG00244</t>
  </si>
  <si>
    <t>CORG00245</t>
  </si>
  <si>
    <t>CORG00246</t>
  </si>
  <si>
    <t>CORG00247</t>
  </si>
  <si>
    <t>CORG00248</t>
  </si>
  <si>
    <t>CORG00249</t>
  </si>
  <si>
    <t>CORG00250</t>
  </si>
  <si>
    <t>CORG00251</t>
  </si>
  <si>
    <t>CORG00252</t>
  </si>
  <si>
    <t>CORG00253</t>
  </si>
  <si>
    <t>CORG00254</t>
  </si>
  <si>
    <t>CORG00255</t>
  </si>
  <si>
    <t>CORG00256</t>
  </si>
  <si>
    <t>CORG00257</t>
  </si>
  <si>
    <t>CORG00258</t>
  </si>
  <si>
    <t>CORG00259</t>
  </si>
  <si>
    <t>CORG00260</t>
  </si>
  <si>
    <t>CORG00261</t>
  </si>
  <si>
    <t>CORG00262</t>
  </si>
  <si>
    <t>CORG00263</t>
  </si>
  <si>
    <t>CORG00264</t>
  </si>
  <si>
    <t>CORG00265</t>
  </si>
  <si>
    <t>CORG00266</t>
  </si>
  <si>
    <t>CORG00267</t>
  </si>
  <si>
    <t>CORG00268</t>
  </si>
  <si>
    <t>CORG00269</t>
  </si>
  <si>
    <t>CORG00270</t>
  </si>
  <si>
    <t>CORG00271</t>
  </si>
  <si>
    <t>CORG00272</t>
  </si>
  <si>
    <t>CORG00273</t>
  </si>
  <si>
    <t>CORG00274</t>
  </si>
  <si>
    <t>CORG00275</t>
  </si>
  <si>
    <t>CORG00276</t>
  </si>
  <si>
    <t>CORG00277</t>
  </si>
  <si>
    <t>CORG00278</t>
  </si>
  <si>
    <t>CORG00279</t>
  </si>
  <si>
    <t>CORG00280</t>
  </si>
  <si>
    <t>CORG00281</t>
  </si>
  <si>
    <t>CORG00282</t>
  </si>
  <si>
    <t>CORG00283</t>
  </si>
  <si>
    <t>CORG00284</t>
  </si>
  <si>
    <t>CORG00285</t>
  </si>
  <si>
    <t>CORG00286</t>
  </si>
  <si>
    <t>CORG00287</t>
  </si>
  <si>
    <t>CORG00288</t>
  </si>
  <si>
    <t>CORG00289</t>
  </si>
  <si>
    <t>CORG00290</t>
  </si>
  <si>
    <t>CORG00291</t>
  </si>
  <si>
    <t>CORG00292</t>
  </si>
  <si>
    <t>CORG00293</t>
  </si>
  <si>
    <t>CORG00294</t>
  </si>
  <si>
    <t>CORG00295</t>
  </si>
  <si>
    <t>CORG00296</t>
  </si>
  <si>
    <t>CORG00297</t>
  </si>
  <si>
    <t>CORG00298</t>
  </si>
  <si>
    <t>CORG00299</t>
  </si>
  <si>
    <t>CORG00300</t>
  </si>
  <si>
    <t>CORG00301</t>
  </si>
  <si>
    <t>CORG00302</t>
  </si>
  <si>
    <t>CORG00303</t>
  </si>
  <si>
    <t>CORG00304</t>
  </si>
  <si>
    <t>CORG00305</t>
  </si>
  <si>
    <t>CORG00306</t>
  </si>
  <si>
    <t>CORG00307</t>
  </si>
  <si>
    <t>CORG00308</t>
  </si>
  <si>
    <t>CORG00309</t>
  </si>
  <si>
    <t>CORG00310</t>
  </si>
  <si>
    <t>CORG00311</t>
  </si>
  <si>
    <t>CORG00312</t>
  </si>
  <si>
    <t>CORG00313</t>
  </si>
  <si>
    <t>CORG00314</t>
  </si>
  <si>
    <t>user_id</t>
  </si>
  <si>
    <t>CGRP00003</t>
  </si>
  <si>
    <t>CUSR00001</t>
  </si>
  <si>
    <t>CUSR00002</t>
  </si>
  <si>
    <t>CUSR00003</t>
  </si>
  <si>
    <t>CUSR00004</t>
  </si>
  <si>
    <t>CUSR00005</t>
  </si>
  <si>
    <t>CUSR00006</t>
  </si>
  <si>
    <t>CUSR00007</t>
  </si>
  <si>
    <t>CUSR00008</t>
  </si>
  <si>
    <t>CUSR00009</t>
  </si>
  <si>
    <t>CUSR00010</t>
  </si>
  <si>
    <t>CUSR00011</t>
  </si>
  <si>
    <t>CUSR00012</t>
  </si>
  <si>
    <t>CUSR00013</t>
  </si>
  <si>
    <t>CUSR00014</t>
  </si>
  <si>
    <t>CUSR00015</t>
  </si>
  <si>
    <t>CUSR00016</t>
  </si>
  <si>
    <t>CUSR00017</t>
  </si>
  <si>
    <t>CUSR00018</t>
  </si>
  <si>
    <t>CUSR00019</t>
  </si>
  <si>
    <t>CUSR00020</t>
  </si>
  <si>
    <t>CUSR00021</t>
  </si>
  <si>
    <t>CUSR00022</t>
  </si>
  <si>
    <t>CUSR00023</t>
  </si>
  <si>
    <t>CUSR00024</t>
  </si>
  <si>
    <t>CUSR00025</t>
  </si>
  <si>
    <t>CUSR00026</t>
  </si>
  <si>
    <t>CUSR00027</t>
  </si>
  <si>
    <t>CUSR00028</t>
  </si>
  <si>
    <t>CUSR00029</t>
  </si>
  <si>
    <t>CUSR00030</t>
  </si>
  <si>
    <t>CUSR00031</t>
  </si>
  <si>
    <t>CUSR00034</t>
  </si>
  <si>
    <t>CUSR00035</t>
  </si>
  <si>
    <t>CUSR00036</t>
  </si>
  <si>
    <t>CUSR00037</t>
  </si>
  <si>
    <t>CUSR00038</t>
  </si>
  <si>
    <t>CUSR00039</t>
  </si>
  <si>
    <t>CUSR00040</t>
  </si>
  <si>
    <t>CUSR00041</t>
  </si>
  <si>
    <t>CUSR00042</t>
  </si>
  <si>
    <t>CUSR00043</t>
  </si>
  <si>
    <t>CUSR00044</t>
  </si>
  <si>
    <t>CUSR00045</t>
  </si>
  <si>
    <t>CUSR00046</t>
  </si>
  <si>
    <t>CUSR00047</t>
  </si>
  <si>
    <t>CUSR00048</t>
  </si>
  <si>
    <t>CUSR00049</t>
  </si>
  <si>
    <t>CUSR00050</t>
  </si>
  <si>
    <t>CUSR00051</t>
  </si>
  <si>
    <t>CUSR00052</t>
  </si>
  <si>
    <t>CUSR00053</t>
  </si>
  <si>
    <t>CUSR00054</t>
  </si>
  <si>
    <t>CUSR00055</t>
  </si>
  <si>
    <t>CUSR00056</t>
  </si>
  <si>
    <t>CUSR00057</t>
  </si>
  <si>
    <t>CUSR00058</t>
  </si>
  <si>
    <t>CUSR00059</t>
  </si>
  <si>
    <t>CUSR00060</t>
  </si>
  <si>
    <t>CUSR00061</t>
  </si>
  <si>
    <t>CUSR00062</t>
  </si>
  <si>
    <t>CUSR00063</t>
  </si>
  <si>
    <t>CUSR00064</t>
  </si>
  <si>
    <t>CUSR00065</t>
  </si>
  <si>
    <t>CUSR00066</t>
  </si>
  <si>
    <t>CUSR00067</t>
  </si>
  <si>
    <t>CUSR00068</t>
  </si>
  <si>
    <t>CUSR00069</t>
  </si>
  <si>
    <t>CUSR00070</t>
  </si>
  <si>
    <t>CUSR00071</t>
  </si>
  <si>
    <t>CUSR00072</t>
  </si>
  <si>
    <t>CUSR00073</t>
  </si>
  <si>
    <t>CUSR00074</t>
  </si>
  <si>
    <t>CUSR00075</t>
  </si>
  <si>
    <t>CUSR00076</t>
  </si>
  <si>
    <t>CUSR00077</t>
  </si>
  <si>
    <t>CUSR00078</t>
  </si>
  <si>
    <t>CUSR00079</t>
  </si>
  <si>
    <t>CUSR00080</t>
  </si>
  <si>
    <t>CUSR00081</t>
  </si>
  <si>
    <t>CUSR00082</t>
  </si>
  <si>
    <t>CUSR00083</t>
  </si>
  <si>
    <t>CUSR00084</t>
  </si>
  <si>
    <t>CUSR00085</t>
  </si>
  <si>
    <t>CUSR00086</t>
  </si>
  <si>
    <t>CUSR00087</t>
  </si>
  <si>
    <t>CUSR00088</t>
  </si>
  <si>
    <t>CUSR00089</t>
  </si>
  <si>
    <t>CUSR00090</t>
  </si>
  <si>
    <t>CUSR00091</t>
  </si>
  <si>
    <t>CUSR00092</t>
  </si>
  <si>
    <t>CUSR00093</t>
  </si>
  <si>
    <t>CUSR00094</t>
  </si>
  <si>
    <t>CUSR00095</t>
  </si>
  <si>
    <t>CUSR00096</t>
  </si>
  <si>
    <t>CUSR00097</t>
  </si>
  <si>
    <t>CUSR00098</t>
  </si>
  <si>
    <t>CUSR00099</t>
  </si>
  <si>
    <t>CUSR00100</t>
  </si>
  <si>
    <t>CUSR00101</t>
  </si>
  <si>
    <t>CUSR00102</t>
  </si>
  <si>
    <t>CUSR00103</t>
  </si>
  <si>
    <t>CUSR00104</t>
  </si>
  <si>
    <t>CUSR00105</t>
  </si>
  <si>
    <t>CUSR00106</t>
  </si>
  <si>
    <t>CUSR00107</t>
  </si>
  <si>
    <t>CUSR00108</t>
  </si>
  <si>
    <t>CUSR00109</t>
  </si>
  <si>
    <t>CUSR00110</t>
  </si>
  <si>
    <t>CUSR00111</t>
  </si>
  <si>
    <t>CUSR00112</t>
  </si>
  <si>
    <t>CUSR00113</t>
  </si>
  <si>
    <t>CUSR00114</t>
  </si>
  <si>
    <t>CUSR00115</t>
  </si>
  <si>
    <t>CUSR00116</t>
  </si>
  <si>
    <t>CUSR00117</t>
  </si>
  <si>
    <t>CUSR00118</t>
  </si>
  <si>
    <t>CUSR00119</t>
  </si>
  <si>
    <t>CUSR00120</t>
  </si>
  <si>
    <t>CUSR00121</t>
  </si>
  <si>
    <t>CUSR00122</t>
  </si>
  <si>
    <t>CUSR00835</t>
  </si>
  <si>
    <t>CUSR00836</t>
  </si>
  <si>
    <t>CUSR00125</t>
  </si>
  <si>
    <t>CUSR00126</t>
  </si>
  <si>
    <t>CUSR00127</t>
  </si>
  <si>
    <t>CUSR00128</t>
  </si>
  <si>
    <t>CUSR00129</t>
  </si>
  <si>
    <t>CUSR00130</t>
  </si>
  <si>
    <t>CUSR00131</t>
  </si>
  <si>
    <t>CUSR00132</t>
  </si>
  <si>
    <t>CUSR00133</t>
  </si>
  <si>
    <t>CUSR00134</t>
  </si>
  <si>
    <t>CUSR00135</t>
  </si>
  <si>
    <t>CUSR00136</t>
  </si>
  <si>
    <t>CUSR00137</t>
  </si>
  <si>
    <t>CUSR00138</t>
  </si>
  <si>
    <t>CUSR00139</t>
  </si>
  <si>
    <t>CUSR00140</t>
  </si>
  <si>
    <t>CUSR00141</t>
  </si>
  <si>
    <t>CUSR00142</t>
  </si>
  <si>
    <t>CUSR00143</t>
  </si>
  <si>
    <t>CUSR00144</t>
  </si>
  <si>
    <t>CUSR00145</t>
  </si>
  <si>
    <t>CUSR00146</t>
  </si>
  <si>
    <t>CUSR00147</t>
  </si>
  <si>
    <t>CUSR00148</t>
  </si>
  <si>
    <t>CUSR00149</t>
  </si>
  <si>
    <t>CUSR00150</t>
  </si>
  <si>
    <t>CUSR00151</t>
  </si>
  <si>
    <t>CUSR00152</t>
  </si>
  <si>
    <t>CUSR00153</t>
  </si>
  <si>
    <t>CUSR00154</t>
  </si>
  <si>
    <t>CUSR00155</t>
  </si>
  <si>
    <t>CUSR00156</t>
  </si>
  <si>
    <t>CUSR00157</t>
  </si>
  <si>
    <t>CUSR00158</t>
  </si>
  <si>
    <t>CUSR00159</t>
  </si>
  <si>
    <t>CUSR00160</t>
  </si>
  <si>
    <t>CUSR00161</t>
  </si>
  <si>
    <t>CUSR00162</t>
  </si>
  <si>
    <t>CUSR00163</t>
  </si>
  <si>
    <t>CUSR00164</t>
  </si>
  <si>
    <t>CUSR00165</t>
  </si>
  <si>
    <t>CUSR00166</t>
  </si>
  <si>
    <t>CUSR00167</t>
  </si>
  <si>
    <t>CUSR00168</t>
  </si>
  <si>
    <t>CUSR00169</t>
  </si>
  <si>
    <t>CUSR00170</t>
  </si>
  <si>
    <t>CUSR00171</t>
  </si>
  <si>
    <t>CUSR00172</t>
  </si>
  <si>
    <t>CUSR00173</t>
  </si>
  <si>
    <t>CUSR00174</t>
  </si>
  <si>
    <t>CUSR00175</t>
  </si>
  <si>
    <t>CUSR00176</t>
  </si>
  <si>
    <t>CUSR00177</t>
  </si>
  <si>
    <t>CUSR00178</t>
  </si>
  <si>
    <t>CUSR00179</t>
  </si>
  <si>
    <t>CUSR00180</t>
  </si>
  <si>
    <t>CUSR00181</t>
  </si>
  <si>
    <t>CUSR00182</t>
  </si>
  <si>
    <t>CUSR00183</t>
  </si>
  <si>
    <t>CUSR00184</t>
  </si>
  <si>
    <t>CUSR00185</t>
  </si>
  <si>
    <t>CUSR00186</t>
  </si>
  <si>
    <t>CUSR00187</t>
  </si>
  <si>
    <t>CUSR00188</t>
  </si>
  <si>
    <t>CUSR00189</t>
  </si>
  <si>
    <t>CUSR00190</t>
  </si>
  <si>
    <t>CUSR00191</t>
  </si>
  <si>
    <t>CUSR00192</t>
  </si>
  <si>
    <t>CUSR00193</t>
  </si>
  <si>
    <t>CUSR00194</t>
  </si>
  <si>
    <t>CUSR00195</t>
  </si>
  <si>
    <t>CUSR00196</t>
  </si>
  <si>
    <t>CUSR00197</t>
  </si>
  <si>
    <t>CUSR00198</t>
  </si>
  <si>
    <t>CUSR00199</t>
  </si>
  <si>
    <t>CUSR00200</t>
  </si>
  <si>
    <t>CUSR00201</t>
  </si>
  <si>
    <t>CUSR00202</t>
  </si>
  <si>
    <t>CUSR00203</t>
  </si>
  <si>
    <t>CUSR00204</t>
  </si>
  <si>
    <t>CUSR00205</t>
  </si>
  <si>
    <t>CUSR00206</t>
  </si>
  <si>
    <t>CUSR00207</t>
  </si>
  <si>
    <t>CUSR00208</t>
  </si>
  <si>
    <t>CUSR00209</t>
  </si>
  <si>
    <t>CUSR00210</t>
  </si>
  <si>
    <t>CUSR00211</t>
  </si>
  <si>
    <t>CUSR00212</t>
  </si>
  <si>
    <t>CUSR00213</t>
  </si>
  <si>
    <t>CUSR00214</t>
  </si>
  <si>
    <t>CUSR00215</t>
  </si>
  <si>
    <t>CUSR00216</t>
  </si>
  <si>
    <t>CUSR00217</t>
  </si>
  <si>
    <t>CUSR00218</t>
  </si>
  <si>
    <t>CUSR00219</t>
  </si>
  <si>
    <t>CUSR00220</t>
  </si>
  <si>
    <t>CUSR00221</t>
  </si>
  <si>
    <t>CUSR00222</t>
  </si>
  <si>
    <t>CUSR00223</t>
  </si>
  <si>
    <t>CUSR00224</t>
  </si>
  <si>
    <t>CUSR00225</t>
  </si>
  <si>
    <t>CUSR00226</t>
  </si>
  <si>
    <t>CUSR00227</t>
  </si>
  <si>
    <t>CUSR00228</t>
  </si>
  <si>
    <t>CUSR00229</t>
  </si>
  <si>
    <t>CUSR00230</t>
  </si>
  <si>
    <t>CUSR00231</t>
  </si>
  <si>
    <t>CUSR00232</t>
  </si>
  <si>
    <t>CUSR00233</t>
  </si>
  <si>
    <t>CUSR00234</t>
  </si>
  <si>
    <t>CUSR00235</t>
  </si>
  <si>
    <t>CUSR00236</t>
  </si>
  <si>
    <t>CUSR00237</t>
  </si>
  <si>
    <t>CUSR00238</t>
  </si>
  <si>
    <t>CUSR00239</t>
  </si>
  <si>
    <t>CUSR00240</t>
  </si>
  <si>
    <t>CUSR00241</t>
  </si>
  <si>
    <t>CUSR00242</t>
  </si>
  <si>
    <t>CUSR00243</t>
  </si>
  <si>
    <t>CUSR00244</t>
  </si>
  <si>
    <t>CUSR00245</t>
  </si>
  <si>
    <t>CUSR00246</t>
  </si>
  <si>
    <t>CUSR00247</t>
  </si>
  <si>
    <t>CUSR00248</t>
  </si>
  <si>
    <t>CUSR00249</t>
  </si>
  <si>
    <t>CUSR00250</t>
  </si>
  <si>
    <t>CUSR00251</t>
  </si>
  <si>
    <t>CUSR00252</t>
  </si>
  <si>
    <t>CUSR00253</t>
  </si>
  <si>
    <t>CUSR00254</t>
  </si>
  <si>
    <t>CUSR00255</t>
  </si>
  <si>
    <t>CUSR00256</t>
  </si>
  <si>
    <t>CUSR00257</t>
  </si>
  <si>
    <t>CUSR00258</t>
  </si>
  <si>
    <t>CUSR00259</t>
  </si>
  <si>
    <t>CUSR00260</t>
  </si>
  <si>
    <t>CUSR00261</t>
  </si>
  <si>
    <t>CUSR00262</t>
  </si>
  <si>
    <t>CUSR00263</t>
  </si>
  <si>
    <t>CUSR00264</t>
  </si>
  <si>
    <t>CUSR00265</t>
  </si>
  <si>
    <t>CUSR00266</t>
  </si>
  <si>
    <t>CUSR00267</t>
  </si>
  <si>
    <t>CUSR00268</t>
  </si>
  <si>
    <t>CUSR00269</t>
  </si>
  <si>
    <t>CUSR00270</t>
  </si>
  <si>
    <t>CUSR00271</t>
  </si>
  <si>
    <t>CUSR00272</t>
  </si>
  <si>
    <t>CUSR00273</t>
  </si>
  <si>
    <t>CUSR00274</t>
  </si>
  <si>
    <t>CUSR00275</t>
  </si>
  <si>
    <t>CUSR00276</t>
  </si>
  <si>
    <t>CUSR00277</t>
  </si>
  <si>
    <t>CUSR00278</t>
  </si>
  <si>
    <t>CUSR00279</t>
  </si>
  <si>
    <t>CUSR00280</t>
  </si>
  <si>
    <t>CUSR00281</t>
  </si>
  <si>
    <t>CUSR00282</t>
  </si>
  <si>
    <t>CUSR00283</t>
  </si>
  <si>
    <t>CUSR00284</t>
  </si>
  <si>
    <t>CUSR00285</t>
  </si>
  <si>
    <t>CUSR00286</t>
  </si>
  <si>
    <t>CUSR00287</t>
  </si>
  <si>
    <t>CUSR00288</t>
  </si>
  <si>
    <t>CUSR00289</t>
  </si>
  <si>
    <t>CUSR00290</t>
  </si>
  <si>
    <t>CUSR00291</t>
  </si>
  <si>
    <t>CUSR00292</t>
  </si>
  <si>
    <t>CUSR00293</t>
  </si>
  <si>
    <t>CUSR00294</t>
  </si>
  <si>
    <t>CUSR00295</t>
  </si>
  <si>
    <t>CUSR00296</t>
  </si>
  <si>
    <t>CUSR00297</t>
  </si>
  <si>
    <t>CUSR00298</t>
  </si>
  <si>
    <t>CUSR00299</t>
  </si>
  <si>
    <t>CUSR00300</t>
  </si>
  <si>
    <t>CUSR00301</t>
  </si>
  <si>
    <t>CUSR00302</t>
  </si>
  <si>
    <t>CUSR00303</t>
  </si>
  <si>
    <t>CUSR00304</t>
  </si>
  <si>
    <t>CUSR00305</t>
  </si>
  <si>
    <t>CUSR00306</t>
  </si>
  <si>
    <t>CUSR00307</t>
  </si>
  <si>
    <t>CUSR00308</t>
  </si>
  <si>
    <t>CUSR00309</t>
  </si>
  <si>
    <t>CUSR00310</t>
  </si>
  <si>
    <t>CUSR00311</t>
  </si>
  <si>
    <t>CUSR00312</t>
  </si>
  <si>
    <t>CUSR00313</t>
  </si>
  <si>
    <t>CUSR00314</t>
  </si>
  <si>
    <t>CUSR00315</t>
  </si>
  <si>
    <t>CUSR00316</t>
  </si>
  <si>
    <t>CUSR00317</t>
  </si>
  <si>
    <t>CUSR00318</t>
  </si>
  <si>
    <t>CUSR00319</t>
  </si>
  <si>
    <t>CUSR00320</t>
  </si>
  <si>
    <t>CUSR00321</t>
  </si>
  <si>
    <t>CUSR00322</t>
  </si>
  <si>
    <t>CUSR00323</t>
  </si>
  <si>
    <t>CUSR00324</t>
  </si>
  <si>
    <t>CUSR00325</t>
  </si>
  <si>
    <t>CUSR00326</t>
  </si>
  <si>
    <t>CUSR00327</t>
  </si>
  <si>
    <t>CUSR00328</t>
  </si>
  <si>
    <t>CUSR00329</t>
  </si>
  <si>
    <t>CUSR00330</t>
  </si>
  <si>
    <t>CUSR00331</t>
  </si>
  <si>
    <t>CUSR00332</t>
  </si>
  <si>
    <t>CUSR00333</t>
  </si>
  <si>
    <t>CUSR00334</t>
  </si>
  <si>
    <t>CUSR00335</t>
  </si>
  <si>
    <t>CUSR00336</t>
  </si>
  <si>
    <t>CUSR00337</t>
  </si>
  <si>
    <t>CUSR00338</t>
  </si>
  <si>
    <t>CUSR00339</t>
  </si>
  <si>
    <t>CUSR00340</t>
  </si>
  <si>
    <t>CUSR00341</t>
  </si>
  <si>
    <t>CUSR00342</t>
  </si>
  <si>
    <t>CUSR00343</t>
  </si>
  <si>
    <t>CUSR00344</t>
  </si>
  <si>
    <t>CUSR00345</t>
  </si>
  <si>
    <t>CUSR00346</t>
  </si>
  <si>
    <t>CUSR00347</t>
  </si>
  <si>
    <t>CUSR00348</t>
  </si>
  <si>
    <t>CUSR00349</t>
  </si>
  <si>
    <t>CUSR00350</t>
  </si>
  <si>
    <t>CUSR00351</t>
  </si>
  <si>
    <t>CUSR00352</t>
  </si>
  <si>
    <t>CUSR00353</t>
  </si>
  <si>
    <t>CUSR00354</t>
  </si>
  <si>
    <t>CUSR00355</t>
  </si>
  <si>
    <t>CUSR00356</t>
  </si>
  <si>
    <t>CUSR00357</t>
  </si>
  <si>
    <t>CUSR00358</t>
  </si>
  <si>
    <t>CUSR00359</t>
  </si>
  <si>
    <t>CUSR00360</t>
  </si>
  <si>
    <t>CUSR00361</t>
  </si>
  <si>
    <t>CUSR00362</t>
  </si>
  <si>
    <t>CUSR00363</t>
  </si>
  <si>
    <t>CUSR00364</t>
  </si>
  <si>
    <t>CUSR00365</t>
  </si>
  <si>
    <t>CUSR00366</t>
  </si>
  <si>
    <t>CUSR00367</t>
  </si>
  <si>
    <t>CUSR00368</t>
  </si>
  <si>
    <t>CUSR00369</t>
  </si>
  <si>
    <t>CUSR00370</t>
  </si>
  <si>
    <t>CUSR00371</t>
  </si>
  <si>
    <t>CUSR00372</t>
  </si>
  <si>
    <t>CUSR00373</t>
  </si>
  <si>
    <t>CUSR00374</t>
  </si>
  <si>
    <t>CUSR00375</t>
  </si>
  <si>
    <t>CUSR00376</t>
  </si>
  <si>
    <t>CUSR00377</t>
  </si>
  <si>
    <t>CUSR00378</t>
  </si>
  <si>
    <t>CUSR00379</t>
  </si>
  <si>
    <t>CUSR00380</t>
  </si>
  <si>
    <t>CUSR00381</t>
  </si>
  <si>
    <t>CUSR00382</t>
  </si>
  <si>
    <t>CUSR00383</t>
  </si>
  <si>
    <t>CUSR00384</t>
  </si>
  <si>
    <t>CUSR00385</t>
  </si>
  <si>
    <t>CUSR00386</t>
  </si>
  <si>
    <t>CUSR00387</t>
  </si>
  <si>
    <t>CUSR00388</t>
  </si>
  <si>
    <t>CUSR00389</t>
  </si>
  <si>
    <t>CUSR00390</t>
  </si>
  <si>
    <t>CUSR00391</t>
  </si>
  <si>
    <t>CUSR00392</t>
  </si>
  <si>
    <t>CUSR00393</t>
  </si>
  <si>
    <t>CUSR00394</t>
  </si>
  <si>
    <t>CUSR00395</t>
  </si>
  <si>
    <t>CUSR00396</t>
  </si>
  <si>
    <t>CUSR00397</t>
  </si>
  <si>
    <t>CUSR00398</t>
  </si>
  <si>
    <t>CUSR00399</t>
  </si>
  <si>
    <t>CUSR00400</t>
  </si>
  <si>
    <t>CUSR00401</t>
  </si>
  <si>
    <t>CUSR00402</t>
  </si>
  <si>
    <t>CUSR00403</t>
  </si>
  <si>
    <t>CUSR00404</t>
  </si>
  <si>
    <t>CUSR00405</t>
  </si>
  <si>
    <t>CUSR00406</t>
  </si>
  <si>
    <t>CUSR00407</t>
  </si>
  <si>
    <t>CUSR00408</t>
  </si>
  <si>
    <t>CUSR00409</t>
  </si>
  <si>
    <t>CUSR00410</t>
  </si>
  <si>
    <t>CUSR00411</t>
  </si>
  <si>
    <t>CUSR00412</t>
  </si>
  <si>
    <t>CUSR00413</t>
  </si>
  <si>
    <t>CUSR00414</t>
  </si>
  <si>
    <t>CUSR00415</t>
  </si>
  <si>
    <t>CUSR00416</t>
  </si>
  <si>
    <t>CUSR00417</t>
  </si>
  <si>
    <t>CUSR00418</t>
  </si>
  <si>
    <t>CUSR00419</t>
  </si>
  <si>
    <t>CUSR00420</t>
  </si>
  <si>
    <t>CUSR00421</t>
  </si>
  <si>
    <t>CUSR00422</t>
  </si>
  <si>
    <t>CUSR00423</t>
  </si>
  <si>
    <t>CUSR00424</t>
  </si>
  <si>
    <t>CUSR00425</t>
  </si>
  <si>
    <t>CUSR00426</t>
  </si>
  <si>
    <t>CUSR00427</t>
  </si>
  <si>
    <t>CUSR00428</t>
  </si>
  <si>
    <t>CUSR00429</t>
  </si>
  <si>
    <t>CUSR00430</t>
  </si>
  <si>
    <t>CUSR00431</t>
  </si>
  <si>
    <t>CUSR00432</t>
  </si>
  <si>
    <t>CUSR00433</t>
  </si>
  <si>
    <t>CUSR00434</t>
  </si>
  <si>
    <t>CUSR00435</t>
  </si>
  <si>
    <t>CUSR00436</t>
  </si>
  <si>
    <t>CUSR00437</t>
  </si>
  <si>
    <t>CUSR00438</t>
  </si>
  <si>
    <t>CUSR00439</t>
  </si>
  <si>
    <t>CUSR00440</t>
  </si>
  <si>
    <t>CUSR00441</t>
  </si>
  <si>
    <t>CUSR00442</t>
  </si>
  <si>
    <t>CUSR00443</t>
  </si>
  <si>
    <t>CUSR00444</t>
  </si>
  <si>
    <t>CUSR00445</t>
  </si>
  <si>
    <t>CUSR00446</t>
  </si>
  <si>
    <t>CUSR00447</t>
  </si>
  <si>
    <t>CUSR00448</t>
  </si>
  <si>
    <t>CUSR00449</t>
  </si>
  <si>
    <t>CUSR00450</t>
  </si>
  <si>
    <t>CUSR00451</t>
  </si>
  <si>
    <t>CUSR00452</t>
  </si>
  <si>
    <t>CUSR00453</t>
  </si>
  <si>
    <t>CUSR00454</t>
  </si>
  <si>
    <t>CUSR00455</t>
  </si>
  <si>
    <t>CUSR00456</t>
  </si>
  <si>
    <t>CUSR00457</t>
  </si>
  <si>
    <t>CUSR00458</t>
  </si>
  <si>
    <t>CUSR00459</t>
  </si>
  <si>
    <t>CUSR00460</t>
  </si>
  <si>
    <t>CUSR00461</t>
  </si>
  <si>
    <t>CUSR00462</t>
  </si>
  <si>
    <t>CUSR00463</t>
  </si>
  <si>
    <t>CUSR00464</t>
  </si>
  <si>
    <t>CUSR00465</t>
  </si>
  <si>
    <t>CUSR00466</t>
  </si>
  <si>
    <t>CUSR00467</t>
  </si>
  <si>
    <t>CUSR00468</t>
  </si>
  <si>
    <t>CUSR00469</t>
  </si>
  <si>
    <t>CUSR00470</t>
  </si>
  <si>
    <t>CUSR00471</t>
  </si>
  <si>
    <t>CUSR00472</t>
  </si>
  <si>
    <t>CUSR00473</t>
  </si>
  <si>
    <t>CUSR00474</t>
  </si>
  <si>
    <t>CUSR00475</t>
  </si>
  <si>
    <t>CUSR00476</t>
  </si>
  <si>
    <t>CUSR00477</t>
  </si>
  <si>
    <t>CUSR00478</t>
  </si>
  <si>
    <t>CUSR00479</t>
  </si>
  <si>
    <t>CUSR00480</t>
  </si>
  <si>
    <t>CUSR00481</t>
  </si>
  <si>
    <t>CUSR00482</t>
  </si>
  <si>
    <t>CUSR00483</t>
  </si>
  <si>
    <t>CUSR00484</t>
  </si>
  <si>
    <t>CUSR00485</t>
  </si>
  <si>
    <t>CUSR00486</t>
  </si>
  <si>
    <t>CUSR00487</t>
  </si>
  <si>
    <t>CUSR00488</t>
  </si>
  <si>
    <t>CUSR00489</t>
  </si>
  <si>
    <t>CUSR00490</t>
  </si>
  <si>
    <t>CUSR00491</t>
  </si>
  <si>
    <t>CUSR00492</t>
  </si>
  <si>
    <t>CUSR00493</t>
  </si>
  <si>
    <t>CUSR00494</t>
  </si>
  <si>
    <t>CUSR00495</t>
  </si>
  <si>
    <t>CUSR00496</t>
  </si>
  <si>
    <t>CUSR00497</t>
  </si>
  <si>
    <t>CUSR00498</t>
  </si>
  <si>
    <t>CUSR00499</t>
  </si>
  <si>
    <t>CUSR00500</t>
  </si>
  <si>
    <t>CUSR00501</t>
  </si>
  <si>
    <t>CUSR00502</t>
  </si>
  <si>
    <t>CUSR00503</t>
  </si>
  <si>
    <t>CUSR00504</t>
  </si>
  <si>
    <t>CUSR00505</t>
  </si>
  <si>
    <t>CUSR00506</t>
  </si>
  <si>
    <t>CUSR00507</t>
  </si>
  <si>
    <t>CUSR00508</t>
  </si>
  <si>
    <t>CUSR00509</t>
  </si>
  <si>
    <t>CUSR00510</t>
  </si>
  <si>
    <t>CUSR00511</t>
  </si>
  <si>
    <t>CUSR00512</t>
  </si>
  <si>
    <t>CUSR00513</t>
  </si>
  <si>
    <t>CUSR00514</t>
  </si>
  <si>
    <t>CUSR00515</t>
  </si>
  <si>
    <t>CUSR00516</t>
  </si>
  <si>
    <t>CUSR00517</t>
  </si>
  <si>
    <t>CUSR00518</t>
  </si>
  <si>
    <t>CUSR00519</t>
  </si>
  <si>
    <t>CUSR00520</t>
  </si>
  <si>
    <t>CUSR00521</t>
  </si>
  <si>
    <t>CUSR00522</t>
  </si>
  <si>
    <t>CUSR00523</t>
  </si>
  <si>
    <t>CUSR00524</t>
  </si>
  <si>
    <t>CUSR00525</t>
  </si>
  <si>
    <t>CUSR00526</t>
  </si>
  <si>
    <t>CUSR00530</t>
  </si>
  <si>
    <t>CUSR00531</t>
  </si>
  <si>
    <t>CUSR00532</t>
  </si>
  <si>
    <t>CUSR00533</t>
  </si>
  <si>
    <t>CUSR00534</t>
  </si>
  <si>
    <t>CUSR00535</t>
  </si>
  <si>
    <t>CUSR00536</t>
  </si>
  <si>
    <t>CUSR00537</t>
  </si>
  <si>
    <t>CUSR00538</t>
  </si>
  <si>
    <t>CUSR00539</t>
  </si>
  <si>
    <t>CUSR00540</t>
  </si>
  <si>
    <t>CUSR00541</t>
  </si>
  <si>
    <t>CUSR00542</t>
  </si>
  <si>
    <t>CUSR00543</t>
  </si>
  <si>
    <t>CUSR00556</t>
  </si>
  <si>
    <t>CUSR00557</t>
  </si>
  <si>
    <t>CUSR00558</t>
  </si>
  <si>
    <t>CUSR00559</t>
  </si>
  <si>
    <t>CUSR00560</t>
  </si>
  <si>
    <t>CUSR00561</t>
  </si>
  <si>
    <t>CUSR00562</t>
  </si>
  <si>
    <t>CUSR00563</t>
  </si>
  <si>
    <t>CUSR00564</t>
  </si>
  <si>
    <t>CUSR00565</t>
  </si>
  <si>
    <t>CUSR00566</t>
  </si>
  <si>
    <t>CUSR00567</t>
  </si>
  <si>
    <t>CUSR00568</t>
  </si>
  <si>
    <t>CUSR00569</t>
  </si>
  <si>
    <t>CUSR00570</t>
  </si>
  <si>
    <t>CUSR00571</t>
  </si>
  <si>
    <t>CUSR00572</t>
  </si>
  <si>
    <t>CUSR00573</t>
  </si>
  <si>
    <t>CUSR00574</t>
  </si>
  <si>
    <t>CUSR00575</t>
  </si>
  <si>
    <t>CUSR00576</t>
  </si>
  <si>
    <t>CUSR00577</t>
  </si>
  <si>
    <t>CUSR00578</t>
  </si>
  <si>
    <t>CUSR00579</t>
  </si>
  <si>
    <t>CUSR00580</t>
  </si>
  <si>
    <t>CUSR00581</t>
  </si>
  <si>
    <t>CUSR00582</t>
  </si>
  <si>
    <t>CUSR00583</t>
  </si>
  <si>
    <t>CUSR00584</t>
  </si>
  <si>
    <t>CUSR00585</t>
  </si>
  <si>
    <t>CUSR00586</t>
  </si>
  <si>
    <t>CUSR00587</t>
  </si>
  <si>
    <t>CUSR00588</t>
  </si>
  <si>
    <t>CUSR00589</t>
  </si>
  <si>
    <t>CUSR00590</t>
  </si>
  <si>
    <t>CUSR00591</t>
  </si>
  <si>
    <t>CUSR00592</t>
  </si>
  <si>
    <t>CUSR00593</t>
  </si>
  <si>
    <t>CUSR00594</t>
  </si>
  <si>
    <t>CUSR00595</t>
  </si>
  <si>
    <t>CUSR00596</t>
  </si>
  <si>
    <t>CUSR00597</t>
  </si>
  <si>
    <t>CUSR00598</t>
  </si>
  <si>
    <t>CUSR00599</t>
  </si>
  <si>
    <t>CUSR00600</t>
  </si>
  <si>
    <t>CUSR00601</t>
  </si>
  <si>
    <t>CUSR00602</t>
  </si>
  <si>
    <t>CUSR00603</t>
  </si>
  <si>
    <t>CUSR00837</t>
  </si>
  <si>
    <t>CUSR00605</t>
  </si>
  <si>
    <t>CUSR00606</t>
  </si>
  <si>
    <t>CUSR00607</t>
  </si>
  <si>
    <t>CUSR00608</t>
  </si>
  <si>
    <t>CUSR00609</t>
  </si>
  <si>
    <t>CUSR00610</t>
  </si>
  <si>
    <t>CUSR00611</t>
  </si>
  <si>
    <t>CUSR00612</t>
  </si>
  <si>
    <t>CUSR00613</t>
  </si>
  <si>
    <t>CUSR00614</t>
  </si>
  <si>
    <t>CUSR00615</t>
  </si>
  <si>
    <t>CUSR00616</t>
  </si>
  <si>
    <t>CUSR00617</t>
  </si>
  <si>
    <t>CUSR00618</t>
  </si>
  <si>
    <t>CUSR00619</t>
  </si>
  <si>
    <t>CUSR00620</t>
  </si>
  <si>
    <t>CUSR00621</t>
  </si>
  <si>
    <t>CUSR00622</t>
  </si>
  <si>
    <t>CUSR00623</t>
  </si>
  <si>
    <t>CUSR00624</t>
  </si>
  <si>
    <t>CUSR00625</t>
  </si>
  <si>
    <t>CUSR00626</t>
  </si>
  <si>
    <t>CUSR00627</t>
  </si>
  <si>
    <t>CUSR00628</t>
  </si>
  <si>
    <t>CUSR00629</t>
  </si>
  <si>
    <t>CUSR00630</t>
  </si>
  <si>
    <t>CUSR00631</t>
  </si>
  <si>
    <t>CUSR00632</t>
  </si>
  <si>
    <t>CUSR00633</t>
  </si>
  <si>
    <t>CUSR00634</t>
  </si>
  <si>
    <t>CUSR00635</t>
  </si>
  <si>
    <t>CUSR00636</t>
  </si>
  <si>
    <t>CUSR00637</t>
  </si>
  <si>
    <t>CUSR00638</t>
  </si>
  <si>
    <t>CUSR00639</t>
  </si>
  <si>
    <t>CUSR00640</t>
  </si>
  <si>
    <t>CUSR00641</t>
  </si>
  <si>
    <t>CUSR00642</t>
  </si>
  <si>
    <t>CUSR00643</t>
  </si>
  <si>
    <t>CUSR00644</t>
  </si>
  <si>
    <t>CUSR00645</t>
  </si>
  <si>
    <t>CUSR00646</t>
  </si>
  <si>
    <t>CUSR00647</t>
  </si>
  <si>
    <t>CUSR00648</t>
  </si>
  <si>
    <t>CUSR00649</t>
  </si>
  <si>
    <t>CUSR00650</t>
  </si>
  <si>
    <t>CUSR00651</t>
  </si>
  <si>
    <t>CUSR00652</t>
  </si>
  <si>
    <t>CUSR00653</t>
  </si>
  <si>
    <t>CUSR00654</t>
  </si>
  <si>
    <t>CUSR00655</t>
  </si>
  <si>
    <t>CUSR00656</t>
  </si>
  <si>
    <t>CUSR00657</t>
  </si>
  <si>
    <t>CUSR00658</t>
  </si>
  <si>
    <t>CUSR00659</t>
  </si>
  <si>
    <t>CUSR00660</t>
  </si>
  <si>
    <t>CUSR00661</t>
  </si>
  <si>
    <t>CUSR00662</t>
  </si>
  <si>
    <t>CUSR00663</t>
  </si>
  <si>
    <t>CUSR00664</t>
  </si>
  <si>
    <t>CUSR00665</t>
  </si>
  <si>
    <t>CUSR00666</t>
  </si>
  <si>
    <t>CUSR00667</t>
  </si>
  <si>
    <t>CUSR00668</t>
  </si>
  <si>
    <t>CUSR00669</t>
  </si>
  <si>
    <t>CUSR00670</t>
  </si>
  <si>
    <t>CUSR00671</t>
  </si>
  <si>
    <t>CUSR00672</t>
  </si>
  <si>
    <t>CUSR00673</t>
  </si>
  <si>
    <t>CUSR00674</t>
  </si>
  <si>
    <t>CUSR00675</t>
  </si>
  <si>
    <t>CUSR00676</t>
  </si>
  <si>
    <t>CUSR00677</t>
  </si>
  <si>
    <t>CUSR00678</t>
  </si>
  <si>
    <t>CUSR00679</t>
  </si>
  <si>
    <t>CUSR00680</t>
  </si>
  <si>
    <t>CUSR00681</t>
  </si>
  <si>
    <t>CUSR00682</t>
  </si>
  <si>
    <t>CUSR00683</t>
  </si>
  <si>
    <t>CUSR00684</t>
  </si>
  <si>
    <t>CUSR00685</t>
  </si>
  <si>
    <t>CUSR00686</t>
  </si>
  <si>
    <t>CUSR00687</t>
  </si>
  <si>
    <t>CUSR00688</t>
  </si>
  <si>
    <t>CUSR00689</t>
  </si>
  <si>
    <t>CUSR00690</t>
  </si>
  <si>
    <t>CUSR00691</t>
  </si>
  <si>
    <t>CUSR00692</t>
  </si>
  <si>
    <t>CUSR00693</t>
  </si>
  <si>
    <t>CUSR00694</t>
  </si>
  <si>
    <t>CUSR00695</t>
  </si>
  <si>
    <t>CUSR00696</t>
  </si>
  <si>
    <t>CUSR00697</t>
  </si>
  <si>
    <t>CUSR00698</t>
  </si>
  <si>
    <t>CUSR00699</t>
  </si>
  <si>
    <t>CUSR00700</t>
  </si>
  <si>
    <t>CUSR00701</t>
  </si>
  <si>
    <t>CUSR00702</t>
  </si>
  <si>
    <t>CUSR00703</t>
  </si>
  <si>
    <t>CUSR00704</t>
  </si>
  <si>
    <t>CUSR00705</t>
  </si>
  <si>
    <t>CUSR00706</t>
  </si>
  <si>
    <t>CUSR00707</t>
  </si>
  <si>
    <t>CUSR00708</t>
  </si>
  <si>
    <t>CUSR00709</t>
  </si>
  <si>
    <t>CUSR00710</t>
  </si>
  <si>
    <t>CUSR00711</t>
  </si>
  <si>
    <t>CUSR00712</t>
  </si>
  <si>
    <t>CUSR00713</t>
  </si>
  <si>
    <t>CUSR00714</t>
  </si>
  <si>
    <t>CUSR00715</t>
  </si>
  <si>
    <t>CUSR00716</t>
  </si>
  <si>
    <t>CUSR00717</t>
  </si>
  <si>
    <t>CUSR00718</t>
  </si>
  <si>
    <t>CUSR00719</t>
  </si>
  <si>
    <t>CUSR00720</t>
  </si>
  <si>
    <t>CUSR00721</t>
  </si>
  <si>
    <t>CUSR00722</t>
  </si>
  <si>
    <t>CUSR00723</t>
  </si>
  <si>
    <t>CUSR00724</t>
  </si>
  <si>
    <t>CUSR00725</t>
  </si>
  <si>
    <t>CUSR00726</t>
  </si>
  <si>
    <t>CUSR00727</t>
  </si>
  <si>
    <t>CUSR00728</t>
  </si>
  <si>
    <t>CUSR00729</t>
  </si>
  <si>
    <t>CUSR00730</t>
  </si>
  <si>
    <t>CUSR00731</t>
  </si>
  <si>
    <t>CUSR00733</t>
  </si>
  <si>
    <t>CUSR00734</t>
  </si>
  <si>
    <t>CUSR00735</t>
  </si>
  <si>
    <t>CUSR00736</t>
  </si>
  <si>
    <t>CUSR00737</t>
  </si>
  <si>
    <t>CUSR00738</t>
  </si>
  <si>
    <t>CUSR00739</t>
  </si>
  <si>
    <t>CUSR00740</t>
  </si>
  <si>
    <t>CUSR00741</t>
  </si>
  <si>
    <t>CUSR00742</t>
  </si>
  <si>
    <t>CUSR00743</t>
  </si>
  <si>
    <t>CUSR00744</t>
  </si>
  <si>
    <t>CUSR00745</t>
  </si>
  <si>
    <t>CUSR00746</t>
  </si>
  <si>
    <t>CUSR00747</t>
  </si>
  <si>
    <t>CUSR00748</t>
  </si>
  <si>
    <t>CUSR00749</t>
  </si>
  <si>
    <t>CUSR00750</t>
  </si>
  <si>
    <t>CUSR00751</t>
  </si>
  <si>
    <t>CUSR00752</t>
  </si>
  <si>
    <t>CUSR00753</t>
  </si>
  <si>
    <t>CUSR00754</t>
  </si>
  <si>
    <t>CUSR00755</t>
  </si>
  <si>
    <t>CUSR00756</t>
  </si>
  <si>
    <t>CUSR00757</t>
  </si>
  <si>
    <t>CUSR00758</t>
  </si>
  <si>
    <t>CUSR00759</t>
  </si>
  <si>
    <t>CUSR00760</t>
  </si>
  <si>
    <t>CUSR00761</t>
  </si>
  <si>
    <t>CUSR00762</t>
  </si>
  <si>
    <t>CUSR00763</t>
  </si>
  <si>
    <t>CUSR00764</t>
  </si>
  <si>
    <t>CUSR00765</t>
  </si>
  <si>
    <t>CUSR00766</t>
  </si>
  <si>
    <t>CUSR00767</t>
  </si>
  <si>
    <t>CUSR00768</t>
  </si>
  <si>
    <t>CUSR00769</t>
  </si>
  <si>
    <t>CUSR00770</t>
  </si>
  <si>
    <t>CUSR00771</t>
  </si>
  <si>
    <t>CUSR00772</t>
  </si>
  <si>
    <t>CUSR00773</t>
  </si>
  <si>
    <t>CUSR00774</t>
  </si>
  <si>
    <t>CUSR00775</t>
  </si>
  <si>
    <t>CUSR00776</t>
  </si>
  <si>
    <t>CUSR00777</t>
  </si>
  <si>
    <t>CUSR00778</t>
  </si>
  <si>
    <t>CUSR00779</t>
  </si>
  <si>
    <t>CUSR00780</t>
  </si>
  <si>
    <t>CUSR00781</t>
  </si>
  <si>
    <t>CUSR00782</t>
  </si>
  <si>
    <t>CUSR00783</t>
  </si>
  <si>
    <t>CUSR00784</t>
  </si>
  <si>
    <t>CUSR00785</t>
  </si>
  <si>
    <t>CUSR00786</t>
  </si>
  <si>
    <t>CUSR00787</t>
  </si>
  <si>
    <t>CUSR00788</t>
  </si>
  <si>
    <t>CUSR00789</t>
  </si>
  <si>
    <t>CUSR00790</t>
  </si>
  <si>
    <t>CUSR00791</t>
  </si>
  <si>
    <t>CUSR00792</t>
  </si>
  <si>
    <t>CUSR00793</t>
  </si>
  <si>
    <t>CUSR00794</t>
  </si>
  <si>
    <t>CUSR00795</t>
  </si>
  <si>
    <t>CUSR00796</t>
  </si>
  <si>
    <t>CUSR00797</t>
  </si>
  <si>
    <t>CUSR00798</t>
  </si>
  <si>
    <t>CUSR00799</t>
  </si>
  <si>
    <t>CUSR00800</t>
  </si>
  <si>
    <t>CUSR00801</t>
  </si>
  <si>
    <t>CUSR00802</t>
  </si>
  <si>
    <t>CUSR00803</t>
  </si>
  <si>
    <t>CUSR00804</t>
  </si>
  <si>
    <t>CUSR00805</t>
  </si>
  <si>
    <t>CUSR00806</t>
  </si>
  <si>
    <t>CUSR00807</t>
  </si>
  <si>
    <t>CUSR00808</t>
  </si>
  <si>
    <t>CUSR00809</t>
  </si>
  <si>
    <t>CUSR00810</t>
  </si>
  <si>
    <t>CUSR00811</t>
  </si>
  <si>
    <t>CUSR00812</t>
  </si>
  <si>
    <t>CUSR00813</t>
  </si>
  <si>
    <t>CUSR00814</t>
  </si>
  <si>
    <t>CUSR00815</t>
  </si>
  <si>
    <t>CUSR00816</t>
  </si>
  <si>
    <t>CUSR00817</t>
  </si>
  <si>
    <t>CUSR00818</t>
  </si>
  <si>
    <t>CUSR00819</t>
  </si>
  <si>
    <t>CUSR00820</t>
  </si>
  <si>
    <t>CUSR00821</t>
  </si>
  <si>
    <t>CUSR00822</t>
  </si>
  <si>
    <t>CUSR00823</t>
  </si>
  <si>
    <t>CUSR00824</t>
  </si>
  <si>
    <t>CUSR00825</t>
  </si>
  <si>
    <t>CUSR00826</t>
  </si>
  <si>
    <t>CUSR00827</t>
  </si>
  <si>
    <t>CUSR00828</t>
  </si>
  <si>
    <t>CUSR00829</t>
  </si>
  <si>
    <t>CUSR00830</t>
  </si>
  <si>
    <t>CUSR00831</t>
  </si>
  <si>
    <t>CU00690; CU00692</t>
  </si>
  <si>
    <t>CU00810; CU00811</t>
  </si>
  <si>
    <t>CU00797; CU00798</t>
  </si>
  <si>
    <t>CU00786; CU00787</t>
  </si>
  <si>
    <t>Udayangani.Mawalagedera@csiro.au</t>
  </si>
  <si>
    <t>CUSR00838</t>
  </si>
  <si>
    <t>CG00352;CG00352</t>
  </si>
  <si>
    <t>HornA_UENorteFluDR</t>
  </si>
  <si>
    <t>BrindleC_TrinityCUS</t>
  </si>
  <si>
    <t>RichardsonD_USYD</t>
  </si>
  <si>
    <t>GrantG_GriffithU</t>
  </si>
  <si>
    <t>BullJ_ImperialC</t>
  </si>
  <si>
    <t>AndersonJ_UCLondon</t>
  </si>
  <si>
    <t>OleksyszynJ_UTech</t>
  </si>
  <si>
    <t>KellerP_UWollongong</t>
  </si>
  <si>
    <t>CosterM_GriffithU</t>
  </si>
  <si>
    <t>KelsoM_UWollongong</t>
  </si>
  <si>
    <t>GroundwaterP_USYD</t>
  </si>
  <si>
    <t>DavisR_GriffithU</t>
  </si>
  <si>
    <t>SkropetaD_UWollongong</t>
  </si>
  <si>
    <t>WalesS_UWollongong</t>
  </si>
  <si>
    <t>LackovicK_WEHI</t>
  </si>
  <si>
    <t>DollaN_UWollongong</t>
  </si>
  <si>
    <t>HoustonT_GriffithU</t>
  </si>
  <si>
    <t>MantelliniF_Uurbino</t>
  </si>
  <si>
    <t>ZhouY_GriffithU</t>
  </si>
  <si>
    <t>RenfrewA_USYD</t>
  </si>
  <si>
    <t>StecJ_MKetchumU</t>
  </si>
  <si>
    <t>CollinsG_UNSW|ADFA</t>
  </si>
  <si>
    <t>DayA_UNSW|ADFA</t>
  </si>
  <si>
    <t>Marco-ContellesJ_IQOG</t>
  </si>
  <si>
    <t>ReddyS_CESCP</t>
  </si>
  <si>
    <t>TackeM_UCDublin</t>
  </si>
  <si>
    <t>AgatemorC_UPrEdwardIsl</t>
  </si>
  <si>
    <t>VedulaR_NITW</t>
  </si>
  <si>
    <t>FakhruddinM_IR</t>
  </si>
  <si>
    <t>BräseS_KIT</t>
  </si>
  <si>
    <t>McGlackenG_UCCork</t>
  </si>
  <si>
    <t>SnapeT_UCentLancashire</t>
  </si>
  <si>
    <t>Fourmentin-LamotteS_ULittoralCoteOpale</t>
  </si>
  <si>
    <t>MajumdarD_TamlukC</t>
  </si>
  <si>
    <t>ConcepciónL_UBarcelona</t>
  </si>
  <si>
    <t>LeursR_VUAmsterdam</t>
  </si>
  <si>
    <t>CookG_NDSU</t>
  </si>
  <si>
    <t>MorganJ_UNCWilmington</t>
  </si>
  <si>
    <t>GuzmanJ_UNorte</t>
  </si>
  <si>
    <t>CollinsS_UCCork</t>
  </si>
  <si>
    <t>KwongV_CSanMateo</t>
  </si>
  <si>
    <t>GundiS_NBSciC</t>
  </si>
  <si>
    <t>NitschkeS_USouthAustralia</t>
  </si>
  <si>
    <t>ToddM_USYD</t>
  </si>
  <si>
    <t>GautunO_NorwegianUST</t>
  </si>
  <si>
    <t>LópezG_FQURep</t>
  </si>
  <si>
    <t>El-SubbaghH_MansouraU</t>
  </si>
  <si>
    <t>TaylorS_UWaterloo</t>
  </si>
  <si>
    <t>BasavojuS_NITW</t>
  </si>
  <si>
    <t>Abdu-AllahH_AssiutU</t>
  </si>
  <si>
    <t>EntwistleK_GoshenC</t>
  </si>
  <si>
    <t>Fairfull-SmithK_QUT</t>
  </si>
  <si>
    <t>MansourA_WurzburgU</t>
  </si>
  <si>
    <t>YeongK_MonashMalaysia</t>
  </si>
  <si>
    <t>PonneV_SVenkateswaraU</t>
  </si>
  <si>
    <t>KassabS_DamanhourUT</t>
  </si>
  <si>
    <t>GreatrexB_UoNewEngland</t>
  </si>
  <si>
    <t>SimsekR_HacettepeU</t>
  </si>
  <si>
    <t>ElsayedN_CairoU</t>
  </si>
  <si>
    <t>AsquithC_UNorthCarolina</t>
  </si>
  <si>
    <t>ShimmonR_UTSyd</t>
  </si>
  <si>
    <t>CoddR_USYD</t>
  </si>
  <si>
    <t>BeteckR_RhodesU</t>
  </si>
  <si>
    <t>Ell-GazzarM_NCRRT</t>
  </si>
  <si>
    <t>KahnN_VIT</t>
  </si>
  <si>
    <t>Muñoz-HerranzM_UEastAnglia</t>
  </si>
  <si>
    <t>RawlingT_UTSyd</t>
  </si>
  <si>
    <t>DalavaiR_VIT</t>
  </si>
  <si>
    <t>RaiK_UMysore</t>
  </si>
  <si>
    <t>SathyamoorthiS_StandfordU</t>
  </si>
  <si>
    <t>RudrawarS_GriffithU</t>
  </si>
  <si>
    <t>GasserG_ParisTechPSLUni</t>
  </si>
  <si>
    <t>KelnerM_UCSD</t>
  </si>
  <si>
    <t>KamaD_UFreeState</t>
  </si>
  <si>
    <t>SaleemR_LahoreUMS</t>
  </si>
  <si>
    <t>BazanG_UCSB</t>
  </si>
  <si>
    <t>DoyleM_UTSanAntonio</t>
  </si>
  <si>
    <t>RagabM_DamanhourUT</t>
  </si>
  <si>
    <t>SagnouM_NCSRD</t>
  </si>
  <si>
    <t>TomshoJ_USPhiladelphia</t>
  </si>
  <si>
    <t>CraigP_McDanielC</t>
  </si>
  <si>
    <t>RoemerM_MacquarieU</t>
  </si>
  <si>
    <t>AngW_NUS</t>
  </si>
  <si>
    <t>VenkatesanK_MacquarieU</t>
  </si>
  <si>
    <t>TsekoaT_CSIR</t>
  </si>
  <si>
    <t>AbdelazzezI_NUBeniSuef</t>
  </si>
  <si>
    <t>JesumorotiO_NorthWestU</t>
  </si>
  <si>
    <t>GrasaL_UZaragoza</t>
  </si>
  <si>
    <t>AlvarengaE_UFVicosa</t>
  </si>
  <si>
    <t>PhamN_UMPHoChiMinh</t>
  </si>
  <si>
    <t>IppolitiT_UStThomas</t>
  </si>
  <si>
    <t>KulagaD_CracowUT</t>
  </si>
  <si>
    <t>GovaertsC_ULBruxelles</t>
  </si>
  <si>
    <t>RozasI_TrinityC</t>
  </si>
  <si>
    <t>TinocoA_UoPuertoRicoRP</t>
  </si>
  <si>
    <t>TianaD_UCCork</t>
  </si>
  <si>
    <t>ChenJ_AucklandUT</t>
  </si>
  <si>
    <t>HoustonS_LaTrobe</t>
  </si>
  <si>
    <t>SulimanM_JoufU</t>
  </si>
  <si>
    <t>RodriguezJ_CSIRO</t>
  </si>
  <si>
    <t>El-NewahieA_MSA</t>
  </si>
  <si>
    <t>SpryC_ANU</t>
  </si>
  <si>
    <t>HomerJ_CSHL</t>
  </si>
  <si>
    <t>CunY_UWollongong</t>
  </si>
  <si>
    <t>MuttenthalerM_UVienna</t>
  </si>
  <si>
    <t>FitzhughA_BioCipher</t>
  </si>
  <si>
    <t>SugitaP_IPBU</t>
  </si>
  <si>
    <t>BiggarK_CarletonU</t>
  </si>
  <si>
    <t>LocockK_CSIRO</t>
  </si>
  <si>
    <t>El-GamalM_USharijah</t>
  </si>
  <si>
    <t>DeveauA_UoNewEngland</t>
  </si>
  <si>
    <t>ZachariaeU_UDundee</t>
  </si>
  <si>
    <t>OttI_TUBraunschweig</t>
  </si>
  <si>
    <t>AlvesL_ULisbon</t>
  </si>
  <si>
    <t>Grosdemange-BilliardC_UStrasbourg</t>
  </si>
  <si>
    <t>SchulzkeC_UGreifswald</t>
  </si>
  <si>
    <t>WhittakerM_Monash</t>
  </si>
  <si>
    <t>SwartsA_UWitwatersrand</t>
  </si>
  <si>
    <t>CrowleyJ_UOtago</t>
  </si>
  <si>
    <t>TalaS_AtmiyaU</t>
  </si>
  <si>
    <t>EltonT_SJohnCHS</t>
  </si>
  <si>
    <t>PereiraE_UClermont</t>
  </si>
  <si>
    <t>NasibullahM_IntegralU</t>
  </si>
  <si>
    <t>ElSayedM_NRC</t>
  </si>
  <si>
    <t>GonzálezMuñizR_CSIC</t>
  </si>
  <si>
    <t>PradoMontesdeOcaE_CIATEJ</t>
  </si>
  <si>
    <t>DeSilvaD_UColombo</t>
  </si>
  <si>
    <t>AbdElAleamR_MUTI</t>
  </si>
  <si>
    <t>MckeeJ_USPhiladelphia</t>
  </si>
  <si>
    <t>Y</t>
  </si>
  <si>
    <t>CU00648; CU00647</t>
  </si>
  <si>
    <t>PyneS_Uwollongong</t>
  </si>
  <si>
    <t>MohamedAl_GulfC</t>
  </si>
  <si>
    <t>RoperD_Uwarwick</t>
  </si>
  <si>
    <t>BruceA_UMaine</t>
  </si>
  <si>
    <t>SchmeingM_McGill</t>
  </si>
  <si>
    <t>HamidH_JamiaHamdard</t>
  </si>
  <si>
    <t>sql3</t>
  </si>
  <si>
    <t>sql4</t>
  </si>
  <si>
    <t>orasql1</t>
  </si>
  <si>
    <t>orasql2</t>
  </si>
  <si>
    <t>OSullivanT_UCCork</t>
  </si>
  <si>
    <t>OReillyM_UWisconsin</t>
  </si>
  <si>
    <t>CGRP00092</t>
  </si>
  <si>
    <t>CGRP00050</t>
  </si>
  <si>
    <t>CU00845</t>
  </si>
  <si>
    <t>CU00844</t>
  </si>
  <si>
    <t>CU00843</t>
  </si>
  <si>
    <t>CU00842</t>
  </si>
  <si>
    <t>CU00841</t>
  </si>
  <si>
    <t>CU00840</t>
  </si>
  <si>
    <t>CU00839</t>
  </si>
  <si>
    <t>CU00838</t>
  </si>
  <si>
    <t>CU00837</t>
  </si>
  <si>
    <t>CU00836</t>
  </si>
  <si>
    <t>CU00835</t>
  </si>
  <si>
    <t>CU00834</t>
  </si>
  <si>
    <t>CU00833</t>
  </si>
  <si>
    <t>CU00832</t>
  </si>
  <si>
    <t>CU00831</t>
  </si>
  <si>
    <t>CU00830</t>
  </si>
  <si>
    <t>CU00829</t>
  </si>
  <si>
    <t>CU00828</t>
  </si>
  <si>
    <t>CU00827</t>
  </si>
  <si>
    <t>CU00826</t>
  </si>
  <si>
    <t>CU00825</t>
  </si>
  <si>
    <t>CU00824</t>
  </si>
  <si>
    <t>CU00823</t>
  </si>
  <si>
    <t>CG00412</t>
  </si>
  <si>
    <t>CG00409</t>
  </si>
  <si>
    <t>CG00410</t>
  </si>
  <si>
    <t>CG00411</t>
  </si>
  <si>
    <t>CG00408</t>
  </si>
  <si>
    <t>CG00407</t>
  </si>
  <si>
    <t>CG00413</t>
  </si>
  <si>
    <t>CG00406</t>
  </si>
  <si>
    <t>CG00405</t>
  </si>
  <si>
    <t>CG00404</t>
  </si>
  <si>
    <t>Carl</t>
  </si>
  <si>
    <t>Soltau</t>
  </si>
  <si>
    <t>Sergii</t>
  </si>
  <si>
    <t>Deyab</t>
  </si>
  <si>
    <t>Khodair</t>
  </si>
  <si>
    <t>Gamal</t>
  </si>
  <si>
    <t>Nashwa</t>
  </si>
  <si>
    <t>Javaria</t>
  </si>
  <si>
    <t>Altaf</t>
  </si>
  <si>
    <t>Raju</t>
  </si>
  <si>
    <t>Eva</t>
  </si>
  <si>
    <t>Hayball</t>
  </si>
  <si>
    <t>Mai</t>
  </si>
  <si>
    <t>Nielson</t>
  </si>
  <si>
    <t xml:space="preserve">Seth </t>
  </si>
  <si>
    <t>Cheetham</t>
  </si>
  <si>
    <t>Fatima</t>
  </si>
  <si>
    <t>Frais</t>
  </si>
  <si>
    <t>Travis</t>
  </si>
  <si>
    <t>Beddoe</t>
  </si>
  <si>
    <t>Mckay</t>
  </si>
  <si>
    <t>McKay</t>
  </si>
  <si>
    <t>Grathwol</t>
  </si>
  <si>
    <t>Cristina</t>
  </si>
  <si>
    <t>Marrero</t>
  </si>
  <si>
    <t>Carmen</t>
  </si>
  <si>
    <t>Acosta</t>
  </si>
  <si>
    <t>Ho Ning</t>
  </si>
  <si>
    <t>Wong</t>
  </si>
  <si>
    <t>Haynes</t>
  </si>
  <si>
    <t>Atherton</t>
  </si>
  <si>
    <t xml:space="preserve">Professor </t>
  </si>
  <si>
    <t>Associat Professor</t>
  </si>
  <si>
    <t>Visiting Academic</t>
  </si>
  <si>
    <t>HDR Student</t>
  </si>
  <si>
    <t xml:space="preserve">Group Leader </t>
  </si>
  <si>
    <t>M.Sc. Student</t>
  </si>
  <si>
    <t>Academic Researcher</t>
  </si>
  <si>
    <t>Senior Principal Research Fellow</t>
  </si>
  <si>
    <t>Nizhyn Mykola Gogol State University</t>
  </si>
  <si>
    <t>Kafrelsheikh University</t>
  </si>
  <si>
    <t>Beni Suef University</t>
  </si>
  <si>
    <t>University of Duhok</t>
  </si>
  <si>
    <t>Charles Sturt University</t>
  </si>
  <si>
    <t>Regulatory Affairs and Business Development</t>
  </si>
  <si>
    <t> Chemistry</t>
  </si>
  <si>
    <t>Faculty of pharmacy, Medicinal chemistry</t>
  </si>
  <si>
    <t>Australian Institute of Bioengineering and Nanotechnology</t>
  </si>
  <si>
    <t>Ecology Plant Animal Sciences</t>
  </si>
  <si>
    <t>Institute of Biological and Chemical Systems - Functional Molecular Systems (IBCS-FMS)</t>
  </si>
  <si>
    <t>Rural Health Research Institute</t>
  </si>
  <si>
    <t>2 George St, Brisbane, QLD 4000, Australia</t>
  </si>
  <si>
    <t>2 Grafska St., Nizhyn 166600</t>
  </si>
  <si>
    <t>1 Ahmed El-Zomor Street, El Zohour Region - Nasr city - Cairo</t>
  </si>
  <si>
    <t>El-Geish Street, P.O. Box 33516, Kafrelsheikh</t>
  </si>
  <si>
    <t>Beni-Suef</t>
  </si>
  <si>
    <t>306 Carmody Road, St. Lucia Qld 4072</t>
  </si>
  <si>
    <t>Brisbane, 4072, QLD</t>
  </si>
  <si>
    <t>Badger Receiving</t>
  </si>
  <si>
    <t>Qism Bani Sweif, Beni Suef, Beni Suef Governorate 2722165</t>
  </si>
  <si>
    <t>Brisbane Qld 4072</t>
  </si>
  <si>
    <t>Al-Jimia main street , Duhok</t>
  </si>
  <si>
    <t>5 ring road Bundoora, Melbourne, Vic 3083</t>
  </si>
  <si>
    <t>Hermann-von-Helmholtz-Platz 1 Building 319; Room 443 76344 Eggenstein-Leopoldshafen</t>
  </si>
  <si>
    <t>6, 2526, 601 Av. Universidad, San Juan, 00925</t>
  </si>
  <si>
    <t>3/F, Building 1008, 346 Leeds Parade, Orange, NSW 2800</t>
  </si>
  <si>
    <t>3-3462-7</t>
  </si>
  <si>
    <t>4-05888493-8</t>
  </si>
  <si>
    <t>-416074633</t>
  </si>
  <si>
    <t>1067855678</t>
  </si>
  <si>
    <t>+61-7-344</t>
  </si>
  <si>
    <t>9-647505491702-12</t>
  </si>
  <si>
    <t>90-0</t>
  </si>
  <si>
    <t>4-26167769-8</t>
  </si>
  <si>
    <t>0049-721-608-23087</t>
  </si>
  <si>
    <t>787-922-8753</t>
  </si>
  <si>
    <t>787-909-0404</t>
  </si>
  <si>
    <t>02-6365-7043</t>
  </si>
  <si>
    <t>02-6365-7039</t>
  </si>
  <si>
    <t>+61-411-045921</t>
  </si>
  <si>
    <t>carl.soltau@hdr.qut.edu.au</t>
  </si>
  <si>
    <t>demcha.chem@gmail.com</t>
  </si>
  <si>
    <t>moazchem@gmail.com</t>
  </si>
  <si>
    <t>hamadadeiab@yahoo.com</t>
  </si>
  <si>
    <t>Khodair2020@yahoo.com</t>
  </si>
  <si>
    <t>fut_med_as@yahoo.com</t>
  </si>
  <si>
    <t>naibrahim11@gmail.com</t>
  </si>
  <si>
    <t>j.altaf@uq.edu.au</t>
  </si>
  <si>
    <t>uqjohnra@uq.edu.au</t>
  </si>
  <si>
    <t>eva.hayball@adelaide.edu.au</t>
  </si>
  <si>
    <t>maiabdelhameed@pharm.bsu.edu.eg</t>
  </si>
  <si>
    <t>d.nielsen1@uq.edu.au</t>
  </si>
  <si>
    <t>s.cheetham@uq.edu.au</t>
  </si>
  <si>
    <t>fatima.firas.mah@gmail.com</t>
  </si>
  <si>
    <t>t.beddoe@latrobe.edu.au</t>
  </si>
  <si>
    <t>L.mckay@latrobe.edu.au</t>
  </si>
  <si>
    <t>christoph.grathwol@kit.edu</t>
  </si>
  <si>
    <t>cristina.marrero6@upr.edu</t>
  </si>
  <si>
    <t>carmen.acosta3@upr.edu</t>
  </si>
  <si>
    <t>hwong@csu.edu.au</t>
  </si>
  <si>
    <t>rihaynes@csu.edu.au</t>
  </si>
  <si>
    <t>w.atherton@uq.edu.au</t>
  </si>
  <si>
    <t>AltafJ_UoQ</t>
  </si>
  <si>
    <t>SoltauC_QUT</t>
  </si>
  <si>
    <t>DyabM_EgPetrolRI</t>
  </si>
  <si>
    <t>AbdouM_EgPetrolRI</t>
  </si>
  <si>
    <t>DemchenkaS_MykGogolU</t>
  </si>
  <si>
    <t>GamalA_KafU</t>
  </si>
  <si>
    <t>CheethamS_UoQ</t>
  </si>
  <si>
    <t>HaynesR_CSU</t>
  </si>
  <si>
    <t>CORG00315</t>
  </si>
  <si>
    <t>CORG00316</t>
  </si>
  <si>
    <t>CORG00317</t>
  </si>
  <si>
    <t>CORG00318</t>
  </si>
  <si>
    <t>MykGogolU</t>
  </si>
  <si>
    <t>KafU</t>
  </si>
  <si>
    <t>BeniSuefU</t>
  </si>
  <si>
    <t>CSU</t>
  </si>
  <si>
    <t>CGRP00405</t>
  </si>
  <si>
    <t>CGRP00406</t>
  </si>
  <si>
    <t>CGRP00407</t>
  </si>
  <si>
    <t>CGRP00408</t>
  </si>
  <si>
    <t>CGRP00409</t>
  </si>
  <si>
    <t>CGRP00410</t>
  </si>
  <si>
    <t>CGRP00411</t>
  </si>
  <si>
    <t>CGRP00412</t>
  </si>
  <si>
    <t>CGRP00413</t>
  </si>
  <si>
    <t>CGRP00414</t>
  </si>
  <si>
    <t>McKayL_LaTrobe</t>
  </si>
  <si>
    <t>MohamedM_BenSuefU</t>
  </si>
  <si>
    <t>EgPetrolRI</t>
  </si>
  <si>
    <t>CUSR00839</t>
  </si>
  <si>
    <t>CUSR00840</t>
  </si>
  <si>
    <t>CUSR00841</t>
  </si>
  <si>
    <t>CUSR00842</t>
  </si>
  <si>
    <t>CUSR00843</t>
  </si>
  <si>
    <t>CUSR00844</t>
  </si>
  <si>
    <t>CUSR00845</t>
  </si>
  <si>
    <t>CUSR00846</t>
  </si>
  <si>
    <t>CUSR00847</t>
  </si>
  <si>
    <t>CUSR00848</t>
  </si>
  <si>
    <t>CUSR00849</t>
  </si>
  <si>
    <t>CUSR00850</t>
  </si>
  <si>
    <t>CUSR00851</t>
  </si>
  <si>
    <t>CUSR00852</t>
  </si>
  <si>
    <t>CUSR00853</t>
  </si>
  <si>
    <t>CUSR00854</t>
  </si>
  <si>
    <t>CUSR00855</t>
  </si>
  <si>
    <t>New</t>
  </si>
  <si>
    <t>Institute for Molecular Bioscence, Centre for Chemistry and Drug Discovery (Vetter Group)</t>
  </si>
  <si>
    <t>CORG00319</t>
  </si>
  <si>
    <t>UDuhok</t>
  </si>
  <si>
    <t>US</t>
  </si>
  <si>
    <t>AU</t>
  </si>
  <si>
    <t>P1043</t>
  </si>
  <si>
    <t>Available isolates</t>
  </si>
  <si>
    <t>P1042</t>
  </si>
  <si>
    <t>MMDB Peptides</t>
  </si>
  <si>
    <t>P1041</t>
  </si>
  <si>
    <t>Mtb inhibitors</t>
  </si>
  <si>
    <t>P1040</t>
  </si>
  <si>
    <t>Azo Derivatives</t>
  </si>
  <si>
    <t>P1039</t>
  </si>
  <si>
    <t>P1038</t>
  </si>
  <si>
    <t>Carl's comp</t>
  </si>
  <si>
    <t>P1037</t>
  </si>
  <si>
    <t>Coumarins</t>
  </si>
  <si>
    <t>P1036</t>
  </si>
  <si>
    <t>Thiazolidine</t>
  </si>
  <si>
    <t>P1035</t>
  </si>
  <si>
    <t>Isatin derivatives</t>
  </si>
  <si>
    <t>P1034</t>
  </si>
  <si>
    <t>32 compounds</t>
  </si>
  <si>
    <t>P1033</t>
  </si>
  <si>
    <t>mRNA</t>
  </si>
  <si>
    <t>P1032</t>
  </si>
  <si>
    <t>BCP7553_MLP</t>
  </si>
  <si>
    <t>P1031</t>
  </si>
  <si>
    <t>Sa Select</t>
  </si>
  <si>
    <t>P1030</t>
  </si>
  <si>
    <t>Pyrazol derivatives with antimicrobial activities</t>
  </si>
  <si>
    <t>P1029</t>
  </si>
  <si>
    <t>Antibacterial_FCUP</t>
  </si>
  <si>
    <t>P1028</t>
  </si>
  <si>
    <t>P1027</t>
  </si>
  <si>
    <t>Investegating the medicinal properties of Humulus lupuls.L (Hops)</t>
  </si>
  <si>
    <t>P1026</t>
  </si>
  <si>
    <t>2024-Nov</t>
  </si>
  <si>
    <t>P1025</t>
  </si>
  <si>
    <t>Ferrocene - NEtTrp</t>
  </si>
  <si>
    <t>P1024</t>
  </si>
  <si>
    <t>Second generation of Hydroxylamino substitutedThiocarbohydrazide derivatives</t>
  </si>
  <si>
    <t>P1023</t>
  </si>
  <si>
    <t>Antibacterial Activities of Amino-artemisinins and Nitroaromatic Hybrids</t>
  </si>
  <si>
    <t>P1022</t>
  </si>
  <si>
    <t>Evolutionary Shifts in the Chemistry of Pain-Causing Toxins within Anthophila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</si>
</sst>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7">
    <font>
      <sz val="11"/>
      <color indexed="8"/>
      <name val="Aptos Narrow"/>
      <family val="2"/>
      <scheme val="minor"/>
    </font>
    <font>
      <sz val="11"/>
      <name val="Dialog"/>
    </font>
    <font>
      <b/>
      <sz val="11"/>
      <color indexed="8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49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  <xf numFmtId="0" fontId="2" fillId="3" borderId="0" xfId="0" applyFont="1" applyFill="1"/>
    <xf numFmtId="0" fontId="4" fillId="0" borderId="0" xfId="1"/>
    <xf numFmtId="0" fontId="5" fillId="0" borderId="0" xfId="0" applyFont="1"/>
    <xf numFmtId="0" fontId="2" fillId="2" borderId="0" xfId="0" applyFont="1" applyFill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dayangani.Mawalagedera@csiro.a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838"/>
  <sheetViews>
    <sheetView workbookViewId="0">
      <pane xSplit="2" ySplit="1" topLeftCell="M824" activePane="bottomRight" state="frozen"/>
      <selection pane="topRight" activeCell="B1" sqref="B1"/>
      <selection pane="bottomLeft" activeCell="A2" sqref="A2"/>
      <selection pane="bottomRight" activeCell="O836" sqref="O836"/>
    </sheetView>
  </sheetViews>
  <sheetFormatPr defaultColWidth="10.5546875" defaultRowHeight="14.4"/>
  <cols>
    <col min="2" max="2" width="27.109375" customWidth="1"/>
    <col min="3" max="3" width="10.44140625" customWidth="1"/>
    <col min="4" max="4" width="16.77734375" bestFit="1" customWidth="1"/>
    <col min="5" max="5" width="13.6640625" bestFit="1" customWidth="1"/>
    <col min="6" max="6" width="18.5546875" bestFit="1" customWidth="1"/>
    <col min="7" max="7" width="21.44140625" bestFit="1" customWidth="1"/>
    <col min="8" max="8" width="3.44140625" customWidth="1"/>
    <col min="9" max="9" width="65.88671875" bestFit="1" customWidth="1"/>
    <col min="10" max="10" width="73.33203125" bestFit="1" customWidth="1"/>
    <col min="11" max="11" width="16.6640625" bestFit="1" customWidth="1"/>
    <col min="12" max="12" width="20" bestFit="1" customWidth="1"/>
    <col min="13" max="13" width="124.109375" bestFit="1" customWidth="1"/>
    <col min="14" max="14" width="167.88671875" bestFit="1" customWidth="1"/>
    <col min="15" max="15" width="19.6640625" bestFit="1" customWidth="1"/>
    <col min="16" max="16" width="41.44140625" style="3" bestFit="1" customWidth="1"/>
    <col min="17" max="17" width="42.6640625" bestFit="1" customWidth="1"/>
    <col min="18" max="18" width="25" bestFit="1" customWidth="1"/>
    <col min="19" max="19" width="15.44140625" bestFit="1" customWidth="1"/>
  </cols>
  <sheetData>
    <row r="1" spans="1:21">
      <c r="A1" s="6" t="s">
        <v>9589</v>
      </c>
      <c r="B1" t="s">
        <v>8846</v>
      </c>
      <c r="C1" t="s">
        <v>333</v>
      </c>
      <c r="D1" t="s">
        <v>8847</v>
      </c>
      <c r="E1" t="s">
        <v>8850</v>
      </c>
      <c r="F1" t="s">
        <v>8848</v>
      </c>
      <c r="G1" t="s">
        <v>8849</v>
      </c>
      <c r="I1" t="s">
        <v>8851</v>
      </c>
      <c r="J1" s="4" t="s">
        <v>8804</v>
      </c>
      <c r="K1" s="9" t="s">
        <v>9274</v>
      </c>
      <c r="L1" s="4" t="s">
        <v>8852</v>
      </c>
      <c r="M1" t="s">
        <v>8853</v>
      </c>
      <c r="N1" t="s">
        <v>8854</v>
      </c>
      <c r="O1" t="s">
        <v>8805</v>
      </c>
      <c r="P1" s="3" t="s">
        <v>8855</v>
      </c>
      <c r="Q1" t="s">
        <v>8856</v>
      </c>
      <c r="R1" t="s">
        <v>8857</v>
      </c>
      <c r="S1" t="s">
        <v>8858</v>
      </c>
      <c r="T1" t="s">
        <v>8150</v>
      </c>
    </row>
    <row r="2" spans="1:21">
      <c r="A2" t="s">
        <v>9681</v>
      </c>
      <c r="B2" t="s">
        <v>962</v>
      </c>
      <c r="D2" t="s">
        <v>359</v>
      </c>
      <c r="E2" t="s">
        <v>60</v>
      </c>
      <c r="F2" t="s">
        <v>963</v>
      </c>
      <c r="G2" t="s">
        <v>964</v>
      </c>
      <c r="H2">
        <f t="shared" ref="H2:H65" si="0">COUNTIF($G$2:$G$900,G2)</f>
        <v>1</v>
      </c>
      <c r="I2" t="s">
        <v>657</v>
      </c>
      <c r="J2" t="s">
        <v>362</v>
      </c>
      <c r="K2" t="str">
        <f>VLOOKUP(J2,Organisation!$A$2:$C$499,3,FALSE)</f>
        <v>CORG00001</v>
      </c>
      <c r="L2" t="str">
        <f>VLOOKUP(J2,Organisation!$A$2:$E$499,4,FALSE)</f>
        <v>Academic</v>
      </c>
      <c r="M2" t="s">
        <v>416</v>
      </c>
      <c r="O2" t="s">
        <v>14</v>
      </c>
      <c r="P2" s="3" t="s">
        <v>965</v>
      </c>
      <c r="Q2" t="s">
        <v>966</v>
      </c>
      <c r="S2" s="1">
        <v>0</v>
      </c>
      <c r="T2" t="str">
        <f>"Update Collaborator Set Organisation = '"&amp;J2&amp;"' where User_ID = '"&amp;B2&amp;"'; "</f>
        <v xml:space="preserve">Update Collaborator Set Organisation = 'University of Queensland' where User_ID = 'CU00001'; </v>
      </c>
    </row>
    <row r="3" spans="1:21">
      <c r="A3" t="s">
        <v>9611</v>
      </c>
      <c r="B3" t="s">
        <v>4033</v>
      </c>
      <c r="C3" t="s">
        <v>10540</v>
      </c>
      <c r="D3" t="s">
        <v>4034</v>
      </c>
      <c r="E3" t="s">
        <v>60</v>
      </c>
      <c r="F3" t="s">
        <v>248</v>
      </c>
      <c r="G3" t="s">
        <v>4035</v>
      </c>
      <c r="H3">
        <f t="shared" si="0"/>
        <v>1</v>
      </c>
      <c r="J3" t="s">
        <v>4036</v>
      </c>
      <c r="K3" t="str">
        <f>VLOOKUP(J3,Organisation!$A$2:$C$499,3,FALSE)</f>
        <v>CORG00218</v>
      </c>
      <c r="L3" t="str">
        <f>VLOOKUP(J3,Organisation!$A$2:$E$499,4,FALSE)</f>
        <v>Academic</v>
      </c>
      <c r="M3" t="s">
        <v>170</v>
      </c>
      <c r="O3" t="s">
        <v>269</v>
      </c>
      <c r="P3" s="3" t="s">
        <v>4037</v>
      </c>
      <c r="Q3" t="s">
        <v>4038</v>
      </c>
      <c r="S3" s="1">
        <v>1</v>
      </c>
      <c r="T3" t="str">
        <f>"Update Collaborator Set Organisation = '"&amp;J3&amp;"' where User_ID = '"&amp;B3&amp;"'; "</f>
        <v xml:space="preserve">Update Collaborator Set Organisation = 'University of Birmingham' where User_ID = 'CU00002'; </v>
      </c>
      <c r="U3" t="str">
        <f>"Update dcollab.collab_user Set Pi = True where User_ID = '"&amp;A3&amp;"'; "</f>
        <v xml:space="preserve">Update dcollab.collab_user Set Pi = True where User_ID = 'CUSR00021'; </v>
      </c>
    </row>
    <row r="4" spans="1:21">
      <c r="A4" t="s">
        <v>9593</v>
      </c>
      <c r="B4" t="s">
        <v>2689</v>
      </c>
      <c r="D4" t="s">
        <v>448</v>
      </c>
      <c r="E4" t="s">
        <v>60</v>
      </c>
      <c r="F4" t="s">
        <v>2690</v>
      </c>
      <c r="G4" t="s">
        <v>2691</v>
      </c>
      <c r="H4">
        <f t="shared" si="0"/>
        <v>1</v>
      </c>
      <c r="I4" t="s">
        <v>343</v>
      </c>
      <c r="J4" t="s">
        <v>362</v>
      </c>
      <c r="K4" t="str">
        <f>VLOOKUP(J4,Organisation!$A$2:$C$499,3,FALSE)</f>
        <v>CORG00001</v>
      </c>
      <c r="L4" t="str">
        <f>VLOOKUP(J4,Organisation!$A$2:$E$499,4,FALSE)</f>
        <v>Academic</v>
      </c>
      <c r="M4" t="s">
        <v>416</v>
      </c>
      <c r="O4" t="s">
        <v>14</v>
      </c>
      <c r="P4" s="3" t="s">
        <v>2692</v>
      </c>
      <c r="Q4" t="s">
        <v>2693</v>
      </c>
      <c r="S4" s="1">
        <v>0</v>
      </c>
      <c r="T4" t="str">
        <f>"Update Collaborator Set Organisation = '"&amp;J4&amp;"' where User_ID = '"&amp;B4&amp;"'; "</f>
        <v xml:space="preserve">Update Collaborator Set Organisation = 'University of Queensland' where User_ID = 'CU00003'; </v>
      </c>
    </row>
    <row r="5" spans="1:21">
      <c r="A5" t="s">
        <v>9594</v>
      </c>
      <c r="B5" t="s">
        <v>1437</v>
      </c>
      <c r="D5" t="s">
        <v>448</v>
      </c>
      <c r="E5" t="s">
        <v>60</v>
      </c>
      <c r="F5" t="s">
        <v>1438</v>
      </c>
      <c r="G5" t="s">
        <v>1439</v>
      </c>
      <c r="H5">
        <f t="shared" si="0"/>
        <v>1</v>
      </c>
      <c r="I5" t="s">
        <v>657</v>
      </c>
      <c r="J5" t="s">
        <v>362</v>
      </c>
      <c r="K5" t="str">
        <f>VLOOKUP(J5,Organisation!$A$2:$C$499,3,FALSE)</f>
        <v>CORG00001</v>
      </c>
      <c r="L5" t="str">
        <f>VLOOKUP(J5,Organisation!$A$2:$E$499,4,FALSE)</f>
        <v>Academic</v>
      </c>
      <c r="M5" t="s">
        <v>416</v>
      </c>
      <c r="O5" t="s">
        <v>14</v>
      </c>
      <c r="P5" s="3" t="s">
        <v>1440</v>
      </c>
      <c r="Q5" t="s">
        <v>1441</v>
      </c>
      <c r="S5" s="1">
        <v>0</v>
      </c>
      <c r="T5" t="str">
        <f>"Update Collaborator Set Organisation = '"&amp;J5&amp;"' where User_ID = '"&amp;B5&amp;"'; "</f>
        <v xml:space="preserve">Update Collaborator Set Organisation = 'University of Queensland' where User_ID = 'CU00004'; </v>
      </c>
    </row>
    <row r="6" spans="1:21">
      <c r="A6" t="s">
        <v>9612</v>
      </c>
      <c r="B6" t="s">
        <v>4324</v>
      </c>
      <c r="C6" t="s">
        <v>10540</v>
      </c>
      <c r="D6" t="s">
        <v>1027</v>
      </c>
      <c r="E6" t="s">
        <v>60</v>
      </c>
      <c r="F6" t="s">
        <v>249</v>
      </c>
      <c r="G6" t="s">
        <v>4325</v>
      </c>
      <c r="H6">
        <f t="shared" si="0"/>
        <v>1</v>
      </c>
      <c r="J6" t="s">
        <v>8748</v>
      </c>
      <c r="K6" t="str">
        <f>VLOOKUP(J6,Organisation!$A$2:$C$499,3,FALSE)</f>
        <v>CORG00222</v>
      </c>
      <c r="L6" t="str">
        <f>VLOOKUP(J6,Organisation!$A$2:$E$499,4,FALSE)</f>
        <v>Academic</v>
      </c>
      <c r="M6" t="s">
        <v>1031</v>
      </c>
      <c r="N6" t="s">
        <v>4326</v>
      </c>
      <c r="O6" t="s">
        <v>8808</v>
      </c>
      <c r="P6" s="3" t="s">
        <v>4327</v>
      </c>
      <c r="Q6" t="s">
        <v>4328</v>
      </c>
      <c r="S6" s="1">
        <v>1</v>
      </c>
      <c r="T6" t="str">
        <f>"Update Collaborator Set Organisation = '"&amp;J6&amp;"' where User_ID = '"&amp;B6&amp;"'; "</f>
        <v xml:space="preserve">Update Collaborator Set Organisation = 'University of California San Francisco' where User_ID = 'CU00005'; </v>
      </c>
      <c r="U6" t="str">
        <f>"Update dcollab.collab_user Set Pi = True where User_ID = '"&amp;A6&amp;"'; "</f>
        <v xml:space="preserve">Update dcollab.collab_user Set Pi = True where User_ID = 'CUSR00022'; </v>
      </c>
    </row>
    <row r="7" spans="1:21">
      <c r="A7" t="s">
        <v>9614</v>
      </c>
      <c r="B7" t="s">
        <v>2544</v>
      </c>
      <c r="C7" t="s">
        <v>10540</v>
      </c>
      <c r="D7" t="s">
        <v>1943</v>
      </c>
      <c r="E7" t="s">
        <v>41</v>
      </c>
      <c r="F7" t="s">
        <v>2545</v>
      </c>
      <c r="G7" t="s">
        <v>2546</v>
      </c>
      <c r="H7">
        <f t="shared" si="0"/>
        <v>1</v>
      </c>
      <c r="J7" t="s">
        <v>1946</v>
      </c>
      <c r="K7" t="str">
        <f>VLOOKUP(J7,Organisation!$A$2:$C$499,3,FALSE)</f>
        <v>CORG00197</v>
      </c>
      <c r="L7" t="str">
        <f>VLOOKUP(J7,Organisation!$A$2:$E$499,4,FALSE)</f>
        <v>Academic</v>
      </c>
      <c r="M7" t="s">
        <v>1947</v>
      </c>
      <c r="O7" t="s">
        <v>234</v>
      </c>
      <c r="Q7" t="s">
        <v>2547</v>
      </c>
      <c r="S7" s="1">
        <v>1</v>
      </c>
      <c r="T7" t="str">
        <f>"Update Collaborator Set Organisation = '"&amp;J7&amp;"' where User_ID = '"&amp;B7&amp;"'; "</f>
        <v xml:space="preserve">Update Collaborator Set Organisation = 'Universidade Estadual do Norte Fluminense Darcy Ribeiro' where User_ID = 'CU00006'; </v>
      </c>
      <c r="U7" t="str">
        <f>"Update dcollab.collab_user Set Pi = True where User_ID = '"&amp;A7&amp;"'; "</f>
        <v xml:space="preserve">Update dcollab.collab_user Set Pi = True where User_ID = 'CUSR00024'; </v>
      </c>
    </row>
    <row r="8" spans="1:21">
      <c r="A8" t="s">
        <v>9620</v>
      </c>
      <c r="B8" t="s">
        <v>3612</v>
      </c>
      <c r="D8" t="s">
        <v>3613</v>
      </c>
      <c r="E8" t="s">
        <v>60</v>
      </c>
      <c r="F8" t="s">
        <v>3614</v>
      </c>
      <c r="G8" t="s">
        <v>3615</v>
      </c>
      <c r="H8">
        <f t="shared" si="0"/>
        <v>1</v>
      </c>
      <c r="J8" t="s">
        <v>389</v>
      </c>
      <c r="K8" t="str">
        <f>VLOOKUP(J8,Organisation!$A$2:$C$499,3,FALSE)</f>
        <v>CORG00271</v>
      </c>
      <c r="L8" t="str">
        <f>VLOOKUP(J8,Organisation!$A$2:$E$499,4,FALSE)</f>
        <v>Academic</v>
      </c>
      <c r="M8" t="s">
        <v>3616</v>
      </c>
      <c r="O8" t="s">
        <v>14</v>
      </c>
      <c r="P8" s="3" t="s">
        <v>3617</v>
      </c>
      <c r="Q8" t="s">
        <v>3618</v>
      </c>
      <c r="S8" s="1">
        <v>1</v>
      </c>
      <c r="T8" t="str">
        <f>"Update Collaborator Set Organisation = '"&amp;J8&amp;"' where User_ID = '"&amp;B8&amp;"'; "</f>
        <v xml:space="preserve">Update Collaborator Set Organisation = 'University of Sydney' where User_ID = 'CU00007'; </v>
      </c>
    </row>
    <row r="9" spans="1:21">
      <c r="A9" t="s">
        <v>9595</v>
      </c>
      <c r="B9" t="s">
        <v>4373</v>
      </c>
      <c r="C9" t="s">
        <v>10540</v>
      </c>
      <c r="D9" t="s">
        <v>448</v>
      </c>
      <c r="E9" t="s">
        <v>60</v>
      </c>
      <c r="F9" t="s">
        <v>4374</v>
      </c>
      <c r="G9" t="s">
        <v>4375</v>
      </c>
      <c r="H9">
        <f t="shared" si="0"/>
        <v>1</v>
      </c>
      <c r="J9" t="s">
        <v>362</v>
      </c>
      <c r="K9" t="str">
        <f>VLOOKUP(J9,Organisation!$A$2:$C$499,3,FALSE)</f>
        <v>CORG00001</v>
      </c>
      <c r="L9" t="str">
        <f>VLOOKUP(J9,Organisation!$A$2:$E$499,4,FALSE)</f>
        <v>Academic</v>
      </c>
      <c r="M9" t="s">
        <v>416</v>
      </c>
      <c r="O9" t="s">
        <v>14</v>
      </c>
      <c r="P9" s="3" t="s">
        <v>3101</v>
      </c>
      <c r="Q9" t="s">
        <v>4376</v>
      </c>
      <c r="S9" s="1">
        <v>1</v>
      </c>
      <c r="T9" t="str">
        <f>"Update Collaborator Set Organisation = '"&amp;J9&amp;"' where User_ID = '"&amp;B9&amp;"'; "</f>
        <v xml:space="preserve">Update Collaborator Set Organisation = 'University of Queensland' where User_ID = 'CU00008'; </v>
      </c>
      <c r="U9" t="str">
        <f>"Update dcollab.collab_user Set Pi = True where User_ID = '"&amp;A9&amp;"'; "</f>
        <v xml:space="preserve">Update dcollab.collab_user Set Pi = True where User_ID = 'CUSR00005'; </v>
      </c>
    </row>
    <row r="10" spans="1:21">
      <c r="A10" t="s">
        <v>9596</v>
      </c>
      <c r="B10" t="s">
        <v>654</v>
      </c>
      <c r="D10" t="s">
        <v>448</v>
      </c>
      <c r="E10" t="s">
        <v>60</v>
      </c>
      <c r="F10" t="s">
        <v>655</v>
      </c>
      <c r="G10" t="s">
        <v>656</v>
      </c>
      <c r="H10">
        <f t="shared" si="0"/>
        <v>1</v>
      </c>
      <c r="I10" t="s">
        <v>657</v>
      </c>
      <c r="J10" t="s">
        <v>362</v>
      </c>
      <c r="K10" t="str">
        <f>VLOOKUP(J10,Organisation!$A$2:$C$499,3,FALSE)</f>
        <v>CORG00001</v>
      </c>
      <c r="L10" t="str">
        <f>VLOOKUP(J10,Organisation!$A$2:$E$499,4,FALSE)</f>
        <v>Academic</v>
      </c>
      <c r="M10" t="s">
        <v>416</v>
      </c>
      <c r="O10" t="s">
        <v>14</v>
      </c>
      <c r="Q10" t="s">
        <v>658</v>
      </c>
      <c r="S10" s="1">
        <v>0</v>
      </c>
      <c r="T10" t="str">
        <f>"Update Collaborator Set Organisation = '"&amp;J10&amp;"' where User_ID = '"&amp;B10&amp;"'; "</f>
        <v xml:space="preserve">Update Collaborator Set Organisation = 'University of Queensland' where User_ID = 'CU00009'; </v>
      </c>
    </row>
    <row r="11" spans="1:21">
      <c r="A11" t="s">
        <v>9648</v>
      </c>
      <c r="B11" t="s">
        <v>1348</v>
      </c>
      <c r="D11" t="s">
        <v>431</v>
      </c>
      <c r="E11" t="s">
        <v>60</v>
      </c>
      <c r="F11" t="s">
        <v>1349</v>
      </c>
      <c r="G11" t="s">
        <v>1350</v>
      </c>
      <c r="H11">
        <f t="shared" si="0"/>
        <v>1</v>
      </c>
      <c r="J11" t="s">
        <v>434</v>
      </c>
      <c r="K11" t="str">
        <f>VLOOKUP(J11,Organisation!$A$2:$C$499,3,FALSE)</f>
        <v>CORG00211</v>
      </c>
      <c r="L11" t="str">
        <f>VLOOKUP(J11,Organisation!$A$2:$E$499,4,FALSE)</f>
        <v>Academic</v>
      </c>
      <c r="M11" t="s">
        <v>435</v>
      </c>
      <c r="O11" t="s">
        <v>269</v>
      </c>
      <c r="P11" s="3" t="s">
        <v>1351</v>
      </c>
      <c r="Q11" t="s">
        <v>1352</v>
      </c>
      <c r="S11" s="1">
        <v>1</v>
      </c>
      <c r="T11" t="str">
        <f>"Update Collaborator Set Organisation = '"&amp;J11&amp;"' where User_ID = '"&amp;B11&amp;"'; "</f>
        <v xml:space="preserve">Update Collaborator Set Organisation = 'University College London' where User_ID = 'CU00010'; </v>
      </c>
    </row>
    <row r="12" spans="1:21">
      <c r="A12" t="s">
        <v>9707</v>
      </c>
      <c r="B12" t="s">
        <v>2272</v>
      </c>
      <c r="D12" t="s">
        <v>2273</v>
      </c>
      <c r="E12" t="s">
        <v>60</v>
      </c>
      <c r="F12" t="s">
        <v>2274</v>
      </c>
      <c r="G12" t="s">
        <v>2275</v>
      </c>
      <c r="H12">
        <f t="shared" si="0"/>
        <v>1</v>
      </c>
      <c r="J12" t="s">
        <v>2276</v>
      </c>
      <c r="K12" t="str">
        <f>VLOOKUP(J12,Organisation!$A$2:$C$499,3,FALSE)</f>
        <v>CORG00231</v>
      </c>
      <c r="L12" t="str">
        <f>VLOOKUP(J12,Organisation!$A$2:$E$499,4,FALSE)</f>
        <v>Academic</v>
      </c>
      <c r="M12" t="s">
        <v>2277</v>
      </c>
      <c r="O12" t="s">
        <v>694</v>
      </c>
      <c r="Q12" t="s">
        <v>2278</v>
      </c>
      <c r="S12" s="1">
        <v>1</v>
      </c>
      <c r="T12" t="str">
        <f>"Update Collaborator Set Organisation = '"&amp;J12&amp;"' where User_ID = '"&amp;B12&amp;"'; "</f>
        <v xml:space="preserve">Update Collaborator Set Organisation = 'University of Graz' where User_ID = 'CU00011'; </v>
      </c>
    </row>
    <row r="13" spans="1:21">
      <c r="A13" t="s">
        <v>9690</v>
      </c>
      <c r="B13" t="s">
        <v>1565</v>
      </c>
      <c r="D13" t="s">
        <v>1566</v>
      </c>
      <c r="E13" t="s">
        <v>60</v>
      </c>
      <c r="F13" t="s">
        <v>1567</v>
      </c>
      <c r="G13" t="s">
        <v>1568</v>
      </c>
      <c r="H13">
        <f t="shared" si="0"/>
        <v>1</v>
      </c>
      <c r="J13" t="s">
        <v>5769</v>
      </c>
      <c r="K13" t="str">
        <f>VLOOKUP(J13,Organisation!$A$2:$C$499,3,FALSE)</f>
        <v>CORG00030</v>
      </c>
      <c r="L13" t="str">
        <f>VLOOKUP(J13,Organisation!$A$2:$E$499,4,FALSE)</f>
        <v>Academic</v>
      </c>
      <c r="O13" t="s">
        <v>704</v>
      </c>
      <c r="P13" s="3" t="s">
        <v>1570</v>
      </c>
      <c r="Q13" t="s">
        <v>1571</v>
      </c>
      <c r="S13" s="1">
        <v>1</v>
      </c>
      <c r="T13" t="str">
        <f>"Update Collaborator Set Organisation = '"&amp;J13&amp;"' where User_ID = '"&amp;B13&amp;"'; "</f>
        <v xml:space="preserve">Update Collaborator Set Organisation = 'Centre national de la recherche scientifique' where User_ID = 'CU00012'; </v>
      </c>
    </row>
    <row r="14" spans="1:21">
      <c r="A14" t="s">
        <v>9616</v>
      </c>
      <c r="B14" t="s">
        <v>894</v>
      </c>
      <c r="C14" t="s">
        <v>10540</v>
      </c>
      <c r="D14" t="s">
        <v>895</v>
      </c>
      <c r="E14" t="s">
        <v>41</v>
      </c>
      <c r="F14" t="s">
        <v>896</v>
      </c>
      <c r="G14" t="s">
        <v>897</v>
      </c>
      <c r="H14">
        <f t="shared" si="0"/>
        <v>1</v>
      </c>
      <c r="J14" t="s">
        <v>898</v>
      </c>
      <c r="K14" t="str">
        <f>VLOOKUP(J14,Organisation!$A$2:$C$499,3,FALSE)</f>
        <v>CORG00183</v>
      </c>
      <c r="L14" t="str">
        <f>VLOOKUP(J14,Organisation!$A$2:$E$499,4,FALSE)</f>
        <v>Academic</v>
      </c>
      <c r="M14" t="s">
        <v>899</v>
      </c>
      <c r="O14" t="s">
        <v>694</v>
      </c>
      <c r="P14" s="3" t="s">
        <v>900</v>
      </c>
      <c r="Q14" t="s">
        <v>901</v>
      </c>
      <c r="S14" s="1">
        <v>1</v>
      </c>
      <c r="T14" t="str">
        <f>"Update Collaborator Set Organisation = '"&amp;J14&amp;"' where User_ID = '"&amp;B14&amp;"'; "</f>
        <v xml:space="preserve">Update Collaborator Set Organisation = 'Technical University of Graz' where User_ID = 'CU00013'; </v>
      </c>
      <c r="U14" t="str">
        <f>"Update dcollab.collab_user Set Pi = True where User_ID = '"&amp;A14&amp;"'; "</f>
        <v xml:space="preserve">Update dcollab.collab_user Set Pi = True where User_ID = 'CUSR00026'; </v>
      </c>
    </row>
    <row r="15" spans="1:21">
      <c r="A15" t="s">
        <v>9667</v>
      </c>
      <c r="B15" t="s">
        <v>3797</v>
      </c>
      <c r="D15" t="s">
        <v>903</v>
      </c>
      <c r="E15" t="s">
        <v>60</v>
      </c>
      <c r="F15" t="s">
        <v>3798</v>
      </c>
      <c r="G15" t="s">
        <v>3799</v>
      </c>
      <c r="H15">
        <f t="shared" si="0"/>
        <v>1</v>
      </c>
      <c r="J15" t="s">
        <v>596</v>
      </c>
      <c r="K15" t="str">
        <f>VLOOKUP(J15,Organisation!$A$2:$C$499,3,FALSE)</f>
        <v>CORG00216</v>
      </c>
      <c r="L15" t="str">
        <f>VLOOKUP(J15,Organisation!$A$2:$E$499,4,FALSE)</f>
        <v>Academic</v>
      </c>
      <c r="M15" t="s">
        <v>906</v>
      </c>
      <c r="O15" t="s">
        <v>223</v>
      </c>
      <c r="P15" s="3" t="s">
        <v>907</v>
      </c>
      <c r="Q15" t="s">
        <v>3800</v>
      </c>
      <c r="S15" s="1">
        <v>1</v>
      </c>
      <c r="T15" t="str">
        <f>"Update Collaborator Set Organisation = '"&amp;J15&amp;"' where User_ID = '"&amp;B15&amp;"'; "</f>
        <v xml:space="preserve">Update Collaborator Set Organisation = 'University of Auckland' where User_ID = 'CU00014'; </v>
      </c>
    </row>
    <row r="16" spans="1:21">
      <c r="A16" t="s">
        <v>9617</v>
      </c>
      <c r="B16" t="s">
        <v>4939</v>
      </c>
      <c r="C16" t="s">
        <v>10540</v>
      </c>
      <c r="D16" t="s">
        <v>4630</v>
      </c>
      <c r="E16" t="s">
        <v>60</v>
      </c>
      <c r="F16" t="s">
        <v>4940</v>
      </c>
      <c r="G16" t="s">
        <v>4941</v>
      </c>
      <c r="H16">
        <f t="shared" si="0"/>
        <v>1</v>
      </c>
      <c r="J16" t="s">
        <v>4633</v>
      </c>
      <c r="K16" t="str">
        <f>VLOOKUP(J16,Organisation!$A$2:$C$499,3,FALSE)</f>
        <v>CORG00270</v>
      </c>
      <c r="L16" t="str">
        <f>VLOOKUP(J16,Organisation!$A$2:$E$499,4,FALSE)</f>
        <v>Academic</v>
      </c>
      <c r="M16" t="s">
        <v>4634</v>
      </c>
      <c r="O16" t="s">
        <v>269</v>
      </c>
      <c r="P16" s="3" t="s">
        <v>4942</v>
      </c>
      <c r="Q16" t="s">
        <v>4943</v>
      </c>
      <c r="S16" s="1">
        <v>1</v>
      </c>
      <c r="T16" t="str">
        <f>"Update Collaborator Set Organisation = '"&amp;J16&amp;"' where User_ID = '"&amp;B16&amp;"'; "</f>
        <v xml:space="preserve">Update Collaborator Set Organisation = 'University of Strathclyde' where User_ID = 'CU00015'; </v>
      </c>
      <c r="U16" t="str">
        <f>"Update dcollab.collab_user Set Pi = True where User_ID = '"&amp;A16&amp;"'; "</f>
        <v xml:space="preserve">Update dcollab.collab_user Set Pi = True where User_ID = 'CUSR00027'; </v>
      </c>
    </row>
    <row r="17" spans="1:21">
      <c r="A17" t="s">
        <v>10103</v>
      </c>
      <c r="B17" t="s">
        <v>1084</v>
      </c>
      <c r="C17" t="s">
        <v>10540</v>
      </c>
      <c r="D17" t="s">
        <v>1085</v>
      </c>
      <c r="E17" t="s">
        <v>60</v>
      </c>
      <c r="F17" t="s">
        <v>1086</v>
      </c>
      <c r="G17" t="s">
        <v>1087</v>
      </c>
      <c r="H17">
        <f t="shared" si="0"/>
        <v>1</v>
      </c>
      <c r="J17" t="s">
        <v>1088</v>
      </c>
      <c r="K17" t="str">
        <f>VLOOKUP(J17,Organisation!$A$2:$C$499,3,FALSE)</f>
        <v>CORG00186</v>
      </c>
      <c r="L17" t="str">
        <f>VLOOKUP(J17,Organisation!$A$2:$E$499,4,FALSE)</f>
        <v>Academic</v>
      </c>
      <c r="M17" t="s">
        <v>1089</v>
      </c>
      <c r="O17" t="s">
        <v>1090</v>
      </c>
      <c r="P17" s="3" t="s">
        <v>1091</v>
      </c>
      <c r="Q17" t="s">
        <v>1092</v>
      </c>
      <c r="S17" s="1">
        <v>1</v>
      </c>
      <c r="T17" t="str">
        <f>"Update Collaborator Set Organisation = '"&amp;J17&amp;"' where User_ID = '"&amp;B17&amp;"'; "</f>
        <v xml:space="preserve">Update Collaborator Set Organisation = 'Tel Aviv University' where User_ID = 'CU00016'; </v>
      </c>
      <c r="U17" t="str">
        <f>"Update dcollab.collab_user Set Pi = True where User_ID = '"&amp;A17&amp;"'; "</f>
        <v xml:space="preserve">Update dcollab.collab_user Set Pi = True where User_ID = 'CUSR00515'; </v>
      </c>
    </row>
    <row r="18" spans="1:21">
      <c r="A18" t="s">
        <v>9619</v>
      </c>
      <c r="B18" t="s">
        <v>909</v>
      </c>
      <c r="C18" t="s">
        <v>10540</v>
      </c>
      <c r="D18" t="s">
        <v>910</v>
      </c>
      <c r="E18" t="s">
        <v>60</v>
      </c>
      <c r="F18" t="s">
        <v>911</v>
      </c>
      <c r="G18" t="s">
        <v>912</v>
      </c>
      <c r="H18">
        <f t="shared" si="0"/>
        <v>1</v>
      </c>
      <c r="J18" t="s">
        <v>913</v>
      </c>
      <c r="K18" t="str">
        <f>VLOOKUP(J18,Organisation!$A$2:$C$499,3,FALSE)</f>
        <v>CORG00188</v>
      </c>
      <c r="L18" t="str">
        <f>VLOOKUP(J18,Organisation!$A$2:$E$499,4,FALSE)</f>
        <v>Academic</v>
      </c>
      <c r="M18" t="s">
        <v>73</v>
      </c>
      <c r="O18" t="s">
        <v>8808</v>
      </c>
      <c r="P18" s="3" t="s">
        <v>914</v>
      </c>
      <c r="Q18" t="s">
        <v>915</v>
      </c>
      <c r="S18" s="1">
        <v>1</v>
      </c>
      <c r="T18" t="str">
        <f>"Update Collaborator Set Organisation = '"&amp;J18&amp;"' where User_ID = '"&amp;B18&amp;"'; "</f>
        <v xml:space="preserve">Update Collaborator Set Organisation = 'Trinity College' where User_ID = 'CU00017'; </v>
      </c>
      <c r="U18" t="str">
        <f>"Update dcollab.collab_user Set Pi = True where User_ID = '"&amp;A18&amp;"'; "</f>
        <v xml:space="preserve">Update dcollab.collab_user Set Pi = True where User_ID = 'CUSR00029'; </v>
      </c>
    </row>
    <row r="19" spans="1:21">
      <c r="A19" t="s">
        <v>9615</v>
      </c>
      <c r="B19" t="s">
        <v>1942</v>
      </c>
      <c r="D19" t="s">
        <v>1943</v>
      </c>
      <c r="E19" t="s">
        <v>60</v>
      </c>
      <c r="F19" t="s">
        <v>1944</v>
      </c>
      <c r="G19" t="s">
        <v>1945</v>
      </c>
      <c r="H19">
        <f t="shared" si="0"/>
        <v>1</v>
      </c>
      <c r="J19" t="s">
        <v>1946</v>
      </c>
      <c r="K19" t="str">
        <f>VLOOKUP(J19,Organisation!$A$2:$C$499,3,FALSE)</f>
        <v>CORG00197</v>
      </c>
      <c r="L19" t="str">
        <f>VLOOKUP(J19,Organisation!$A$2:$E$499,4,FALSE)</f>
        <v>Academic</v>
      </c>
      <c r="M19" t="s">
        <v>1947</v>
      </c>
      <c r="O19" t="s">
        <v>234</v>
      </c>
      <c r="Q19" t="s">
        <v>1948</v>
      </c>
      <c r="S19" s="1">
        <v>1</v>
      </c>
      <c r="T19" t="str">
        <f>"Update Collaborator Set Organisation = '"&amp;J19&amp;"' where User_ID = '"&amp;B19&amp;"'; "</f>
        <v xml:space="preserve">Update Collaborator Set Organisation = 'Universidade Estadual do Norte Fluminense Darcy Ribeiro' where User_ID = 'CU00018'; </v>
      </c>
    </row>
    <row r="20" spans="1:21">
      <c r="A20" t="s">
        <v>9613</v>
      </c>
      <c r="B20" t="s">
        <v>1026</v>
      </c>
      <c r="D20" t="s">
        <v>1027</v>
      </c>
      <c r="E20" t="s">
        <v>60</v>
      </c>
      <c r="F20" t="s">
        <v>1028</v>
      </c>
      <c r="G20" t="s">
        <v>1029</v>
      </c>
      <c r="H20">
        <f t="shared" si="0"/>
        <v>1</v>
      </c>
      <c r="J20" t="s">
        <v>8748</v>
      </c>
      <c r="K20" t="str">
        <f>VLOOKUP(J20,Organisation!$A$2:$C$499,3,FALSE)</f>
        <v>CORG00222</v>
      </c>
      <c r="L20" t="str">
        <f>VLOOKUP(J20,Organisation!$A$2:$E$499,4,FALSE)</f>
        <v>Academic</v>
      </c>
      <c r="M20" t="s">
        <v>1031</v>
      </c>
      <c r="O20" t="s">
        <v>8808</v>
      </c>
      <c r="Q20" t="s">
        <v>1032</v>
      </c>
      <c r="S20" s="1">
        <v>0</v>
      </c>
      <c r="T20" t="str">
        <f>"Update Collaborator Set Organisation = '"&amp;J20&amp;"' where User_ID = '"&amp;B20&amp;"'; "</f>
        <v xml:space="preserve">Update Collaborator Set Organisation = 'University of California San Francisco' where User_ID = 'CU00019'; </v>
      </c>
    </row>
    <row r="21" spans="1:21">
      <c r="A21" t="s">
        <v>9621</v>
      </c>
      <c r="B21" t="s">
        <v>4342</v>
      </c>
      <c r="C21" t="s">
        <v>10540</v>
      </c>
      <c r="D21" t="s">
        <v>3613</v>
      </c>
      <c r="E21" t="s">
        <v>60</v>
      </c>
      <c r="F21" t="s">
        <v>4343</v>
      </c>
      <c r="G21" t="s">
        <v>4344</v>
      </c>
      <c r="H21">
        <f t="shared" si="0"/>
        <v>1</v>
      </c>
      <c r="J21" t="s">
        <v>389</v>
      </c>
      <c r="K21" t="str">
        <f>VLOOKUP(J21,Organisation!$A$2:$C$499,3,FALSE)</f>
        <v>CORG00271</v>
      </c>
      <c r="L21" t="str">
        <f>VLOOKUP(J21,Organisation!$A$2:$E$499,4,FALSE)</f>
        <v>Academic</v>
      </c>
      <c r="M21" t="s">
        <v>3616</v>
      </c>
      <c r="O21" t="s">
        <v>14</v>
      </c>
      <c r="P21" s="3" t="s">
        <v>4345</v>
      </c>
      <c r="Q21" t="s">
        <v>4346</v>
      </c>
      <c r="S21" s="1">
        <v>1</v>
      </c>
      <c r="T21" t="str">
        <f>"Update Collaborator Set Organisation = '"&amp;J21&amp;"' where User_ID = '"&amp;B21&amp;"'; "</f>
        <v xml:space="preserve">Update Collaborator Set Organisation = 'University of Sydney' where User_ID = 'CU00020'; </v>
      </c>
      <c r="U21" t="str">
        <f>"Update dcollab.collab_user Set Pi = True where User_ID = '"&amp;A21&amp;"'; "</f>
        <v xml:space="preserve">Update dcollab.collab_user Set Pi = True where User_ID = 'CUSR00031'; </v>
      </c>
    </row>
    <row r="22" spans="1:21">
      <c r="A22" t="s">
        <v>10071</v>
      </c>
      <c r="B22" t="s">
        <v>5409</v>
      </c>
      <c r="D22" t="s">
        <v>520</v>
      </c>
      <c r="E22" t="s">
        <v>60</v>
      </c>
      <c r="F22" t="s">
        <v>5410</v>
      </c>
      <c r="G22" t="s">
        <v>5411</v>
      </c>
      <c r="H22">
        <f t="shared" si="0"/>
        <v>1</v>
      </c>
      <c r="J22" t="s">
        <v>524</v>
      </c>
      <c r="K22" t="str">
        <f>VLOOKUP(J22,Organisation!$A$2:$C$499,3,FALSE)</f>
        <v>CORG00255</v>
      </c>
      <c r="L22" t="str">
        <f>VLOOKUP(J22,Organisation!$A$2:$E$499,4,FALSE)</f>
        <v>Academic</v>
      </c>
      <c r="M22" t="s">
        <v>2509</v>
      </c>
      <c r="O22" t="s">
        <v>14</v>
      </c>
      <c r="P22" s="3" t="s">
        <v>2510</v>
      </c>
      <c r="Q22" t="s">
        <v>5412</v>
      </c>
      <c r="S22" s="1">
        <v>1</v>
      </c>
      <c r="T22" t="str">
        <f>"Update Collaborator Set Organisation = '"&amp;J22&amp;"' where User_ID = '"&amp;B22&amp;"'; "</f>
        <v xml:space="preserve">Update Collaborator Set Organisation = 'University of Newcastle' where User_ID = 'CU00021'; </v>
      </c>
    </row>
    <row r="23" spans="1:21">
      <c r="A23" t="s">
        <v>9622</v>
      </c>
      <c r="B23" t="s">
        <v>3628</v>
      </c>
      <c r="C23" t="s">
        <v>10540</v>
      </c>
      <c r="D23" t="s">
        <v>3629</v>
      </c>
      <c r="E23" t="s">
        <v>60</v>
      </c>
      <c r="F23" t="s">
        <v>3630</v>
      </c>
      <c r="G23" t="s">
        <v>3631</v>
      </c>
      <c r="H23">
        <f t="shared" si="0"/>
        <v>1</v>
      </c>
      <c r="J23" t="s">
        <v>2957</v>
      </c>
      <c r="K23" t="str">
        <f>VLOOKUP(J23,Organisation!$A$2:$C$499,3,FALSE)</f>
        <v>CORG00170</v>
      </c>
      <c r="L23" t="str">
        <f>VLOOKUP(J23,Organisation!$A$2:$E$499,4,FALSE)</f>
        <v>Academic</v>
      </c>
      <c r="M23" t="s">
        <v>3632</v>
      </c>
      <c r="N23" t="s">
        <v>3633</v>
      </c>
      <c r="O23" t="s">
        <v>211</v>
      </c>
      <c r="P23" s="3" t="s">
        <v>3634</v>
      </c>
      <c r="Q23" t="s">
        <v>3635</v>
      </c>
      <c r="S23" s="1">
        <v>1</v>
      </c>
      <c r="T23" t="str">
        <f>"Update Collaborator Set Organisation = '"&amp;J23&amp;"' where User_ID = '"&amp;B23&amp;"'; "</f>
        <v xml:space="preserve">Update Collaborator Set Organisation = 'Saurashtra University' where User_ID = 'CU00022'; </v>
      </c>
      <c r="U23" t="str">
        <f>"Update dcollab.collab_user Set Pi = True where User_ID = '"&amp;A23&amp;"'; "</f>
        <v xml:space="preserve">Update dcollab.collab_user Set Pi = True where User_ID = 'CUSR00034'; </v>
      </c>
    </row>
    <row r="24" spans="1:21">
      <c r="A24" t="s">
        <v>9624</v>
      </c>
      <c r="B24" t="s">
        <v>2953</v>
      </c>
      <c r="C24" t="s">
        <v>10540</v>
      </c>
      <c r="D24" t="s">
        <v>2954</v>
      </c>
      <c r="E24" t="s">
        <v>60</v>
      </c>
      <c r="F24" t="s">
        <v>2955</v>
      </c>
      <c r="G24" t="s">
        <v>2956</v>
      </c>
      <c r="H24">
        <f t="shared" si="0"/>
        <v>1</v>
      </c>
      <c r="J24" t="s">
        <v>2957</v>
      </c>
      <c r="K24" t="str">
        <f>VLOOKUP(J24,Organisation!$A$2:$C$499,3,FALSE)</f>
        <v>CORG00170</v>
      </c>
      <c r="L24" t="str">
        <f>VLOOKUP(J24,Organisation!$A$2:$E$499,4,FALSE)</f>
        <v>Academic</v>
      </c>
      <c r="O24" t="s">
        <v>211</v>
      </c>
      <c r="P24" s="3" t="s">
        <v>2958</v>
      </c>
      <c r="Q24" t="s">
        <v>2959</v>
      </c>
      <c r="S24" s="1">
        <v>1</v>
      </c>
      <c r="T24" t="str">
        <f>"Update Collaborator Set Organisation = '"&amp;J24&amp;"' where User_ID = '"&amp;B24&amp;"'; "</f>
        <v xml:space="preserve">Update Collaborator Set Organisation = 'Saurashtra University' where User_ID = 'CU00023'; </v>
      </c>
      <c r="U24" t="str">
        <f>"Update dcollab.collab_user Set Pi = True where User_ID = '"&amp;A24&amp;"'; "</f>
        <v xml:space="preserve">Update dcollab.collab_user Set Pi = True where User_ID = 'CUSR00036'; </v>
      </c>
    </row>
    <row r="25" spans="1:21">
      <c r="A25" t="s">
        <v>9625</v>
      </c>
      <c r="B25" t="s">
        <v>1332</v>
      </c>
      <c r="C25" t="s">
        <v>10540</v>
      </c>
      <c r="D25" t="s">
        <v>1333</v>
      </c>
      <c r="E25" t="s">
        <v>60</v>
      </c>
      <c r="F25" t="s">
        <v>1334</v>
      </c>
      <c r="G25" t="s">
        <v>1335</v>
      </c>
      <c r="H25">
        <f t="shared" si="0"/>
        <v>1</v>
      </c>
      <c r="J25" t="s">
        <v>362</v>
      </c>
      <c r="K25" t="str">
        <f>VLOOKUP(J25,Organisation!$A$2:$C$499,3,FALSE)</f>
        <v>CORG00001</v>
      </c>
      <c r="L25" t="str">
        <f>VLOOKUP(J25,Organisation!$A$2:$E$499,4,FALSE)</f>
        <v>Academic</v>
      </c>
      <c r="M25" t="s">
        <v>1336</v>
      </c>
      <c r="O25" t="s">
        <v>14</v>
      </c>
      <c r="P25" s="3" t="s">
        <v>1337</v>
      </c>
      <c r="Q25" t="s">
        <v>1338</v>
      </c>
      <c r="S25" s="1">
        <v>1</v>
      </c>
      <c r="T25" t="str">
        <f>"Update Collaborator Set Organisation = '"&amp;J25&amp;"' where User_ID = '"&amp;B25&amp;"'; "</f>
        <v xml:space="preserve">Update Collaborator Set Organisation = 'University of Queensland' where User_ID = 'CU00024'; </v>
      </c>
      <c r="U25" t="str">
        <f>"Update dcollab.collab_user Set Pi = True where User_ID = '"&amp;A25&amp;"'; "</f>
        <v xml:space="preserve">Update dcollab.collab_user Set Pi = True where User_ID = 'CUSR00037'; </v>
      </c>
    </row>
    <row r="26" spans="1:21">
      <c r="A26" t="s">
        <v>9659</v>
      </c>
      <c r="B26" t="s">
        <v>994</v>
      </c>
      <c r="D26" t="s">
        <v>995</v>
      </c>
      <c r="E26" t="s">
        <v>60</v>
      </c>
      <c r="F26" t="s">
        <v>996</v>
      </c>
      <c r="G26" t="s">
        <v>997</v>
      </c>
      <c r="H26">
        <f t="shared" si="0"/>
        <v>1</v>
      </c>
      <c r="J26" t="s">
        <v>998</v>
      </c>
      <c r="K26" t="str">
        <f>VLOOKUP(J26,Organisation!$A$2:$C$499,3,FALSE)</f>
        <v>CORG00272</v>
      </c>
      <c r="L26" t="str">
        <f>VLOOKUP(J26,Organisation!$A$2:$E$499,4,FALSE)</f>
        <v>Academic</v>
      </c>
      <c r="M26" t="s">
        <v>999</v>
      </c>
      <c r="O26" t="s">
        <v>848</v>
      </c>
      <c r="P26" s="3" t="s">
        <v>1000</v>
      </c>
      <c r="Q26" t="s">
        <v>1001</v>
      </c>
      <c r="S26" s="1">
        <v>1</v>
      </c>
      <c r="T26" t="str">
        <f>"Update Collaborator Set Organisation = '"&amp;J26&amp;"' where User_ID = '"&amp;B26&amp;"'; "</f>
        <v xml:space="preserve">Update Collaborator Set Organisation = 'University of Technology' where User_ID = 'CU00025'; </v>
      </c>
    </row>
    <row r="27" spans="1:21">
      <c r="A27" t="s">
        <v>9618</v>
      </c>
      <c r="B27" t="s">
        <v>4629</v>
      </c>
      <c r="D27" t="s">
        <v>4630</v>
      </c>
      <c r="E27" t="s">
        <v>60</v>
      </c>
      <c r="F27" t="s">
        <v>4631</v>
      </c>
      <c r="G27" t="s">
        <v>4632</v>
      </c>
      <c r="H27">
        <f t="shared" si="0"/>
        <v>2</v>
      </c>
      <c r="J27" t="s">
        <v>4633</v>
      </c>
      <c r="K27" t="str">
        <f>VLOOKUP(J27,Organisation!$A$2:$C$499,3,FALSE)</f>
        <v>CORG00270</v>
      </c>
      <c r="L27" t="str">
        <f>VLOOKUP(J27,Organisation!$A$2:$E$499,4,FALSE)</f>
        <v>Academic</v>
      </c>
      <c r="M27" t="s">
        <v>4634</v>
      </c>
      <c r="O27" t="s">
        <v>269</v>
      </c>
      <c r="P27" s="3" t="s">
        <v>4635</v>
      </c>
      <c r="Q27" t="s">
        <v>4636</v>
      </c>
      <c r="S27" s="1">
        <v>1</v>
      </c>
      <c r="T27" t="str">
        <f>"Update Collaborator Set Organisation = '"&amp;J27&amp;"' where User_ID = '"&amp;B27&amp;"'; "</f>
        <v xml:space="preserve">Update Collaborator Set Organisation = 'University of Strathclyde' where User_ID = 'CU00026'; </v>
      </c>
    </row>
    <row r="28" spans="1:21">
      <c r="A28" t="s">
        <v>9626</v>
      </c>
      <c r="B28" t="s">
        <v>4082</v>
      </c>
      <c r="C28" t="s">
        <v>10540</v>
      </c>
      <c r="D28" t="s">
        <v>488</v>
      </c>
      <c r="E28" t="s">
        <v>60</v>
      </c>
      <c r="F28" t="s">
        <v>4083</v>
      </c>
      <c r="G28" t="s">
        <v>4084</v>
      </c>
      <c r="H28">
        <f t="shared" si="0"/>
        <v>1</v>
      </c>
      <c r="I28" t="s">
        <v>1035</v>
      </c>
      <c r="J28" t="s">
        <v>491</v>
      </c>
      <c r="K28" t="str">
        <f>VLOOKUP(J28,Organisation!$A$2:$C$499,3,FALSE)</f>
        <v>CORG00048</v>
      </c>
      <c r="L28" t="str">
        <f>VLOOKUP(J28,Organisation!$A$2:$E$499,4,FALSE)</f>
        <v>Academic</v>
      </c>
      <c r="M28" t="s">
        <v>8818</v>
      </c>
      <c r="N28" t="s">
        <v>491</v>
      </c>
      <c r="O28" t="s">
        <v>14</v>
      </c>
      <c r="P28" s="3" t="s">
        <v>832</v>
      </c>
      <c r="Q28" t="s">
        <v>4085</v>
      </c>
      <c r="S28" s="1">
        <v>1</v>
      </c>
      <c r="T28" t="str">
        <f>"Update Collaborator Set Organisation = '"&amp;J28&amp;"' where User_ID = '"&amp;B28&amp;"'; "</f>
        <v xml:space="preserve">Update Collaborator Set Organisation = 'Deakin University' where User_ID = 'CU00027'; </v>
      </c>
      <c r="U28" t="str">
        <f>"Update dcollab.collab_user Set Pi = True where User_ID = '"&amp;A28&amp;"'; "</f>
        <v xml:space="preserve">Update dcollab.collab_user Set Pi = True where User_ID = 'CUSR00038'; </v>
      </c>
    </row>
    <row r="29" spans="1:21">
      <c r="A29" t="s">
        <v>9629</v>
      </c>
      <c r="B29" t="s">
        <v>2237</v>
      </c>
      <c r="C29" t="s">
        <v>10540</v>
      </c>
      <c r="D29" t="s">
        <v>2173</v>
      </c>
      <c r="E29" t="s">
        <v>60</v>
      </c>
      <c r="F29" t="s">
        <v>2238</v>
      </c>
      <c r="G29" t="s">
        <v>579</v>
      </c>
      <c r="H29">
        <f t="shared" si="0"/>
        <v>1</v>
      </c>
      <c r="I29" t="s">
        <v>8841</v>
      </c>
      <c r="J29" t="s">
        <v>1327</v>
      </c>
      <c r="K29" t="str">
        <f>VLOOKUP(J29,Organisation!$A$2:$C$499,3,FALSE)</f>
        <v>CORG00067</v>
      </c>
      <c r="L29" t="str">
        <f>VLOOKUP(J29,Organisation!$A$2:$E$499,4,FALSE)</f>
        <v>Academic</v>
      </c>
      <c r="M29" t="s">
        <v>2176</v>
      </c>
      <c r="N29" t="s">
        <v>2239</v>
      </c>
      <c r="O29" t="s">
        <v>14</v>
      </c>
      <c r="P29" s="3" t="s">
        <v>2240</v>
      </c>
      <c r="Q29" t="s">
        <v>2241</v>
      </c>
      <c r="S29" s="1">
        <v>1</v>
      </c>
      <c r="T29" t="str">
        <f>"Update Collaborator Set Organisation = '"&amp;J29&amp;"' where User_ID = '"&amp;B29&amp;"'; "</f>
        <v xml:space="preserve">Update Collaborator Set Organisation = 'Griffith University' where User_ID = 'CU00028'; </v>
      </c>
      <c r="U29" t="str">
        <f>"Update dcollab.collab_user Set Pi = True where User_ID = '"&amp;A29&amp;"'; "</f>
        <v xml:space="preserve">Update dcollab.collab_user Set Pi = True where User_ID = 'CUSR00041'; </v>
      </c>
    </row>
    <row r="30" spans="1:21">
      <c r="A30" t="s">
        <v>9632</v>
      </c>
      <c r="B30" t="s">
        <v>2976</v>
      </c>
      <c r="D30" t="s">
        <v>2194</v>
      </c>
      <c r="E30" t="s">
        <v>60</v>
      </c>
      <c r="F30" t="s">
        <v>2977</v>
      </c>
      <c r="G30" t="s">
        <v>2971</v>
      </c>
      <c r="H30">
        <f t="shared" si="0"/>
        <v>2</v>
      </c>
      <c r="I30" t="s">
        <v>516</v>
      </c>
      <c r="J30" t="s">
        <v>362</v>
      </c>
      <c r="K30" t="str">
        <f>VLOOKUP(J30,Organisation!$A$2:$C$499,3,FALSE)</f>
        <v>CORG00001</v>
      </c>
      <c r="L30" t="str">
        <f>VLOOKUP(J30,Organisation!$A$2:$E$499,4,FALSE)</f>
        <v>Academic</v>
      </c>
      <c r="M30" t="s">
        <v>416</v>
      </c>
      <c r="N30" t="s">
        <v>2269</v>
      </c>
      <c r="O30" t="s">
        <v>14</v>
      </c>
      <c r="P30" s="3" t="s">
        <v>2978</v>
      </c>
      <c r="Q30" t="s">
        <v>2979</v>
      </c>
      <c r="S30" s="1">
        <v>1</v>
      </c>
      <c r="T30" t="str">
        <f>"Update Collaborator Set Organisation = '"&amp;J30&amp;"' where User_ID = '"&amp;B30&amp;"'; "</f>
        <v xml:space="preserve">Update Collaborator Set Organisation = 'University of Queensland' where User_ID = 'CU00029'; </v>
      </c>
    </row>
    <row r="31" spans="1:21">
      <c r="A31" t="s">
        <v>9641</v>
      </c>
      <c r="B31" t="s">
        <v>569</v>
      </c>
      <c r="C31" t="s">
        <v>10540</v>
      </c>
      <c r="D31" t="s">
        <v>570</v>
      </c>
      <c r="E31" t="s">
        <v>60</v>
      </c>
      <c r="F31" t="s">
        <v>571</v>
      </c>
      <c r="G31" t="s">
        <v>572</v>
      </c>
      <c r="H31">
        <f t="shared" si="0"/>
        <v>1</v>
      </c>
      <c r="J31" t="s">
        <v>573</v>
      </c>
      <c r="K31" t="str">
        <f>VLOOKUP(J31,Organisation!$A$2:$C$499,3,FALSE)</f>
        <v>CORG00159</v>
      </c>
      <c r="L31" t="str">
        <f>VLOOKUP(J31,Organisation!$A$2:$E$499,4,FALSE)</f>
        <v>Academic</v>
      </c>
      <c r="M31" t="s">
        <v>574</v>
      </c>
      <c r="O31" t="s">
        <v>211</v>
      </c>
      <c r="P31" s="3" t="s">
        <v>575</v>
      </c>
      <c r="Q31" t="s">
        <v>576</v>
      </c>
      <c r="S31" s="1">
        <v>1</v>
      </c>
      <c r="T31" t="str">
        <f>"Update Collaborator Set Organisation = '"&amp;J31&amp;"' where User_ID = '"&amp;B31&amp;"'; "</f>
        <v xml:space="preserve">Update Collaborator Set Organisation = 'RKDF University' where User_ID = 'CU00030'; </v>
      </c>
      <c r="U31" t="str">
        <f>"Update dcollab.collab_user Set Pi = True where User_ID = '"&amp;A31&amp;"'; "</f>
        <v xml:space="preserve">Update dcollab.collab_user Set Pi = True where User_ID = 'CUSR00053'; </v>
      </c>
    </row>
    <row r="32" spans="1:21">
      <c r="A32" t="s">
        <v>9642</v>
      </c>
      <c r="B32" t="s">
        <v>2587</v>
      </c>
      <c r="C32" t="s">
        <v>10540</v>
      </c>
      <c r="D32" t="s">
        <v>2588</v>
      </c>
      <c r="E32" t="s">
        <v>60</v>
      </c>
      <c r="F32" t="s">
        <v>496</v>
      </c>
      <c r="G32" t="s">
        <v>2589</v>
      </c>
      <c r="H32">
        <f t="shared" si="0"/>
        <v>1</v>
      </c>
      <c r="J32" t="s">
        <v>2590</v>
      </c>
      <c r="K32" t="str">
        <f>VLOOKUP(J32,Organisation!$A$2:$C$499,3,FALSE)</f>
        <v>CORG00214</v>
      </c>
      <c r="L32" t="str">
        <f>VLOOKUP(J32,Organisation!$A$2:$E$499,4,FALSE)</f>
        <v>Academic</v>
      </c>
      <c r="M32" t="s">
        <v>316</v>
      </c>
      <c r="N32" t="s">
        <v>2591</v>
      </c>
      <c r="O32" t="s">
        <v>8808</v>
      </c>
      <c r="P32" s="3" t="s">
        <v>2592</v>
      </c>
      <c r="Q32" t="s">
        <v>2593</v>
      </c>
      <c r="S32" s="1">
        <v>1</v>
      </c>
      <c r="T32" t="str">
        <f>"Update Collaborator Set Organisation = '"&amp;J32&amp;"' where User_ID = '"&amp;B32&amp;"'; "</f>
        <v xml:space="preserve">Update Collaborator Set Organisation = 'University of Arizona' where User_ID = 'CU00031'; </v>
      </c>
      <c r="U32" t="str">
        <f>"Update dcollab.collab_user Set Pi = True where User_ID = '"&amp;A32&amp;"'; "</f>
        <v xml:space="preserve">Update dcollab.collab_user Set Pi = True where User_ID = 'CUSR00054'; </v>
      </c>
    </row>
    <row r="33" spans="1:21">
      <c r="A33" t="s">
        <v>9644</v>
      </c>
      <c r="B33" t="s">
        <v>982</v>
      </c>
      <c r="C33" t="s">
        <v>10540</v>
      </c>
      <c r="D33" t="s">
        <v>812</v>
      </c>
      <c r="E33" t="s">
        <v>60</v>
      </c>
      <c r="F33" t="s">
        <v>983</v>
      </c>
      <c r="G33" t="s">
        <v>984</v>
      </c>
      <c r="H33">
        <f t="shared" si="0"/>
        <v>2</v>
      </c>
      <c r="J33" t="s">
        <v>815</v>
      </c>
      <c r="K33" t="str">
        <f>VLOOKUP(J33,Organisation!$A$2:$C$499,3,FALSE)</f>
        <v>CORG00075</v>
      </c>
      <c r="L33" t="str">
        <f>VLOOKUP(J33,Organisation!$A$2:$E$499,4,FALSE)</f>
        <v>Academic</v>
      </c>
      <c r="N33" t="s">
        <v>816</v>
      </c>
      <c r="O33" t="s">
        <v>269</v>
      </c>
      <c r="P33" s="3" t="s">
        <v>985</v>
      </c>
      <c r="Q33" t="s">
        <v>986</v>
      </c>
      <c r="S33" s="1">
        <v>1</v>
      </c>
      <c r="T33" t="str">
        <f>"Update Collaborator Set Organisation = '"&amp;J33&amp;"' where User_ID = '"&amp;B33&amp;"'; "</f>
        <v xml:space="preserve">Update Collaborator Set Organisation = 'Imperial College London' where User_ID = 'CU00032'; </v>
      </c>
      <c r="U33" t="str">
        <f>"Update dcollab.collab_user Set Pi = True where User_ID = '"&amp;A33&amp;"'; "</f>
        <v xml:space="preserve">Update dcollab.collab_user Set Pi = True where User_ID = 'CUSR00056'; </v>
      </c>
    </row>
    <row r="34" spans="1:21">
      <c r="A34" t="s">
        <v>9649</v>
      </c>
      <c r="B34" t="s">
        <v>430</v>
      </c>
      <c r="C34" t="s">
        <v>10540</v>
      </c>
      <c r="D34" t="s">
        <v>431</v>
      </c>
      <c r="E34" t="s">
        <v>60</v>
      </c>
      <c r="F34" t="s">
        <v>432</v>
      </c>
      <c r="G34" t="s">
        <v>433</v>
      </c>
      <c r="H34">
        <f t="shared" si="0"/>
        <v>1</v>
      </c>
      <c r="J34" t="s">
        <v>434</v>
      </c>
      <c r="K34" t="str">
        <f>VLOOKUP(J34,Organisation!$A$2:$C$499,3,FALSE)</f>
        <v>CORG00211</v>
      </c>
      <c r="L34" t="str">
        <f>VLOOKUP(J34,Organisation!$A$2:$E$499,4,FALSE)</f>
        <v>Academic</v>
      </c>
      <c r="M34" t="s">
        <v>435</v>
      </c>
      <c r="O34" t="s">
        <v>269</v>
      </c>
      <c r="P34" s="3" t="s">
        <v>436</v>
      </c>
      <c r="Q34" t="s">
        <v>437</v>
      </c>
      <c r="S34" s="1">
        <v>1</v>
      </c>
      <c r="T34" t="str">
        <f>"Update Collaborator Set Organisation = '"&amp;J34&amp;"' where User_ID = '"&amp;B34&amp;"'; "</f>
        <v xml:space="preserve">Update Collaborator Set Organisation = 'University College London' where User_ID = 'CU00033'; </v>
      </c>
      <c r="U34" t="str">
        <f>"Update dcollab.collab_user Set Pi = True where User_ID = '"&amp;A34&amp;"'; "</f>
        <v xml:space="preserve">Update dcollab.collab_user Set Pi = True where User_ID = 'CUSR00061'; </v>
      </c>
    </row>
    <row r="35" spans="1:21">
      <c r="A35" t="s">
        <v>9651</v>
      </c>
      <c r="B35" t="s">
        <v>4336</v>
      </c>
      <c r="C35" t="s">
        <v>10540</v>
      </c>
      <c r="D35" t="s">
        <v>4337</v>
      </c>
      <c r="E35" t="s">
        <v>60</v>
      </c>
      <c r="F35" t="s">
        <v>4338</v>
      </c>
      <c r="G35" t="s">
        <v>4339</v>
      </c>
      <c r="H35">
        <f t="shared" si="0"/>
        <v>1</v>
      </c>
      <c r="I35" t="s">
        <v>516</v>
      </c>
      <c r="J35" t="s">
        <v>596</v>
      </c>
      <c r="K35" t="str">
        <f>VLOOKUP(J35,Organisation!$A$2:$C$499,3,FALSE)</f>
        <v>CORG00216</v>
      </c>
      <c r="L35" t="str">
        <f>VLOOKUP(J35,Organisation!$A$2:$E$499,4,FALSE)</f>
        <v>Academic</v>
      </c>
      <c r="M35" t="s">
        <v>906</v>
      </c>
      <c r="O35" t="s">
        <v>223</v>
      </c>
      <c r="P35" s="3" t="s">
        <v>4340</v>
      </c>
      <c r="Q35" t="s">
        <v>4341</v>
      </c>
      <c r="S35" s="1">
        <v>1</v>
      </c>
      <c r="T35" t="str">
        <f>"Update Collaborator Set Organisation = '"&amp;J35&amp;"' where User_ID = '"&amp;B35&amp;"'; "</f>
        <v xml:space="preserve">Update Collaborator Set Organisation = 'University of Auckland' where User_ID = 'CU00034'; </v>
      </c>
      <c r="U35" t="str">
        <f>"Update dcollab.collab_user Set Pi = True where User_ID = '"&amp;A35&amp;"'; "</f>
        <v xml:space="preserve">Update dcollab.collab_user Set Pi = True where User_ID = 'CUSR00063'; </v>
      </c>
    </row>
    <row r="36" spans="1:21">
      <c r="A36" t="s">
        <v>9591</v>
      </c>
      <c r="B36" t="s">
        <v>5469</v>
      </c>
      <c r="C36" t="s">
        <v>10540</v>
      </c>
      <c r="D36" t="s">
        <v>2002</v>
      </c>
      <c r="E36" t="s">
        <v>60</v>
      </c>
      <c r="F36" t="s">
        <v>4338</v>
      </c>
      <c r="G36" t="s">
        <v>5470</v>
      </c>
      <c r="H36">
        <f t="shared" si="0"/>
        <v>1</v>
      </c>
      <c r="I36" t="s">
        <v>5471</v>
      </c>
      <c r="J36" t="s">
        <v>362</v>
      </c>
      <c r="K36" t="str">
        <f>VLOOKUP(J36,Organisation!$A$2:$C$499,3,FALSE)</f>
        <v>CORG00001</v>
      </c>
      <c r="L36" t="str">
        <f>VLOOKUP(J36,Organisation!$A$2:$E$499,4,FALSE)</f>
        <v>Academic</v>
      </c>
      <c r="M36" t="s">
        <v>416</v>
      </c>
      <c r="N36" t="s">
        <v>451</v>
      </c>
      <c r="O36" t="s">
        <v>14</v>
      </c>
      <c r="P36" s="3" t="s">
        <v>5472</v>
      </c>
      <c r="Q36" t="s">
        <v>5473</v>
      </c>
      <c r="S36" s="1">
        <v>1</v>
      </c>
      <c r="T36" t="str">
        <f>"Update Collaborator Set Organisation = '"&amp;J36&amp;"' where User_ID = '"&amp;B36&amp;"'; "</f>
        <v xml:space="preserve">Update Collaborator Set Organisation = 'University of Queensland' where User_ID = 'CU00035'; </v>
      </c>
      <c r="U36" t="str">
        <f>"Update dcollab.collab_user Set Pi = True where User_ID = '"&amp;A36&amp;"'; "</f>
        <v xml:space="preserve">Update dcollab.collab_user Set Pi = True where User_ID = 'CUSR00001'; </v>
      </c>
    </row>
    <row r="37" spans="1:21">
      <c r="A37" t="s">
        <v>9652</v>
      </c>
      <c r="B37" t="s">
        <v>3814</v>
      </c>
      <c r="C37" t="s">
        <v>10540</v>
      </c>
      <c r="D37" t="s">
        <v>2678</v>
      </c>
      <c r="E37" t="s">
        <v>60</v>
      </c>
      <c r="F37" t="s">
        <v>821</v>
      </c>
      <c r="G37" t="s">
        <v>3815</v>
      </c>
      <c r="H37">
        <f t="shared" si="0"/>
        <v>1</v>
      </c>
      <c r="J37" t="s">
        <v>8748</v>
      </c>
      <c r="K37" t="str">
        <f>VLOOKUP(J37,Organisation!$A$2:$C$499,3,FALSE)</f>
        <v>CORG00222</v>
      </c>
      <c r="L37" t="str">
        <f>VLOOKUP(J37,Organisation!$A$2:$E$499,4,FALSE)</f>
        <v>Academic</v>
      </c>
      <c r="M37" t="s">
        <v>1031</v>
      </c>
      <c r="O37" t="s">
        <v>8808</v>
      </c>
      <c r="P37" s="3" t="s">
        <v>3816</v>
      </c>
      <c r="Q37" t="s">
        <v>3817</v>
      </c>
      <c r="S37" s="1">
        <v>1</v>
      </c>
      <c r="T37" t="str">
        <f>"Update Collaborator Set Organisation = '"&amp;J37&amp;"' where User_ID = '"&amp;B37&amp;"'; "</f>
        <v xml:space="preserve">Update Collaborator Set Organisation = 'University of California San Francisco' where User_ID = 'CU00036'; </v>
      </c>
      <c r="U37" t="str">
        <f>"Update dcollab.collab_user Set Pi = True where User_ID = '"&amp;A37&amp;"'; "</f>
        <v xml:space="preserve">Update dcollab.collab_user Set Pi = True where User_ID = 'CUSR00064'; </v>
      </c>
    </row>
    <row r="38" spans="1:21">
      <c r="A38" t="s">
        <v>9654</v>
      </c>
      <c r="B38" t="s">
        <v>5239</v>
      </c>
      <c r="C38" t="s">
        <v>10540</v>
      </c>
      <c r="D38" t="s">
        <v>5240</v>
      </c>
      <c r="E38" t="s">
        <v>60</v>
      </c>
      <c r="F38" t="s">
        <v>2561</v>
      </c>
      <c r="G38" t="s">
        <v>5241</v>
      </c>
      <c r="H38">
        <f t="shared" si="0"/>
        <v>1</v>
      </c>
      <c r="J38" t="s">
        <v>1271</v>
      </c>
      <c r="K38" t="str">
        <f>VLOOKUP(J38,Organisation!$A$2:$C$499,3,FALSE)</f>
        <v>CORG00244</v>
      </c>
      <c r="L38" t="str">
        <f>VLOOKUP(J38,Organisation!$A$2:$E$499,4,FALSE)</f>
        <v>Academic</v>
      </c>
      <c r="M38" t="s">
        <v>8819</v>
      </c>
      <c r="O38" t="s">
        <v>14</v>
      </c>
      <c r="P38" s="3" t="s">
        <v>5243</v>
      </c>
      <c r="Q38" t="s">
        <v>5244</v>
      </c>
      <c r="S38" s="1">
        <v>1</v>
      </c>
      <c r="T38" t="str">
        <f>"Update Collaborator Set Organisation = '"&amp;J38&amp;"' where User_ID = '"&amp;B38&amp;"'; "</f>
        <v xml:space="preserve">Update Collaborator Set Organisation = 'University of Melbourne' where User_ID = 'CU00037'; </v>
      </c>
      <c r="U38" t="str">
        <f>"Update dcollab.collab_user Set Pi = True where User_ID = '"&amp;A38&amp;"'; "</f>
        <v xml:space="preserve">Update dcollab.collab_user Set Pi = True where User_ID = 'CUSR00066'; </v>
      </c>
    </row>
    <row r="39" spans="1:21">
      <c r="A39" t="s">
        <v>9655</v>
      </c>
      <c r="B39" t="s">
        <v>2135</v>
      </c>
      <c r="C39" t="s">
        <v>10540</v>
      </c>
      <c r="D39" t="s">
        <v>2136</v>
      </c>
      <c r="E39" t="s">
        <v>60</v>
      </c>
      <c r="F39" t="s">
        <v>514</v>
      </c>
      <c r="G39" t="s">
        <v>2137</v>
      </c>
      <c r="H39">
        <f t="shared" si="0"/>
        <v>1</v>
      </c>
      <c r="J39" t="s">
        <v>169</v>
      </c>
      <c r="K39" t="str">
        <f>VLOOKUP(J39,Organisation!$A$2:$C$499,3,FALSE)</f>
        <v>CORG00212</v>
      </c>
      <c r="L39" t="str">
        <f>VLOOKUP(J39,Organisation!$A$2:$E$499,4,FALSE)</f>
        <v>Academic</v>
      </c>
      <c r="M39" t="s">
        <v>2139</v>
      </c>
      <c r="O39" t="s">
        <v>14</v>
      </c>
      <c r="P39" s="3" t="s">
        <v>2140</v>
      </c>
      <c r="Q39" t="s">
        <v>2141</v>
      </c>
      <c r="S39" s="1">
        <v>1</v>
      </c>
      <c r="T39" t="str">
        <f>"Update Collaborator Set Organisation = '"&amp;J39&amp;"' where User_ID = '"&amp;B39&amp;"'; "</f>
        <v xml:space="preserve">Update Collaborator Set Organisation = 'University of Adelaide' where User_ID = 'CU00038'; </v>
      </c>
      <c r="U39" t="str">
        <f>"Update dcollab.collab_user Set Pi = True where User_ID = '"&amp;A39&amp;"'; "</f>
        <v xml:space="preserve">Update dcollab.collab_user Set Pi = True where User_ID = 'CUSR00067'; </v>
      </c>
    </row>
    <row r="40" spans="1:21">
      <c r="A40" t="s">
        <v>9656</v>
      </c>
      <c r="B40" t="s">
        <v>2727</v>
      </c>
      <c r="C40" t="s">
        <v>10540</v>
      </c>
      <c r="D40" t="s">
        <v>2728</v>
      </c>
      <c r="E40" t="s">
        <v>60</v>
      </c>
      <c r="F40" t="s">
        <v>2729</v>
      </c>
      <c r="G40" t="s">
        <v>2730</v>
      </c>
      <c r="H40">
        <f t="shared" si="0"/>
        <v>1</v>
      </c>
      <c r="J40" t="s">
        <v>2731</v>
      </c>
      <c r="K40" t="str">
        <f>VLOOKUP(J40,Organisation!$A$2:$C$499,3,FALSE)</f>
        <v>CORG00162</v>
      </c>
      <c r="L40" t="str">
        <f>VLOOKUP(J40,Organisation!$A$2:$E$499,4,FALSE)</f>
        <v>Academic</v>
      </c>
      <c r="M40" t="s">
        <v>1288</v>
      </c>
      <c r="O40" t="s">
        <v>8808</v>
      </c>
      <c r="P40" s="3" t="s">
        <v>2732</v>
      </c>
      <c r="Q40" t="s">
        <v>2733</v>
      </c>
      <c r="S40" s="1">
        <v>1</v>
      </c>
      <c r="T40" t="str">
        <f>"Update Collaborator Set Organisation = '"&amp;J40&amp;"' where User_ID = '"&amp;B40&amp;"'; "</f>
        <v xml:space="preserve">Update Collaborator Set Organisation = 'Rowan University' where User_ID = 'CU00039'; </v>
      </c>
      <c r="U40" t="str">
        <f>"Update dcollab.collab_user Set Pi = True where User_ID = '"&amp;A40&amp;"'; "</f>
        <v xml:space="preserve">Update dcollab.collab_user Set Pi = True where User_ID = 'CUSR00068'; </v>
      </c>
    </row>
    <row r="41" spans="1:21">
      <c r="A41" t="s">
        <v>9630</v>
      </c>
      <c r="B41" t="s">
        <v>2419</v>
      </c>
      <c r="D41" t="s">
        <v>2173</v>
      </c>
      <c r="E41" t="s">
        <v>60</v>
      </c>
      <c r="F41" t="s">
        <v>787</v>
      </c>
      <c r="G41" t="s">
        <v>2420</v>
      </c>
      <c r="H41">
        <f t="shared" si="0"/>
        <v>1</v>
      </c>
      <c r="J41" t="s">
        <v>1327</v>
      </c>
      <c r="K41" t="str">
        <f>VLOOKUP(J41,Organisation!$A$2:$C$499,3,FALSE)</f>
        <v>CORG00067</v>
      </c>
      <c r="L41" t="str">
        <f>VLOOKUP(J41,Organisation!$A$2:$E$499,4,FALSE)</f>
        <v>Academic</v>
      </c>
      <c r="M41" t="s">
        <v>2176</v>
      </c>
      <c r="O41" t="s">
        <v>14</v>
      </c>
      <c r="P41" s="3" t="s">
        <v>2421</v>
      </c>
      <c r="Q41" t="s">
        <v>2422</v>
      </c>
      <c r="S41" s="1">
        <v>1</v>
      </c>
      <c r="T41" t="str">
        <f>"Update Collaborator Set Organisation = '"&amp;J41&amp;"' where User_ID = '"&amp;B41&amp;"'; "</f>
        <v xml:space="preserve">Update Collaborator Set Organisation = 'Griffith University' where User_ID = 'CU00040'; </v>
      </c>
    </row>
    <row r="42" spans="1:21">
      <c r="A42" t="s">
        <v>9660</v>
      </c>
      <c r="B42" t="s">
        <v>3904</v>
      </c>
      <c r="C42" t="s">
        <v>10540</v>
      </c>
      <c r="D42" t="s">
        <v>995</v>
      </c>
      <c r="E42" t="s">
        <v>60</v>
      </c>
      <c r="F42" t="s">
        <v>3905</v>
      </c>
      <c r="G42" t="s">
        <v>3906</v>
      </c>
      <c r="H42">
        <f t="shared" si="0"/>
        <v>1</v>
      </c>
      <c r="J42" t="s">
        <v>998</v>
      </c>
      <c r="K42" t="str">
        <f>VLOOKUP(J42,Organisation!$A$2:$C$499,3,FALSE)</f>
        <v>CORG00272</v>
      </c>
      <c r="L42" t="str">
        <f>VLOOKUP(J42,Organisation!$A$2:$E$499,4,FALSE)</f>
        <v>Academic</v>
      </c>
      <c r="M42" t="s">
        <v>999</v>
      </c>
      <c r="O42" t="s">
        <v>848</v>
      </c>
      <c r="P42" s="3" t="s">
        <v>3907</v>
      </c>
      <c r="Q42" t="s">
        <v>3908</v>
      </c>
      <c r="S42" s="1">
        <v>1</v>
      </c>
      <c r="T42" t="str">
        <f>"Update Collaborator Set Organisation = '"&amp;J42&amp;"' where User_ID = '"&amp;B42&amp;"'; "</f>
        <v xml:space="preserve">Update Collaborator Set Organisation = 'University of Technology' where User_ID = 'CU00041'; </v>
      </c>
      <c r="U42" t="str">
        <f>"Update dcollab.collab_user Set Pi = True where User_ID = '"&amp;A42&amp;"'; "</f>
        <v xml:space="preserve">Update dcollab.collab_user Set Pi = True where User_ID = 'CUSR00072'; </v>
      </c>
    </row>
    <row r="43" spans="1:21">
      <c r="A43" t="s">
        <v>9661</v>
      </c>
      <c r="B43" t="s">
        <v>4607</v>
      </c>
      <c r="C43" t="s">
        <v>10540</v>
      </c>
      <c r="D43" t="s">
        <v>4608</v>
      </c>
      <c r="E43" t="s">
        <v>60</v>
      </c>
      <c r="F43" t="s">
        <v>4609</v>
      </c>
      <c r="G43" t="s">
        <v>4610</v>
      </c>
      <c r="H43">
        <f t="shared" si="0"/>
        <v>1</v>
      </c>
      <c r="J43" t="s">
        <v>4611</v>
      </c>
      <c r="K43" t="str">
        <f>VLOOKUP(J43,Organisation!$A$2:$C$499,3,FALSE)</f>
        <v>CORG00296</v>
      </c>
      <c r="L43" t="str">
        <f>VLOOKUP(J43,Organisation!$A$2:$E$499,4,FALSE)</f>
        <v>Academic</v>
      </c>
      <c r="M43" t="s">
        <v>4612</v>
      </c>
      <c r="N43" t="s">
        <v>4613</v>
      </c>
      <c r="O43" t="s">
        <v>557</v>
      </c>
      <c r="P43" s="3" t="s">
        <v>4614</v>
      </c>
      <c r="Q43" t="s">
        <v>4615</v>
      </c>
      <c r="S43" s="1">
        <v>1</v>
      </c>
      <c r="T43" t="str">
        <f>"Update Collaborator Set Organisation = '"&amp;J43&amp;"' where User_ID = '"&amp;B43&amp;"'; "</f>
        <v xml:space="preserve">Update Collaborator Set Organisation = 'University-Hospital Schleswig-Holstein' where User_ID = 'CU00042'; </v>
      </c>
      <c r="U43" t="str">
        <f>"Update dcollab.collab_user Set Pi = True where User_ID = '"&amp;A43&amp;"'; "</f>
        <v xml:space="preserve">Update dcollab.collab_user Set Pi = True where User_ID = 'CUSR00073'; </v>
      </c>
    </row>
    <row r="44" spans="1:21">
      <c r="A44" t="s">
        <v>9662</v>
      </c>
      <c r="B44" t="s">
        <v>2793</v>
      </c>
      <c r="C44" t="s">
        <v>10540</v>
      </c>
      <c r="D44" t="s">
        <v>2794</v>
      </c>
      <c r="E44" t="s">
        <v>60</v>
      </c>
      <c r="F44" t="s">
        <v>623</v>
      </c>
      <c r="G44" t="s">
        <v>2795</v>
      </c>
      <c r="H44">
        <f t="shared" si="0"/>
        <v>1</v>
      </c>
      <c r="J44" t="s">
        <v>2796</v>
      </c>
      <c r="K44" t="str">
        <f>VLOOKUP(J44,Organisation!$A$2:$C$499,3,FALSE)</f>
        <v>CORG00044</v>
      </c>
      <c r="L44" t="str">
        <f>VLOOKUP(J44,Organisation!$A$2:$E$499,4,FALSE)</f>
        <v>Academic</v>
      </c>
      <c r="M44" t="s">
        <v>2797</v>
      </c>
      <c r="O44" t="s">
        <v>211</v>
      </c>
      <c r="P44" s="3" t="s">
        <v>2798</v>
      </c>
      <c r="Q44" t="s">
        <v>2799</v>
      </c>
      <c r="S44" s="1">
        <v>1</v>
      </c>
      <c r="T44" t="str">
        <f>"Update Collaborator Set Organisation = '"&amp;J44&amp;"' where User_ID = '"&amp;B44&amp;"'; "</f>
        <v xml:space="preserve">Update Collaborator Set Organisation = 'CSIR-Indian Institute of Chemical Technology' where User_ID = 'CU00043'; </v>
      </c>
      <c r="U44" t="str">
        <f>"Update dcollab.collab_user Set Pi = True where User_ID = '"&amp;A44&amp;"'; "</f>
        <v xml:space="preserve">Update dcollab.collab_user Set Pi = True where User_ID = 'CUSR00074'; </v>
      </c>
    </row>
    <row r="45" spans="1:21">
      <c r="A45" t="s">
        <v>10104</v>
      </c>
      <c r="B45" t="s">
        <v>2820</v>
      </c>
      <c r="D45" t="s">
        <v>1085</v>
      </c>
      <c r="E45" t="s">
        <v>60</v>
      </c>
      <c r="F45" t="s">
        <v>2821</v>
      </c>
      <c r="G45" t="s">
        <v>2822</v>
      </c>
      <c r="H45">
        <f t="shared" si="0"/>
        <v>1</v>
      </c>
      <c r="J45" t="s">
        <v>1088</v>
      </c>
      <c r="K45" t="str">
        <f>VLOOKUP(J45,Organisation!$A$2:$C$499,3,FALSE)</f>
        <v>CORG00186</v>
      </c>
      <c r="L45" t="str">
        <f>VLOOKUP(J45,Organisation!$A$2:$E$499,4,FALSE)</f>
        <v>Academic</v>
      </c>
      <c r="M45" t="s">
        <v>1089</v>
      </c>
      <c r="O45" t="s">
        <v>1090</v>
      </c>
      <c r="P45" s="3" t="s">
        <v>2823</v>
      </c>
      <c r="Q45" t="s">
        <v>2824</v>
      </c>
      <c r="S45" s="1">
        <v>1</v>
      </c>
      <c r="T45" t="str">
        <f>"Update Collaborator Set Organisation = '"&amp;J45&amp;"' where User_ID = '"&amp;B45&amp;"'; "</f>
        <v xml:space="preserve">Update Collaborator Set Organisation = 'Tel Aviv University' where User_ID = 'CU00044'; </v>
      </c>
    </row>
    <row r="46" spans="1:21">
      <c r="A46" t="s">
        <v>9663</v>
      </c>
      <c r="B46" t="s">
        <v>2871</v>
      </c>
      <c r="C46" t="s">
        <v>10540</v>
      </c>
      <c r="D46" t="s">
        <v>2872</v>
      </c>
      <c r="E46" t="s">
        <v>60</v>
      </c>
      <c r="F46" t="s">
        <v>360</v>
      </c>
      <c r="G46" t="s">
        <v>2873</v>
      </c>
      <c r="H46">
        <f t="shared" si="0"/>
        <v>1</v>
      </c>
      <c r="I46" t="s">
        <v>71</v>
      </c>
      <c r="J46" t="s">
        <v>1422</v>
      </c>
      <c r="K46" t="str">
        <f>VLOOKUP(J46,Organisation!$A$2:$C$499,3,FALSE)</f>
        <v>CORG00292</v>
      </c>
      <c r="L46" t="str">
        <f>VLOOKUP(J46,Organisation!$A$2:$E$499,4,FALSE)</f>
        <v>Academic</v>
      </c>
      <c r="M46" t="s">
        <v>170</v>
      </c>
      <c r="N46" t="s">
        <v>2874</v>
      </c>
      <c r="O46" t="s">
        <v>14</v>
      </c>
      <c r="P46" s="3" t="s">
        <v>2875</v>
      </c>
      <c r="Q46" t="s">
        <v>2876</v>
      </c>
      <c r="S46" s="1">
        <v>1</v>
      </c>
      <c r="T46" t="str">
        <f>"Update Collaborator Set Organisation = '"&amp;J46&amp;"' where User_ID = '"&amp;B46&amp;"'; "</f>
        <v xml:space="preserve">Update Collaborator Set Organisation = 'University of Wollongong' where User_ID = 'CU00045'; </v>
      </c>
      <c r="U46" t="str">
        <f>"Update dcollab.collab_user Set Pi = True where User_ID = '"&amp;A46&amp;"'; "</f>
        <v xml:space="preserve">Update dcollab.collab_user Set Pi = True where User_ID = 'CUSR00075'; </v>
      </c>
    </row>
    <row r="47" spans="1:21">
      <c r="A47" t="s">
        <v>9631</v>
      </c>
      <c r="B47" t="s">
        <v>2172</v>
      </c>
      <c r="D47" t="s">
        <v>2173</v>
      </c>
      <c r="E47" t="s">
        <v>60</v>
      </c>
      <c r="F47" t="s">
        <v>2174</v>
      </c>
      <c r="G47" t="s">
        <v>2175</v>
      </c>
      <c r="H47">
        <f t="shared" si="0"/>
        <v>1</v>
      </c>
      <c r="J47" t="s">
        <v>1327</v>
      </c>
      <c r="K47" t="str">
        <f>VLOOKUP(J47,Organisation!$A$2:$C$499,3,FALSE)</f>
        <v>CORG00067</v>
      </c>
      <c r="L47" t="str">
        <f>VLOOKUP(J47,Organisation!$A$2:$E$499,4,FALSE)</f>
        <v>Academic</v>
      </c>
      <c r="M47" t="s">
        <v>2176</v>
      </c>
      <c r="O47" t="s">
        <v>14</v>
      </c>
      <c r="P47" s="3" t="s">
        <v>2177</v>
      </c>
      <c r="Q47" t="s">
        <v>2178</v>
      </c>
      <c r="S47" s="1">
        <v>0</v>
      </c>
      <c r="T47" t="str">
        <f>"Update Collaborator Set Organisation = '"&amp;J47&amp;"' where User_ID = '"&amp;B47&amp;"'; "</f>
        <v xml:space="preserve">Update Collaborator Set Organisation = 'Griffith University' where User_ID = 'CU00046'; </v>
      </c>
    </row>
    <row r="48" spans="1:21">
      <c r="A48" t="s">
        <v>9666</v>
      </c>
      <c r="B48" t="s">
        <v>2604</v>
      </c>
      <c r="C48" t="s">
        <v>10540</v>
      </c>
      <c r="D48" t="s">
        <v>2605</v>
      </c>
      <c r="E48" t="s">
        <v>60</v>
      </c>
      <c r="F48" t="s">
        <v>1269</v>
      </c>
      <c r="G48" t="s">
        <v>2606</v>
      </c>
      <c r="H48">
        <f t="shared" si="0"/>
        <v>1</v>
      </c>
      <c r="J48" t="s">
        <v>2607</v>
      </c>
      <c r="K48" t="str">
        <f>VLOOKUP(J48,Organisation!$A$2:$C$499,3,FALSE)</f>
        <v>CORG00253</v>
      </c>
      <c r="L48" t="str">
        <f>VLOOKUP(J48,Organisation!$A$2:$E$499,4,FALSE)</f>
        <v>Academic</v>
      </c>
      <c r="M48" t="s">
        <v>170</v>
      </c>
      <c r="O48" t="s">
        <v>14</v>
      </c>
      <c r="P48" s="3" t="s">
        <v>2608</v>
      </c>
      <c r="Q48" t="s">
        <v>2609</v>
      </c>
      <c r="S48" s="1">
        <v>1</v>
      </c>
      <c r="T48" t="str">
        <f>"Update Collaborator Set Organisation = '"&amp;J48&amp;"' where User_ID = '"&amp;B48&amp;"'; "</f>
        <v xml:space="preserve">Update Collaborator Set Organisation = 'University of New South Wales' where User_ID = 'CU00047'; </v>
      </c>
      <c r="U48" t="str">
        <f>"Update dcollab.collab_user Set Pi = True where User_ID = '"&amp;A48&amp;"'; "</f>
        <v xml:space="preserve">Update dcollab.collab_user Set Pi = True where User_ID = 'CUSR00078'; </v>
      </c>
    </row>
    <row r="49" spans="1:21">
      <c r="A49" t="s">
        <v>10033</v>
      </c>
      <c r="B49" t="s">
        <v>3098</v>
      </c>
      <c r="D49" t="s">
        <v>2981</v>
      </c>
      <c r="E49" t="s">
        <v>60</v>
      </c>
      <c r="F49" t="s">
        <v>3099</v>
      </c>
      <c r="G49" t="s">
        <v>3100</v>
      </c>
      <c r="H49">
        <f t="shared" si="0"/>
        <v>1</v>
      </c>
      <c r="J49" t="s">
        <v>362</v>
      </c>
      <c r="K49" t="str">
        <f>VLOOKUP(J49,Organisation!$A$2:$C$499,3,FALSE)</f>
        <v>CORG00001</v>
      </c>
      <c r="L49" t="str">
        <f>VLOOKUP(J49,Organisation!$A$2:$E$499,4,FALSE)</f>
        <v>Academic</v>
      </c>
      <c r="M49" t="s">
        <v>416</v>
      </c>
      <c r="O49" t="s">
        <v>14</v>
      </c>
      <c r="P49" s="3" t="s">
        <v>3101</v>
      </c>
      <c r="Q49" t="s">
        <v>3102</v>
      </c>
      <c r="S49" s="1">
        <v>0</v>
      </c>
      <c r="T49" t="str">
        <f>"Update Collaborator Set Organisation = '"&amp;J49&amp;"' where User_ID = '"&amp;B49&amp;"'; "</f>
        <v xml:space="preserve">Update Collaborator Set Organisation = 'University of Queensland' where User_ID = 'CU00048'; </v>
      </c>
    </row>
    <row r="50" spans="1:21">
      <c r="A50" t="s">
        <v>10072</v>
      </c>
      <c r="B50" t="s">
        <v>2506</v>
      </c>
      <c r="D50" t="s">
        <v>520</v>
      </c>
      <c r="E50" t="s">
        <v>60</v>
      </c>
      <c r="F50" t="s">
        <v>2507</v>
      </c>
      <c r="G50" t="s">
        <v>2508</v>
      </c>
      <c r="H50">
        <f t="shared" si="0"/>
        <v>1</v>
      </c>
      <c r="J50" t="s">
        <v>524</v>
      </c>
      <c r="K50" t="str">
        <f>VLOOKUP(J50,Organisation!$A$2:$C$499,3,FALSE)</f>
        <v>CORG00255</v>
      </c>
      <c r="L50" t="str">
        <f>VLOOKUP(J50,Organisation!$A$2:$E$499,4,FALSE)</f>
        <v>Academic</v>
      </c>
      <c r="M50" t="s">
        <v>2509</v>
      </c>
      <c r="O50" t="s">
        <v>14</v>
      </c>
      <c r="P50" s="3" t="s">
        <v>2510</v>
      </c>
      <c r="Q50" t="s">
        <v>2511</v>
      </c>
      <c r="S50" s="1">
        <v>1</v>
      </c>
      <c r="T50" t="str">
        <f>"Update Collaborator Set Organisation = '"&amp;J50&amp;"' where User_ID = '"&amp;B50&amp;"'; "</f>
        <v xml:space="preserve">Update Collaborator Set Organisation = 'University of Newcastle' where User_ID = 'CU00049'; </v>
      </c>
    </row>
    <row r="51" spans="1:21">
      <c r="A51" t="s">
        <v>10105</v>
      </c>
      <c r="B51" t="s">
        <v>1267</v>
      </c>
      <c r="C51" t="s">
        <v>10540</v>
      </c>
      <c r="D51" t="s">
        <v>1268</v>
      </c>
      <c r="E51" t="s">
        <v>60</v>
      </c>
      <c r="F51" t="s">
        <v>1269</v>
      </c>
      <c r="G51" t="s">
        <v>1270</v>
      </c>
      <c r="H51">
        <f t="shared" si="0"/>
        <v>1</v>
      </c>
      <c r="J51" t="s">
        <v>1271</v>
      </c>
      <c r="K51" t="str">
        <f>VLOOKUP(J51,Organisation!$A$2:$C$499,3,FALSE)</f>
        <v>CORG00244</v>
      </c>
      <c r="L51" t="str">
        <f>VLOOKUP(J51,Organisation!$A$2:$E$499,4,FALSE)</f>
        <v>Academic</v>
      </c>
      <c r="M51" t="s">
        <v>1272</v>
      </c>
      <c r="O51" t="s">
        <v>14</v>
      </c>
      <c r="P51" s="3" t="s">
        <v>1273</v>
      </c>
      <c r="Q51" t="s">
        <v>1274</v>
      </c>
      <c r="S51" s="1">
        <v>1</v>
      </c>
      <c r="T51" t="str">
        <f>"Update Collaborator Set Organisation = '"&amp;J51&amp;"' where User_ID = '"&amp;B51&amp;"'; "</f>
        <v xml:space="preserve">Update Collaborator Set Organisation = 'University of Melbourne' where User_ID = 'CU00050'; </v>
      </c>
      <c r="U51" t="str">
        <f>"Update dcollab.collab_user Set Pi = True where User_ID = '"&amp;A51&amp;"'; "</f>
        <v xml:space="preserve">Update dcollab.collab_user Set Pi = True where User_ID = 'CUSR00517'; </v>
      </c>
    </row>
    <row r="52" spans="1:21">
      <c r="A52" t="s">
        <v>9668</v>
      </c>
      <c r="B52" t="s">
        <v>902</v>
      </c>
      <c r="C52" t="s">
        <v>10540</v>
      </c>
      <c r="D52" t="s">
        <v>903</v>
      </c>
      <c r="E52" t="s">
        <v>60</v>
      </c>
      <c r="F52" t="s">
        <v>904</v>
      </c>
      <c r="G52" t="s">
        <v>905</v>
      </c>
      <c r="H52">
        <f t="shared" si="0"/>
        <v>1</v>
      </c>
      <c r="J52" t="s">
        <v>596</v>
      </c>
      <c r="K52" t="str">
        <f>VLOOKUP(J52,Organisation!$A$2:$C$499,3,FALSE)</f>
        <v>CORG00216</v>
      </c>
      <c r="L52" t="str">
        <f>VLOOKUP(J52,Organisation!$A$2:$E$499,4,FALSE)</f>
        <v>Academic</v>
      </c>
      <c r="M52" t="s">
        <v>906</v>
      </c>
      <c r="O52" t="s">
        <v>223</v>
      </c>
      <c r="P52" s="3" t="s">
        <v>907</v>
      </c>
      <c r="Q52" t="s">
        <v>908</v>
      </c>
      <c r="S52" s="1">
        <v>1</v>
      </c>
      <c r="T52" t="str">
        <f>"Update Collaborator Set Organisation = '"&amp;J52&amp;"' where User_ID = '"&amp;B52&amp;"'; "</f>
        <v xml:space="preserve">Update Collaborator Set Organisation = 'University of Auckland' where User_ID = 'CU00051'; </v>
      </c>
      <c r="U52" t="str">
        <f>"Update dcollab.collab_user Set Pi = True where User_ID = '"&amp;A52&amp;"'; "</f>
        <v xml:space="preserve">Update dcollab.collab_user Set Pi = True where User_ID = 'CUSR00080'; </v>
      </c>
    </row>
    <row r="53" spans="1:21">
      <c r="A53" t="s">
        <v>9669</v>
      </c>
      <c r="B53" t="s">
        <v>1324</v>
      </c>
      <c r="C53" t="s">
        <v>10540</v>
      </c>
      <c r="D53" t="s">
        <v>1325</v>
      </c>
      <c r="E53" t="s">
        <v>60</v>
      </c>
      <c r="F53" t="s">
        <v>368</v>
      </c>
      <c r="G53" t="s">
        <v>1326</v>
      </c>
      <c r="H53">
        <f t="shared" si="0"/>
        <v>1</v>
      </c>
      <c r="J53" t="s">
        <v>1327</v>
      </c>
      <c r="K53" t="str">
        <f>VLOOKUP(J53,Organisation!$A$2:$C$499,3,FALSE)</f>
        <v>CORG00067</v>
      </c>
      <c r="L53" t="str">
        <f>VLOOKUP(J53,Organisation!$A$2:$E$499,4,FALSE)</f>
        <v>Academic</v>
      </c>
      <c r="M53" t="s">
        <v>1328</v>
      </c>
      <c r="N53" t="s">
        <v>1329</v>
      </c>
      <c r="O53" t="s">
        <v>14</v>
      </c>
      <c r="P53" s="3" t="s">
        <v>1330</v>
      </c>
      <c r="Q53" t="s">
        <v>1331</v>
      </c>
      <c r="S53" s="1">
        <v>1</v>
      </c>
      <c r="T53" t="str">
        <f>"Update Collaborator Set Organisation = '"&amp;J53&amp;"' where User_ID = '"&amp;B53&amp;"'; "</f>
        <v xml:space="preserve">Update Collaborator Set Organisation = 'Griffith University' where User_ID = 'CU00052'; </v>
      </c>
      <c r="U53" t="str">
        <f>"Update dcollab.collab_user Set Pi = True where User_ID = '"&amp;A53&amp;"'; "</f>
        <v xml:space="preserve">Update dcollab.collab_user Set Pi = True where User_ID = 'CUSR00081'; </v>
      </c>
    </row>
    <row r="54" spans="1:21">
      <c r="A54" t="s">
        <v>9597</v>
      </c>
      <c r="B54" t="s">
        <v>4500</v>
      </c>
      <c r="D54" t="s">
        <v>448</v>
      </c>
      <c r="E54" t="s">
        <v>60</v>
      </c>
      <c r="F54" t="s">
        <v>4501</v>
      </c>
      <c r="G54" t="s">
        <v>4502</v>
      </c>
      <c r="H54">
        <f t="shared" si="0"/>
        <v>1</v>
      </c>
      <c r="J54" t="s">
        <v>362</v>
      </c>
      <c r="K54" t="str">
        <f>VLOOKUP(J54,Organisation!$A$2:$C$499,3,FALSE)</f>
        <v>CORG00001</v>
      </c>
      <c r="L54" t="str">
        <f>VLOOKUP(J54,Organisation!$A$2:$E$499,4,FALSE)</f>
        <v>Academic</v>
      </c>
      <c r="M54" t="s">
        <v>416</v>
      </c>
      <c r="O54" t="s">
        <v>14</v>
      </c>
      <c r="P54" s="3" t="s">
        <v>4503</v>
      </c>
      <c r="Q54" t="s">
        <v>4504</v>
      </c>
      <c r="S54" s="1">
        <v>0</v>
      </c>
      <c r="T54" t="str">
        <f>"Update Collaborator Set Organisation = '"&amp;J54&amp;"' where User_ID = '"&amp;B54&amp;"'; "</f>
        <v xml:space="preserve">Update Collaborator Set Organisation = 'University of Queensland' where User_ID = 'CU00053'; </v>
      </c>
    </row>
    <row r="55" spans="1:21">
      <c r="A55" t="s">
        <v>9687</v>
      </c>
      <c r="B55" t="s">
        <v>4739</v>
      </c>
      <c r="D55" t="s">
        <v>4565</v>
      </c>
      <c r="E55" t="s">
        <v>60</v>
      </c>
      <c r="F55" t="s">
        <v>4740</v>
      </c>
      <c r="G55" t="s">
        <v>4741</v>
      </c>
      <c r="H55">
        <f t="shared" si="0"/>
        <v>1</v>
      </c>
      <c r="J55" t="s">
        <v>1327</v>
      </c>
      <c r="K55" t="str">
        <f>VLOOKUP(J55,Organisation!$A$2:$C$499,3,FALSE)</f>
        <v>CORG00067</v>
      </c>
      <c r="L55" t="str">
        <f>VLOOKUP(J55,Organisation!$A$2:$E$499,4,FALSE)</f>
        <v>Academic</v>
      </c>
      <c r="M55" t="s">
        <v>3119</v>
      </c>
      <c r="N55" t="s">
        <v>1329</v>
      </c>
      <c r="O55" t="s">
        <v>14</v>
      </c>
      <c r="P55" s="3" t="s">
        <v>3131</v>
      </c>
      <c r="Q55" t="s">
        <v>4742</v>
      </c>
      <c r="S55" s="1">
        <v>1</v>
      </c>
      <c r="T55" t="str">
        <f>"Update Collaborator Set Organisation = '"&amp;J55&amp;"' where User_ID = '"&amp;B55&amp;"'; "</f>
        <v xml:space="preserve">Update Collaborator Set Organisation = 'Griffith University' where User_ID = 'CU00054'; </v>
      </c>
    </row>
    <row r="56" spans="1:21">
      <c r="A56" t="s">
        <v>9671</v>
      </c>
      <c r="B56" t="s">
        <v>5147</v>
      </c>
      <c r="C56" t="s">
        <v>10540</v>
      </c>
      <c r="D56" t="s">
        <v>5148</v>
      </c>
      <c r="E56" t="s">
        <v>60</v>
      </c>
      <c r="F56" t="s">
        <v>368</v>
      </c>
      <c r="G56" t="s">
        <v>5149</v>
      </c>
      <c r="H56">
        <f t="shared" si="0"/>
        <v>1</v>
      </c>
      <c r="J56" t="s">
        <v>362</v>
      </c>
      <c r="K56" t="str">
        <f>VLOOKUP(J56,Organisation!$A$2:$C$499,3,FALSE)</f>
        <v>CORG00001</v>
      </c>
      <c r="L56" t="str">
        <f>VLOOKUP(J56,Organisation!$A$2:$E$499,4,FALSE)</f>
        <v>Academic</v>
      </c>
      <c r="M56" t="s">
        <v>5150</v>
      </c>
      <c r="O56" t="s">
        <v>14</v>
      </c>
      <c r="P56" s="3" t="s">
        <v>5151</v>
      </c>
      <c r="Q56" t="s">
        <v>5152</v>
      </c>
      <c r="S56" s="1">
        <v>1</v>
      </c>
      <c r="T56" t="str">
        <f>"Update Collaborator Set Organisation = '"&amp;J56&amp;"' where User_ID = '"&amp;B56&amp;"'; "</f>
        <v xml:space="preserve">Update Collaborator Set Organisation = 'University of Queensland' where User_ID = 'CU00055'; </v>
      </c>
      <c r="U56" t="str">
        <f>"Update dcollab.collab_user Set Pi = True where User_ID = '"&amp;A56&amp;"'; "</f>
        <v xml:space="preserve">Update dcollab.collab_user Set Pi = True where User_ID = 'CUSR00083'; </v>
      </c>
    </row>
    <row r="57" spans="1:21">
      <c r="A57" t="s">
        <v>9672</v>
      </c>
      <c r="B57" t="s">
        <v>321</v>
      </c>
      <c r="C57" t="s">
        <v>10540</v>
      </c>
      <c r="D57" t="s">
        <v>322</v>
      </c>
      <c r="E57" t="s">
        <v>60</v>
      </c>
      <c r="F57" t="s">
        <v>312</v>
      </c>
      <c r="G57" t="s">
        <v>323</v>
      </c>
      <c r="H57">
        <f t="shared" si="0"/>
        <v>1</v>
      </c>
      <c r="I57" t="s">
        <v>190</v>
      </c>
      <c r="J57" t="s">
        <v>324</v>
      </c>
      <c r="K57" t="str">
        <f>VLOOKUP(J57,Organisation!$A$2:$C$499,3,FALSE)</f>
        <v>CORG00009</v>
      </c>
      <c r="L57" t="str">
        <f>VLOOKUP(J57,Organisation!$A$2:$E$499,4,FALSE)</f>
        <v>Academic</v>
      </c>
      <c r="M57" t="s">
        <v>8816</v>
      </c>
      <c r="N57" t="s">
        <v>326</v>
      </c>
      <c r="O57" t="s">
        <v>8808</v>
      </c>
      <c r="P57" s="3" t="s">
        <v>327</v>
      </c>
      <c r="Q57" t="s">
        <v>328</v>
      </c>
      <c r="S57" s="1">
        <v>1</v>
      </c>
      <c r="T57" t="str">
        <f>"Update Collaborator Set Organisation = '"&amp;J57&amp;"' where User_ID = '"&amp;B57&amp;"'; "</f>
        <v xml:space="preserve">Update Collaborator Set Organisation = 'Arkansas State University Jonesboro' where User_ID = 'CU00056'; </v>
      </c>
      <c r="U57" t="str">
        <f>"Update dcollab.collab_user Set Pi = True where User_ID = '"&amp;A57&amp;"'; "</f>
        <v xml:space="preserve">Update dcollab.collab_user Set Pi = True where User_ID = 'CUSR00084'; </v>
      </c>
    </row>
    <row r="58" spans="1:21">
      <c r="A58" t="s">
        <v>9673</v>
      </c>
      <c r="B58" t="s">
        <v>4795</v>
      </c>
      <c r="C58" t="s">
        <v>10540</v>
      </c>
      <c r="D58" t="s">
        <v>4796</v>
      </c>
      <c r="E58" t="s">
        <v>60</v>
      </c>
      <c r="F58" t="s">
        <v>4797</v>
      </c>
      <c r="G58" t="s">
        <v>4798</v>
      </c>
      <c r="H58">
        <f t="shared" si="0"/>
        <v>1</v>
      </c>
      <c r="J58" t="s">
        <v>4799</v>
      </c>
      <c r="K58" t="str">
        <f>VLOOKUP(J58,Organisation!$A$2:$C$499,3,FALSE)</f>
        <v>CORG00308</v>
      </c>
      <c r="L58" t="str">
        <f>VLOOKUP(J58,Organisation!$A$2:$E$499,4,FALSE)</f>
        <v>Academic</v>
      </c>
      <c r="O58" t="s">
        <v>848</v>
      </c>
      <c r="Q58" t="s">
        <v>4800</v>
      </c>
      <c r="S58" s="1">
        <v>1</v>
      </c>
      <c r="T58" t="str">
        <f>"Update Collaborator Set Organisation = '"&amp;J58&amp;"' where User_ID = '"&amp;B58&amp;"'; "</f>
        <v xml:space="preserve">Update Collaborator Set Organisation = 'Wroclaw Medical University' where User_ID = 'CU00057'; </v>
      </c>
      <c r="U58" t="str">
        <f>"Update dcollab.collab_user Set Pi = True where User_ID = '"&amp;A58&amp;"'; "</f>
        <v xml:space="preserve">Update dcollab.collab_user Set Pi = True where User_ID = 'CUSR00085'; </v>
      </c>
    </row>
    <row r="59" spans="1:21">
      <c r="A59" t="s">
        <v>9684</v>
      </c>
      <c r="B59" t="s">
        <v>3623</v>
      </c>
      <c r="D59" t="s">
        <v>385</v>
      </c>
      <c r="E59" t="s">
        <v>60</v>
      </c>
      <c r="F59" t="s">
        <v>3624</v>
      </c>
      <c r="G59" t="s">
        <v>3625</v>
      </c>
      <c r="H59">
        <f t="shared" si="0"/>
        <v>1</v>
      </c>
      <c r="J59" t="s">
        <v>389</v>
      </c>
      <c r="K59" t="str">
        <f>VLOOKUP(J59,Organisation!$A$2:$C$499,3,FALSE)</f>
        <v>CORG00271</v>
      </c>
      <c r="L59" t="str">
        <f>VLOOKUP(J59,Organisation!$A$2:$E$499,4,FALSE)</f>
        <v>Academic</v>
      </c>
      <c r="M59" t="s">
        <v>390</v>
      </c>
      <c r="O59" t="s">
        <v>14</v>
      </c>
      <c r="P59" s="3" t="s">
        <v>3626</v>
      </c>
      <c r="Q59" t="s">
        <v>3627</v>
      </c>
      <c r="S59" s="1">
        <v>0</v>
      </c>
      <c r="T59" t="str">
        <f>"Update Collaborator Set Organisation = '"&amp;J59&amp;"' where User_ID = '"&amp;B59&amp;"'; "</f>
        <v xml:space="preserve">Update Collaborator Set Organisation = 'University of Sydney' where User_ID = 'CU00058'; </v>
      </c>
    </row>
    <row r="60" spans="1:21">
      <c r="A60" t="s">
        <v>9643</v>
      </c>
      <c r="B60" t="s">
        <v>3501</v>
      </c>
      <c r="D60" t="s">
        <v>2588</v>
      </c>
      <c r="E60" t="s">
        <v>60</v>
      </c>
      <c r="F60" t="s">
        <v>3502</v>
      </c>
      <c r="G60" t="s">
        <v>3503</v>
      </c>
      <c r="H60">
        <f t="shared" si="0"/>
        <v>1</v>
      </c>
      <c r="J60" t="s">
        <v>2590</v>
      </c>
      <c r="K60" t="str">
        <f>VLOOKUP(J60,Organisation!$A$2:$C$499,3,FALSE)</f>
        <v>CORG00214</v>
      </c>
      <c r="L60" t="str">
        <f>VLOOKUP(J60,Organisation!$A$2:$E$499,4,FALSE)</f>
        <v>Academic</v>
      </c>
      <c r="M60" t="s">
        <v>3504</v>
      </c>
      <c r="O60" t="s">
        <v>8808</v>
      </c>
      <c r="P60" s="3" t="s">
        <v>3505</v>
      </c>
      <c r="Q60" t="s">
        <v>3506</v>
      </c>
      <c r="S60" s="1">
        <v>1</v>
      </c>
      <c r="T60" t="str">
        <f>"Update Collaborator Set Organisation = '"&amp;J60&amp;"' where User_ID = '"&amp;B60&amp;"'; "</f>
        <v xml:space="preserve">Update Collaborator Set Organisation = 'University of Arizona' where User_ID = 'CU00059'; </v>
      </c>
    </row>
    <row r="61" spans="1:21">
      <c r="A61" t="s">
        <v>9675</v>
      </c>
      <c r="B61" t="s">
        <v>2179</v>
      </c>
      <c r="C61" t="s">
        <v>10540</v>
      </c>
      <c r="D61" t="s">
        <v>2180</v>
      </c>
      <c r="E61" t="s">
        <v>60</v>
      </c>
      <c r="F61" t="s">
        <v>2181</v>
      </c>
      <c r="G61" t="s">
        <v>2182</v>
      </c>
      <c r="H61">
        <f t="shared" si="0"/>
        <v>1</v>
      </c>
      <c r="J61" t="s">
        <v>457</v>
      </c>
      <c r="K61" t="str">
        <f>VLOOKUP(J61,Organisation!$A$2:$C$499,3,FALSE)</f>
        <v>CORG00140</v>
      </c>
      <c r="L61" t="str">
        <f>VLOOKUP(J61,Organisation!$A$2:$E$499,4,FALSE)</f>
        <v>Academic</v>
      </c>
      <c r="M61" t="s">
        <v>2183</v>
      </c>
      <c r="O61" t="s">
        <v>459</v>
      </c>
      <c r="P61" s="3" t="s">
        <v>2184</v>
      </c>
      <c r="Q61" t="s">
        <v>2185</v>
      </c>
      <c r="S61" s="1">
        <v>1</v>
      </c>
      <c r="T61" t="str">
        <f>"Update Collaborator Set Organisation = '"&amp;J61&amp;"' where User_ID = '"&amp;B61&amp;"'; "</f>
        <v xml:space="preserve">Update Collaborator Set Organisation = 'National University of Singapore' where User_ID = 'CU00060'; </v>
      </c>
      <c r="U61" t="str">
        <f>"Update dcollab.collab_user Set Pi = True where User_ID = '"&amp;A61&amp;"'; "</f>
        <v xml:space="preserve">Update dcollab.collab_user Set Pi = True where User_ID = 'CUSR00087'; </v>
      </c>
    </row>
    <row r="62" spans="1:21">
      <c r="A62" t="s">
        <v>9676</v>
      </c>
      <c r="B62" t="s">
        <v>2885</v>
      </c>
      <c r="C62" t="s">
        <v>10540</v>
      </c>
      <c r="D62" t="s">
        <v>2886</v>
      </c>
      <c r="E62" t="s">
        <v>60</v>
      </c>
      <c r="F62" t="s">
        <v>1639</v>
      </c>
      <c r="G62" t="s">
        <v>2887</v>
      </c>
      <c r="H62">
        <f t="shared" si="0"/>
        <v>1</v>
      </c>
      <c r="I62" t="s">
        <v>2888</v>
      </c>
      <c r="J62" t="s">
        <v>1422</v>
      </c>
      <c r="K62" t="str">
        <f>VLOOKUP(J62,Organisation!$A$2:$C$499,3,FALSE)</f>
        <v>CORG00292</v>
      </c>
      <c r="L62" t="str">
        <f>VLOOKUP(J62,Organisation!$A$2:$E$499,4,FALSE)</f>
        <v>Academic</v>
      </c>
      <c r="M62" t="s">
        <v>170</v>
      </c>
      <c r="N62" t="s">
        <v>2889</v>
      </c>
      <c r="O62" t="s">
        <v>14</v>
      </c>
      <c r="P62" s="3" t="s">
        <v>2890</v>
      </c>
      <c r="Q62" t="s">
        <v>2891</v>
      </c>
      <c r="S62" s="1">
        <v>1</v>
      </c>
      <c r="T62" t="str">
        <f>"Update Collaborator Set Organisation = '"&amp;J62&amp;"' where User_ID = '"&amp;B62&amp;"'; "</f>
        <v xml:space="preserve">Update Collaborator Set Organisation = 'University of Wollongong' where User_ID = 'CU00061'; </v>
      </c>
      <c r="U62" t="str">
        <f>"Update dcollab.collab_user Set Pi = True where User_ID = '"&amp;A62&amp;"'; "</f>
        <v xml:space="preserve">Update dcollab.collab_user Set Pi = True where User_ID = 'CUSR00088'; </v>
      </c>
    </row>
    <row r="63" spans="1:21">
      <c r="A63" t="s">
        <v>9678</v>
      </c>
      <c r="B63" t="s">
        <v>3809</v>
      </c>
      <c r="C63" t="s">
        <v>10540</v>
      </c>
      <c r="D63" t="s">
        <v>2364</v>
      </c>
      <c r="E63" t="s">
        <v>60</v>
      </c>
      <c r="F63" t="s">
        <v>3810</v>
      </c>
      <c r="G63" t="s">
        <v>3811</v>
      </c>
      <c r="H63">
        <f t="shared" si="0"/>
        <v>1</v>
      </c>
      <c r="J63" t="s">
        <v>2367</v>
      </c>
      <c r="K63" t="str">
        <f>VLOOKUP(J63,Organisation!$A$2:$C$499,3,FALSE)</f>
        <v>CORG00208</v>
      </c>
      <c r="L63" t="str">
        <f>VLOOKUP(J63,Organisation!$A$2:$E$499,4,FALSE)</f>
        <v>Academic</v>
      </c>
      <c r="M63" t="s">
        <v>2368</v>
      </c>
      <c r="O63" t="s">
        <v>2369</v>
      </c>
      <c r="P63" s="3" t="s">
        <v>3812</v>
      </c>
      <c r="Q63" t="s">
        <v>3813</v>
      </c>
      <c r="S63" s="1">
        <v>1</v>
      </c>
      <c r="T63" t="str">
        <f>"Update Collaborator Set Organisation = '"&amp;J63&amp;"' where User_ID = '"&amp;B63&amp;"'; "</f>
        <v xml:space="preserve">Update Collaborator Set Organisation = 'Universiti Putra Malaysia' where User_ID = 'CU00062'; </v>
      </c>
      <c r="U63" t="str">
        <f>"Update dcollab.collab_user Set Pi = True where User_ID = '"&amp;A63&amp;"'; "</f>
        <v xml:space="preserve">Update dcollab.collab_user Set Pi = True where User_ID = 'CUSR00090'; </v>
      </c>
    </row>
    <row r="64" spans="1:21">
      <c r="A64" t="s">
        <v>9680</v>
      </c>
      <c r="B64" t="s">
        <v>1451</v>
      </c>
      <c r="C64" t="s">
        <v>10540</v>
      </c>
      <c r="D64" t="s">
        <v>1452</v>
      </c>
      <c r="E64" t="s">
        <v>60</v>
      </c>
      <c r="F64" t="s">
        <v>1453</v>
      </c>
      <c r="G64" t="s">
        <v>1454</v>
      </c>
      <c r="H64">
        <f t="shared" si="0"/>
        <v>3</v>
      </c>
      <c r="I64" t="s">
        <v>516</v>
      </c>
      <c r="J64" t="s">
        <v>8763</v>
      </c>
      <c r="K64" t="str">
        <f>VLOOKUP(J64,Organisation!$A$2:$C$499,3,FALSE)</f>
        <v>CORG00091</v>
      </c>
      <c r="L64" t="str">
        <f>VLOOKUP(J64,Organisation!$A$2:$E$499,4,FALSE)</f>
        <v>Academic</v>
      </c>
      <c r="M64" t="s">
        <v>8814</v>
      </c>
      <c r="O64" t="s">
        <v>14</v>
      </c>
      <c r="P64" s="3" t="s">
        <v>1456</v>
      </c>
      <c r="Q64" t="s">
        <v>1457</v>
      </c>
      <c r="S64" s="1">
        <v>1</v>
      </c>
      <c r="T64" t="str">
        <f>"Update Collaborator Set Organisation = '"&amp;J64&amp;"' where User_ID = '"&amp;B64&amp;"'; "</f>
        <v xml:space="preserve">Update Collaborator Set Organisation = 'James Cook University' where User_ID = 'CU00063'; </v>
      </c>
      <c r="U64" t="str">
        <f>"Update dcollab.collab_user Set Pi = True where User_ID = '"&amp;A64&amp;"'; "</f>
        <v xml:space="preserve">Update dcollab.collab_user Set Pi = True where User_ID = 'CUSR00092'; </v>
      </c>
    </row>
    <row r="65" spans="1:21">
      <c r="A65" t="s">
        <v>9682</v>
      </c>
      <c r="B65" t="s">
        <v>358</v>
      </c>
      <c r="C65" t="s">
        <v>10540</v>
      </c>
      <c r="D65" t="s">
        <v>359</v>
      </c>
      <c r="E65" t="s">
        <v>60</v>
      </c>
      <c r="F65" t="s">
        <v>360</v>
      </c>
      <c r="G65" t="s">
        <v>361</v>
      </c>
      <c r="H65">
        <f t="shared" si="0"/>
        <v>1</v>
      </c>
      <c r="J65" t="s">
        <v>362</v>
      </c>
      <c r="K65" t="str">
        <f>VLOOKUP(J65,Organisation!$A$2:$C$499,3,FALSE)</f>
        <v>CORG00001</v>
      </c>
      <c r="L65" t="str">
        <f>VLOOKUP(J65,Organisation!$A$2:$E$499,4,FALSE)</f>
        <v>Academic</v>
      </c>
      <c r="M65" t="s">
        <v>363</v>
      </c>
      <c r="O65" t="s">
        <v>14</v>
      </c>
      <c r="P65" s="3" t="s">
        <v>364</v>
      </c>
      <c r="Q65" t="s">
        <v>365</v>
      </c>
      <c r="S65" s="1">
        <v>1</v>
      </c>
      <c r="T65" t="str">
        <f>"Update Collaborator Set Organisation = '"&amp;J65&amp;"' where User_ID = '"&amp;B65&amp;"'; "</f>
        <v xml:space="preserve">Update Collaborator Set Organisation = 'University of Queensland' where User_ID = 'CU00064'; </v>
      </c>
      <c r="U65" t="str">
        <f>"Update dcollab.collab_user Set Pi = True where User_ID = '"&amp;A65&amp;"'; "</f>
        <v xml:space="preserve">Update dcollab.collab_user Set Pi = True where User_ID = 'CUSR00094'; </v>
      </c>
    </row>
    <row r="66" spans="1:21">
      <c r="A66" t="s">
        <v>9670</v>
      </c>
      <c r="B66" t="s">
        <v>4552</v>
      </c>
      <c r="D66" t="s">
        <v>1325</v>
      </c>
      <c r="E66" t="s">
        <v>60</v>
      </c>
      <c r="F66" t="s">
        <v>4553</v>
      </c>
      <c r="G66" t="s">
        <v>4554</v>
      </c>
      <c r="H66">
        <f t="shared" ref="H66:H129" si="1">COUNTIF($G$2:$G$900,G66)</f>
        <v>1</v>
      </c>
      <c r="J66" t="s">
        <v>1327</v>
      </c>
      <c r="K66" t="str">
        <f>VLOOKUP(J66,Organisation!$A$2:$C$499,3,FALSE)</f>
        <v>CORG00067</v>
      </c>
      <c r="L66" t="str">
        <f>VLOOKUP(J66,Organisation!$A$2:$E$499,4,FALSE)</f>
        <v>Academic</v>
      </c>
      <c r="M66" t="s">
        <v>1328</v>
      </c>
      <c r="N66" t="s">
        <v>1329</v>
      </c>
      <c r="O66" t="s">
        <v>14</v>
      </c>
      <c r="Q66" t="s">
        <v>4555</v>
      </c>
      <c r="S66" s="1">
        <v>0</v>
      </c>
      <c r="T66" t="str">
        <f>"Update Collaborator Set Organisation = '"&amp;J66&amp;"' where User_ID = '"&amp;B66&amp;"'; "</f>
        <v xml:space="preserve">Update Collaborator Set Organisation = 'Griffith University' where User_ID = 'CU00065'; </v>
      </c>
    </row>
    <row r="67" spans="1:21">
      <c r="A67" t="s">
        <v>9657</v>
      </c>
      <c r="B67" t="s">
        <v>4008</v>
      </c>
      <c r="D67" t="s">
        <v>2728</v>
      </c>
      <c r="E67" t="s">
        <v>60</v>
      </c>
      <c r="F67" t="s">
        <v>4009</v>
      </c>
      <c r="G67" t="s">
        <v>4010</v>
      </c>
      <c r="H67">
        <f t="shared" si="1"/>
        <v>1</v>
      </c>
      <c r="J67" t="s">
        <v>2731</v>
      </c>
      <c r="K67" t="str">
        <f>VLOOKUP(J67,Organisation!$A$2:$C$499,3,FALSE)</f>
        <v>CORG00162</v>
      </c>
      <c r="L67" t="str">
        <f>VLOOKUP(J67,Organisation!$A$2:$E$499,4,FALSE)</f>
        <v>Academic</v>
      </c>
      <c r="M67" t="s">
        <v>1288</v>
      </c>
      <c r="O67" t="s">
        <v>8808</v>
      </c>
      <c r="P67" s="3" t="s">
        <v>4011</v>
      </c>
      <c r="Q67" t="s">
        <v>4012</v>
      </c>
      <c r="S67" s="1">
        <v>0</v>
      </c>
      <c r="T67" t="str">
        <f>"Update Collaborator Set Organisation = '"&amp;J67&amp;"' where User_ID = '"&amp;B67&amp;"'; "</f>
        <v xml:space="preserve">Update Collaborator Set Organisation = 'Rowan University' where User_ID = 'CU00066'; </v>
      </c>
    </row>
    <row r="68" spans="1:21">
      <c r="A68" t="s">
        <v>9685</v>
      </c>
      <c r="B68" t="s">
        <v>2289</v>
      </c>
      <c r="C68" t="s">
        <v>10540</v>
      </c>
      <c r="D68" t="s">
        <v>385</v>
      </c>
      <c r="E68" t="s">
        <v>60</v>
      </c>
      <c r="F68" t="s">
        <v>360</v>
      </c>
      <c r="G68" t="s">
        <v>2290</v>
      </c>
      <c r="H68">
        <f t="shared" si="1"/>
        <v>1</v>
      </c>
      <c r="J68" t="s">
        <v>389</v>
      </c>
      <c r="K68" t="str">
        <f>VLOOKUP(J68,Organisation!$A$2:$C$499,3,FALSE)</f>
        <v>CORG00271</v>
      </c>
      <c r="L68" t="str">
        <f>VLOOKUP(J68,Organisation!$A$2:$E$499,4,FALSE)</f>
        <v>Academic</v>
      </c>
      <c r="M68" t="s">
        <v>390</v>
      </c>
      <c r="O68" t="s">
        <v>14</v>
      </c>
      <c r="P68" s="3" t="s">
        <v>2291</v>
      </c>
      <c r="Q68" t="s">
        <v>2292</v>
      </c>
      <c r="S68" s="1">
        <v>1</v>
      </c>
      <c r="T68" t="str">
        <f>"Update Collaborator Set Organisation = '"&amp;J68&amp;"' where User_ID = '"&amp;B68&amp;"'; "</f>
        <v xml:space="preserve">Update Collaborator Set Organisation = 'University of Sydney' where User_ID = 'CU00067'; </v>
      </c>
      <c r="U68" t="str">
        <f>"Update dcollab.collab_user Set Pi = True where User_ID = '"&amp;A68&amp;"'; "</f>
        <v xml:space="preserve">Update dcollab.collab_user Set Pi = True where User_ID = 'CUSR00097'; </v>
      </c>
    </row>
    <row r="69" spans="1:21">
      <c r="A69" t="s">
        <v>9688</v>
      </c>
      <c r="B69" t="s">
        <v>4564</v>
      </c>
      <c r="C69" t="s">
        <v>10540</v>
      </c>
      <c r="D69" t="s">
        <v>4565</v>
      </c>
      <c r="E69" t="s">
        <v>60</v>
      </c>
      <c r="F69" t="s">
        <v>360</v>
      </c>
      <c r="G69" t="s">
        <v>4566</v>
      </c>
      <c r="H69">
        <f t="shared" si="1"/>
        <v>1</v>
      </c>
      <c r="I69" t="s">
        <v>516</v>
      </c>
      <c r="J69" t="s">
        <v>8755</v>
      </c>
      <c r="K69" t="str">
        <f>VLOOKUP(J69,Organisation!$A$2:$C$499,3,FALSE)</f>
        <v>CORG00039</v>
      </c>
      <c r="L69" t="str">
        <f>VLOOKUP(J69,Organisation!$A$2:$E$499,4,FALSE)</f>
        <v>Academic</v>
      </c>
      <c r="M69" t="s">
        <v>4567</v>
      </c>
      <c r="N69" t="s">
        <v>4568</v>
      </c>
      <c r="O69" t="s">
        <v>14</v>
      </c>
      <c r="P69" s="3" t="s">
        <v>4569</v>
      </c>
      <c r="Q69" t="s">
        <v>4570</v>
      </c>
      <c r="S69" s="1">
        <v>1</v>
      </c>
      <c r="T69" t="str">
        <f>"Update Collaborator Set Organisation = '"&amp;J69&amp;"' where User_ID = '"&amp;B69&amp;"'; "</f>
        <v xml:space="preserve">Update Collaborator Set Organisation = 'Commonwealth Scientific and Industrial Research' where User_ID = 'CU00068'; </v>
      </c>
      <c r="U69" t="str">
        <f>"Update dcollab.collab_user Set Pi = True where User_ID = '"&amp;A69&amp;"'; "</f>
        <v xml:space="preserve">Update dcollab.collab_user Set Pi = True where User_ID = 'CUSR00100'; </v>
      </c>
    </row>
    <row r="70" spans="1:21">
      <c r="A70" t="s">
        <v>9689</v>
      </c>
      <c r="B70" t="s">
        <v>476</v>
      </c>
      <c r="C70" t="s">
        <v>10540</v>
      </c>
      <c r="D70" t="s">
        <v>477</v>
      </c>
      <c r="E70" t="s">
        <v>60</v>
      </c>
      <c r="F70" t="s">
        <v>478</v>
      </c>
      <c r="G70" t="s">
        <v>479</v>
      </c>
      <c r="H70">
        <f t="shared" si="1"/>
        <v>1</v>
      </c>
      <c r="J70" t="s">
        <v>480</v>
      </c>
      <c r="K70" t="str">
        <f>VLOOKUP(J70,Organisation!$A$2:$C$499,3,FALSE)</f>
        <v>CORG00196</v>
      </c>
      <c r="L70" t="str">
        <f>VLOOKUP(J70,Organisation!$A$2:$E$499,4,FALSE)</f>
        <v>Academic</v>
      </c>
      <c r="O70" t="s">
        <v>481</v>
      </c>
      <c r="Q70" t="s">
        <v>482</v>
      </c>
      <c r="S70" s="1">
        <v>1</v>
      </c>
      <c r="T70" t="str">
        <f>"Update Collaborator Set Organisation = '"&amp;J70&amp;"' where User_ID = '"&amp;B70&amp;"'; "</f>
        <v xml:space="preserve">Update Collaborator Set Organisation = 'Universidad Nacional de Tucuman' where User_ID = 'CU00069'; </v>
      </c>
      <c r="U70" t="str">
        <f>"Update dcollab.collab_user Set Pi = True where User_ID = '"&amp;A70&amp;"'; "</f>
        <v xml:space="preserve">Update dcollab.collab_user Set Pi = True where User_ID = 'CUSR00101'; </v>
      </c>
    </row>
    <row r="71" spans="1:21">
      <c r="A71" t="s">
        <v>9691</v>
      </c>
      <c r="B71" t="s">
        <v>2694</v>
      </c>
      <c r="C71" t="s">
        <v>10540</v>
      </c>
      <c r="D71" t="s">
        <v>1566</v>
      </c>
      <c r="E71" t="s">
        <v>60</v>
      </c>
      <c r="F71" t="s">
        <v>2695</v>
      </c>
      <c r="G71" t="s">
        <v>2696</v>
      </c>
      <c r="H71">
        <f t="shared" si="1"/>
        <v>1</v>
      </c>
      <c r="J71" t="s">
        <v>5769</v>
      </c>
      <c r="K71" t="str">
        <f>VLOOKUP(J71,Organisation!$A$2:$C$499,3,FALSE)</f>
        <v>CORG00030</v>
      </c>
      <c r="L71" t="str">
        <f>VLOOKUP(J71,Organisation!$A$2:$E$499,4,FALSE)</f>
        <v>Academic</v>
      </c>
      <c r="O71" t="s">
        <v>704</v>
      </c>
      <c r="P71" s="3" t="s">
        <v>2697</v>
      </c>
      <c r="Q71" t="s">
        <v>2698</v>
      </c>
      <c r="S71" s="1">
        <v>1</v>
      </c>
      <c r="T71" t="str">
        <f>"Update Collaborator Set Organisation = '"&amp;J71&amp;"' where User_ID = '"&amp;B71&amp;"'; "</f>
        <v xml:space="preserve">Update Collaborator Set Organisation = 'Centre national de la recherche scientifique' where User_ID = 'CU00070'; </v>
      </c>
      <c r="U71" t="str">
        <f>"Update dcollab.collab_user Set Pi = True where User_ID = '"&amp;A71&amp;"'; "</f>
        <v xml:space="preserve">Update dcollab.collab_user Set Pi = True where User_ID = 'CUSR00103'; </v>
      </c>
    </row>
    <row r="72" spans="1:21">
      <c r="A72" t="s">
        <v>9674</v>
      </c>
      <c r="B72" t="s">
        <v>4999</v>
      </c>
      <c r="D72" t="s">
        <v>4796</v>
      </c>
      <c r="E72" t="s">
        <v>60</v>
      </c>
      <c r="F72" t="s">
        <v>5000</v>
      </c>
      <c r="G72" t="s">
        <v>5001</v>
      </c>
      <c r="H72">
        <f t="shared" si="1"/>
        <v>1</v>
      </c>
      <c r="J72" t="s">
        <v>4799</v>
      </c>
      <c r="K72" t="str">
        <f>VLOOKUP(J72,Organisation!$A$2:$C$499,3,FALSE)</f>
        <v>CORG00308</v>
      </c>
      <c r="L72" t="str">
        <f>VLOOKUP(J72,Organisation!$A$2:$E$499,4,FALSE)</f>
        <v>Academic</v>
      </c>
      <c r="O72" t="s">
        <v>848</v>
      </c>
      <c r="P72" s="3" t="s">
        <v>5002</v>
      </c>
      <c r="Q72" t="s">
        <v>5003</v>
      </c>
      <c r="S72" s="1">
        <v>1</v>
      </c>
      <c r="T72" t="str">
        <f>"Update Collaborator Set Organisation = '"&amp;J72&amp;"' where User_ID = '"&amp;B72&amp;"'; "</f>
        <v xml:space="preserve">Update Collaborator Set Organisation = 'Wroclaw Medical University' where User_ID = 'CU00071'; </v>
      </c>
    </row>
    <row r="73" spans="1:21">
      <c r="A73" t="s">
        <v>9693</v>
      </c>
      <c r="B73" t="s">
        <v>4188</v>
      </c>
      <c r="C73" t="s">
        <v>10540</v>
      </c>
      <c r="D73" t="s">
        <v>4189</v>
      </c>
      <c r="E73" t="s">
        <v>60</v>
      </c>
      <c r="F73" t="s">
        <v>4190</v>
      </c>
      <c r="G73" t="s">
        <v>4191</v>
      </c>
      <c r="H73">
        <f t="shared" si="1"/>
        <v>1</v>
      </c>
      <c r="J73" t="s">
        <v>4192</v>
      </c>
      <c r="K73" t="str">
        <f>VLOOKUP(J73,Organisation!$A$2:$C$499,3,FALSE)</f>
        <v>CORG00015</v>
      </c>
      <c r="L73" t="str">
        <f>VLOOKUP(J73,Organisation!$A$2:$E$499,4,FALSE)</f>
        <v>Academic</v>
      </c>
      <c r="O73" t="s">
        <v>211</v>
      </c>
      <c r="Q73" t="s">
        <v>4193</v>
      </c>
      <c r="S73" s="1">
        <v>1</v>
      </c>
      <c r="T73" t="str">
        <f>"Update Collaborator Set Organisation = '"&amp;J73&amp;"' where User_ID = '"&amp;B73&amp;"'; "</f>
        <v xml:space="preserve">Update Collaborator Set Organisation = 'Bangalore University' where User_ID = 'CU00072'; </v>
      </c>
      <c r="U73" t="str">
        <f>"Update dcollab.collab_user Set Pi = True where User_ID = '"&amp;A73&amp;"'; "</f>
        <v xml:space="preserve">Update dcollab.collab_user Set Pi = True where User_ID = 'CUSR00105'; </v>
      </c>
    </row>
    <row r="74" spans="1:21">
      <c r="A74" t="s">
        <v>9623</v>
      </c>
      <c r="B74" t="s">
        <v>5071</v>
      </c>
      <c r="D74" t="s">
        <v>3629</v>
      </c>
      <c r="E74" t="s">
        <v>60</v>
      </c>
      <c r="F74" t="s">
        <v>5072</v>
      </c>
      <c r="G74" t="s">
        <v>5073</v>
      </c>
      <c r="H74">
        <f t="shared" si="1"/>
        <v>1</v>
      </c>
      <c r="J74" t="s">
        <v>2957</v>
      </c>
      <c r="K74" t="str">
        <f>VLOOKUP(J74,Organisation!$A$2:$C$499,3,FALSE)</f>
        <v>CORG00170</v>
      </c>
      <c r="L74" t="str">
        <f>VLOOKUP(J74,Organisation!$A$2:$E$499,4,FALSE)</f>
        <v>Academic</v>
      </c>
      <c r="M74" t="s">
        <v>3632</v>
      </c>
      <c r="O74" t="s">
        <v>211</v>
      </c>
      <c r="P74" s="3" t="s">
        <v>5074</v>
      </c>
      <c r="Q74" t="s">
        <v>5075</v>
      </c>
      <c r="S74" s="1">
        <v>1</v>
      </c>
      <c r="T74" t="str">
        <f>"Update Collaborator Set Organisation = '"&amp;J74&amp;"' where User_ID = '"&amp;B74&amp;"'; "</f>
        <v xml:space="preserve">Update Collaborator Set Organisation = 'Saurashtra University' where User_ID = 'CU00073'; </v>
      </c>
    </row>
    <row r="75" spans="1:21">
      <c r="A75" t="s">
        <v>9653</v>
      </c>
      <c r="B75" t="s">
        <v>2677</v>
      </c>
      <c r="D75" t="s">
        <v>2678</v>
      </c>
      <c r="E75" t="s">
        <v>60</v>
      </c>
      <c r="F75" t="s">
        <v>2679</v>
      </c>
      <c r="G75" t="s">
        <v>2680</v>
      </c>
      <c r="H75">
        <f t="shared" si="1"/>
        <v>1</v>
      </c>
      <c r="J75" t="s">
        <v>8748</v>
      </c>
      <c r="K75" t="str">
        <f>VLOOKUP(J75,Organisation!$A$2:$C$499,3,FALSE)</f>
        <v>CORG00222</v>
      </c>
      <c r="L75" t="str">
        <f>VLOOKUP(J75,Organisation!$A$2:$E$499,4,FALSE)</f>
        <v>Academic</v>
      </c>
      <c r="M75" t="s">
        <v>1031</v>
      </c>
      <c r="O75" t="s">
        <v>8808</v>
      </c>
      <c r="Q75" t="s">
        <v>2681</v>
      </c>
      <c r="S75" s="1">
        <v>1</v>
      </c>
      <c r="T75" t="str">
        <f>"Update Collaborator Set Organisation = '"&amp;J75&amp;"' where User_ID = '"&amp;B75&amp;"'; "</f>
        <v xml:space="preserve">Update Collaborator Set Organisation = 'University of California San Francisco' where User_ID = 'CU00074'; </v>
      </c>
    </row>
    <row r="76" spans="1:21">
      <c r="A76" t="s">
        <v>9650</v>
      </c>
      <c r="B76" t="s">
        <v>462</v>
      </c>
      <c r="D76" t="s">
        <v>431</v>
      </c>
      <c r="E76" t="s">
        <v>60</v>
      </c>
      <c r="F76" t="s">
        <v>463</v>
      </c>
      <c r="G76" t="s">
        <v>464</v>
      </c>
      <c r="H76">
        <f t="shared" si="1"/>
        <v>1</v>
      </c>
      <c r="J76" t="s">
        <v>434</v>
      </c>
      <c r="K76" t="str">
        <f>VLOOKUP(J76,Organisation!$A$2:$C$499,3,FALSE)</f>
        <v>CORG00211</v>
      </c>
      <c r="L76" t="str">
        <f>VLOOKUP(J76,Organisation!$A$2:$E$499,4,FALSE)</f>
        <v>Academic</v>
      </c>
      <c r="M76" t="s">
        <v>435</v>
      </c>
      <c r="O76" t="s">
        <v>269</v>
      </c>
      <c r="P76" s="3" t="s">
        <v>465</v>
      </c>
      <c r="Q76" t="s">
        <v>466</v>
      </c>
      <c r="S76" s="1">
        <v>1</v>
      </c>
      <c r="T76" t="str">
        <f>"Update Collaborator Set Organisation = '"&amp;J76&amp;"' where User_ID = '"&amp;B76&amp;"'; "</f>
        <v xml:space="preserve">Update Collaborator Set Organisation = 'University College London' where User_ID = 'CU00075'; </v>
      </c>
    </row>
    <row r="77" spans="1:21">
      <c r="A77" t="s">
        <v>9694</v>
      </c>
      <c r="B77" t="s">
        <v>1481</v>
      </c>
      <c r="C77" t="s">
        <v>10540</v>
      </c>
      <c r="D77" t="s">
        <v>1482</v>
      </c>
      <c r="E77" t="s">
        <v>60</v>
      </c>
      <c r="F77" t="s">
        <v>1483</v>
      </c>
      <c r="G77" t="s">
        <v>1484</v>
      </c>
      <c r="H77">
        <f t="shared" si="1"/>
        <v>1</v>
      </c>
      <c r="I77" t="s">
        <v>516</v>
      </c>
      <c r="J77" t="s">
        <v>1327</v>
      </c>
      <c r="K77" t="str">
        <f>VLOOKUP(J77,Organisation!$A$2:$C$499,3,FALSE)</f>
        <v>CORG00067</v>
      </c>
      <c r="L77" t="str">
        <f>VLOOKUP(J77,Organisation!$A$2:$E$499,4,FALSE)</f>
        <v>Academic</v>
      </c>
      <c r="M77" t="s">
        <v>1328</v>
      </c>
      <c r="N77" t="s">
        <v>1329</v>
      </c>
      <c r="O77" t="s">
        <v>14</v>
      </c>
      <c r="P77" s="3" t="s">
        <v>1485</v>
      </c>
      <c r="Q77" t="s">
        <v>1486</v>
      </c>
      <c r="S77" s="1">
        <v>1</v>
      </c>
      <c r="T77" t="str">
        <f>"Update Collaborator Set Organisation = '"&amp;J77&amp;"' where User_ID = '"&amp;B77&amp;"'; "</f>
        <v xml:space="preserve">Update Collaborator Set Organisation = 'Griffith University' where User_ID = 'CU00076'; </v>
      </c>
      <c r="U77" t="str">
        <f>"Update dcollab.collab_user Set Pi = True where User_ID = '"&amp;A77&amp;"'; "</f>
        <v xml:space="preserve">Update dcollab.collab_user Set Pi = True where User_ID = 'CUSR00106'; </v>
      </c>
    </row>
    <row r="78" spans="1:21">
      <c r="A78" t="s">
        <v>9645</v>
      </c>
      <c r="B78" t="s">
        <v>1620</v>
      </c>
      <c r="D78" t="s">
        <v>812</v>
      </c>
      <c r="E78" t="s">
        <v>60</v>
      </c>
      <c r="F78" t="s">
        <v>926</v>
      </c>
      <c r="G78" t="s">
        <v>1621</v>
      </c>
      <c r="H78">
        <f t="shared" si="1"/>
        <v>1</v>
      </c>
      <c r="J78" t="s">
        <v>815</v>
      </c>
      <c r="K78" t="str">
        <f>VLOOKUP(J78,Organisation!$A$2:$C$499,3,FALSE)</f>
        <v>CORG00075</v>
      </c>
      <c r="L78" t="str">
        <f>VLOOKUP(J78,Organisation!$A$2:$E$499,4,FALSE)</f>
        <v>Academic</v>
      </c>
      <c r="N78" t="s">
        <v>816</v>
      </c>
      <c r="O78" t="s">
        <v>269</v>
      </c>
      <c r="Q78" t="s">
        <v>1622</v>
      </c>
      <c r="S78" s="1">
        <v>0</v>
      </c>
      <c r="T78" t="str">
        <f>"Update Collaborator Set Organisation = '"&amp;J78&amp;"' where User_ID = '"&amp;B78&amp;"'; "</f>
        <v xml:space="preserve">Update Collaborator Set Organisation = 'Imperial College London' where User_ID = 'CU00077'; </v>
      </c>
    </row>
    <row r="79" spans="1:21">
      <c r="A79" t="s">
        <v>9846</v>
      </c>
      <c r="B79" t="s">
        <v>3127</v>
      </c>
      <c r="D79" t="s">
        <v>3128</v>
      </c>
      <c r="E79" t="s">
        <v>60</v>
      </c>
      <c r="F79" t="s">
        <v>3129</v>
      </c>
      <c r="G79" t="s">
        <v>3130</v>
      </c>
      <c r="H79">
        <f t="shared" si="1"/>
        <v>1</v>
      </c>
      <c r="J79" t="s">
        <v>1327</v>
      </c>
      <c r="K79" t="str">
        <f>VLOOKUP(J79,Organisation!$A$2:$C$499,3,FALSE)</f>
        <v>CORG00067</v>
      </c>
      <c r="L79" t="str">
        <f>VLOOKUP(J79,Organisation!$A$2:$E$499,4,FALSE)</f>
        <v>Academic</v>
      </c>
      <c r="M79" t="s">
        <v>3119</v>
      </c>
      <c r="N79" t="s">
        <v>1329</v>
      </c>
      <c r="O79" t="s">
        <v>14</v>
      </c>
      <c r="P79" s="3" t="s">
        <v>3131</v>
      </c>
      <c r="Q79" t="s">
        <v>3132</v>
      </c>
      <c r="S79" s="1">
        <v>1</v>
      </c>
      <c r="T79" t="str">
        <f>"Update Collaborator Set Organisation = '"&amp;J79&amp;"' where User_ID = '"&amp;B79&amp;"'; "</f>
        <v xml:space="preserve">Update Collaborator Set Organisation = 'Griffith University' where User_ID = 'CU00078'; </v>
      </c>
    </row>
    <row r="80" spans="1:21">
      <c r="A80" t="s">
        <v>9658</v>
      </c>
      <c r="B80" t="s">
        <v>4368</v>
      </c>
      <c r="D80" t="s">
        <v>2728</v>
      </c>
      <c r="E80" t="s">
        <v>60</v>
      </c>
      <c r="F80" t="s">
        <v>4369</v>
      </c>
      <c r="G80" t="s">
        <v>4370</v>
      </c>
      <c r="H80">
        <f t="shared" si="1"/>
        <v>1</v>
      </c>
      <c r="J80" t="s">
        <v>2731</v>
      </c>
      <c r="K80" t="str">
        <f>VLOOKUP(J80,Organisation!$A$2:$C$499,3,FALSE)</f>
        <v>CORG00162</v>
      </c>
      <c r="L80" t="str">
        <f>VLOOKUP(J80,Organisation!$A$2:$E$499,4,FALSE)</f>
        <v>Academic</v>
      </c>
      <c r="M80" t="s">
        <v>1288</v>
      </c>
      <c r="O80" t="s">
        <v>8808</v>
      </c>
      <c r="P80" s="3" t="s">
        <v>4371</v>
      </c>
      <c r="Q80" t="s">
        <v>4372</v>
      </c>
      <c r="S80" s="1">
        <v>1</v>
      </c>
      <c r="T80" t="str">
        <f>"Update Collaborator Set Organisation = '"&amp;J80&amp;"' where User_ID = '"&amp;B80&amp;"'; "</f>
        <v xml:space="preserve">Update Collaborator Set Organisation = 'Rowan University' where User_ID = 'CU00079'; </v>
      </c>
    </row>
    <row r="81" spans="1:21">
      <c r="A81" t="s">
        <v>9695</v>
      </c>
      <c r="B81" t="s">
        <v>3081</v>
      </c>
      <c r="D81" t="s">
        <v>1482</v>
      </c>
      <c r="E81" t="s">
        <v>60</v>
      </c>
      <c r="F81" t="s">
        <v>3082</v>
      </c>
      <c r="G81" t="s">
        <v>3077</v>
      </c>
      <c r="H81">
        <f t="shared" si="1"/>
        <v>2</v>
      </c>
      <c r="J81" t="s">
        <v>1327</v>
      </c>
      <c r="K81" t="str">
        <f>VLOOKUP(J81,Organisation!$A$2:$C$499,3,FALSE)</f>
        <v>CORG00067</v>
      </c>
      <c r="L81" t="str">
        <f>VLOOKUP(J81,Organisation!$A$2:$E$499,4,FALSE)</f>
        <v>Academic</v>
      </c>
      <c r="M81" t="s">
        <v>1328</v>
      </c>
      <c r="N81" t="s">
        <v>1329</v>
      </c>
      <c r="O81" t="s">
        <v>14</v>
      </c>
      <c r="Q81" t="s">
        <v>3083</v>
      </c>
      <c r="S81" s="1">
        <v>1</v>
      </c>
      <c r="T81" t="str">
        <f>"Update Collaborator Set Organisation = '"&amp;J81&amp;"' where User_ID = '"&amp;B81&amp;"'; "</f>
        <v xml:space="preserve">Update Collaborator Set Organisation = 'Griffith University' where User_ID = 'CU00080'; </v>
      </c>
    </row>
    <row r="82" spans="1:21">
      <c r="A82" t="s">
        <v>9698</v>
      </c>
      <c r="B82" t="s">
        <v>5010</v>
      </c>
      <c r="D82" t="s">
        <v>1604</v>
      </c>
      <c r="E82" t="s">
        <v>60</v>
      </c>
      <c r="F82" t="s">
        <v>5011</v>
      </c>
      <c r="G82" t="s">
        <v>5012</v>
      </c>
      <c r="H82">
        <f t="shared" si="1"/>
        <v>1</v>
      </c>
      <c r="J82" t="s">
        <v>1422</v>
      </c>
      <c r="K82" t="str">
        <f>VLOOKUP(J82,Organisation!$A$2:$C$499,3,FALSE)</f>
        <v>CORG00292</v>
      </c>
      <c r="L82" t="str">
        <f>VLOOKUP(J82,Organisation!$A$2:$E$499,4,FALSE)</f>
        <v>Academic</v>
      </c>
      <c r="M82" t="s">
        <v>170</v>
      </c>
      <c r="O82" t="s">
        <v>14</v>
      </c>
      <c r="Q82" t="s">
        <v>5013</v>
      </c>
      <c r="S82" s="1">
        <v>0</v>
      </c>
      <c r="T82" t="str">
        <f>"Update Collaborator Set Organisation = '"&amp;J82&amp;"' where User_ID = '"&amp;B82&amp;"'; "</f>
        <v xml:space="preserve">Update Collaborator Set Organisation = 'University of Wollongong' where User_ID = 'CU00081'; </v>
      </c>
    </row>
    <row r="83" spans="1:21">
      <c r="A83" t="s">
        <v>9679</v>
      </c>
      <c r="B83" t="s">
        <v>2363</v>
      </c>
      <c r="D83" t="s">
        <v>2364</v>
      </c>
      <c r="E83" t="s">
        <v>60</v>
      </c>
      <c r="F83" t="s">
        <v>2365</v>
      </c>
      <c r="G83" t="s">
        <v>2366</v>
      </c>
      <c r="H83">
        <f t="shared" si="1"/>
        <v>1</v>
      </c>
      <c r="J83" t="s">
        <v>2367</v>
      </c>
      <c r="K83" t="str">
        <f>VLOOKUP(J83,Organisation!$A$2:$C$499,3,FALSE)</f>
        <v>CORG00208</v>
      </c>
      <c r="L83" t="str">
        <f>VLOOKUP(J83,Organisation!$A$2:$E$499,4,FALSE)</f>
        <v>Academic</v>
      </c>
      <c r="M83" t="s">
        <v>2368</v>
      </c>
      <c r="O83" t="s">
        <v>2369</v>
      </c>
      <c r="Q83" t="s">
        <v>2370</v>
      </c>
      <c r="S83" s="1">
        <v>1</v>
      </c>
      <c r="T83" t="str">
        <f>"Update Collaborator Set Organisation = '"&amp;J83&amp;"' where User_ID = '"&amp;B83&amp;"'; "</f>
        <v xml:space="preserve">Update Collaborator Set Organisation = 'Universiti Putra Malaysia' where User_ID = 'CU00082'; </v>
      </c>
    </row>
    <row r="84" spans="1:21">
      <c r="A84" t="s">
        <v>9598</v>
      </c>
      <c r="B84" t="s">
        <v>3409</v>
      </c>
      <c r="D84" t="s">
        <v>448</v>
      </c>
      <c r="E84" t="s">
        <v>60</v>
      </c>
      <c r="F84" t="s">
        <v>3410</v>
      </c>
      <c r="G84" t="s">
        <v>3411</v>
      </c>
      <c r="H84">
        <f t="shared" si="1"/>
        <v>1</v>
      </c>
      <c r="J84" t="s">
        <v>362</v>
      </c>
      <c r="K84" t="str">
        <f>VLOOKUP(J84,Organisation!$A$2:$C$499,3,FALSE)</f>
        <v>CORG00001</v>
      </c>
      <c r="L84" t="str">
        <f>VLOOKUP(J84,Organisation!$A$2:$E$499,4,FALSE)</f>
        <v>Academic</v>
      </c>
      <c r="M84" t="s">
        <v>416</v>
      </c>
      <c r="O84" t="s">
        <v>14</v>
      </c>
      <c r="P84" s="3" t="s">
        <v>3412</v>
      </c>
      <c r="Q84" t="s">
        <v>3413</v>
      </c>
      <c r="S84" s="1">
        <v>0</v>
      </c>
      <c r="T84" t="str">
        <f>"Update Collaborator Set Organisation = '"&amp;J84&amp;"' where User_ID = '"&amp;B84&amp;"'; "</f>
        <v xml:space="preserve">Update Collaborator Set Organisation = 'University of Queensland' where User_ID = 'CU00083'; </v>
      </c>
    </row>
    <row r="85" spans="1:21">
      <c r="A85" t="s">
        <v>9697</v>
      </c>
      <c r="B85" t="s">
        <v>4731</v>
      </c>
      <c r="C85" t="s">
        <v>10540</v>
      </c>
      <c r="D85" t="s">
        <v>4732</v>
      </c>
      <c r="E85" t="s">
        <v>60</v>
      </c>
      <c r="F85" t="s">
        <v>4733</v>
      </c>
      <c r="G85" t="s">
        <v>4734</v>
      </c>
      <c r="H85">
        <f t="shared" si="1"/>
        <v>1</v>
      </c>
      <c r="J85" t="s">
        <v>4735</v>
      </c>
      <c r="K85" t="str">
        <f>VLOOKUP(J85,Organisation!$A$2:$C$499,3,FALSE)</f>
        <v>CORG00028</v>
      </c>
      <c r="L85" t="str">
        <f>VLOOKUP(J85,Organisation!$A$2:$E$499,4,FALSE)</f>
        <v>Academic</v>
      </c>
      <c r="M85" t="s">
        <v>4736</v>
      </c>
      <c r="O85" t="s">
        <v>269</v>
      </c>
      <c r="P85" s="3" t="s">
        <v>4737</v>
      </c>
      <c r="Q85" t="s">
        <v>4738</v>
      </c>
      <c r="S85" s="1">
        <v>1</v>
      </c>
      <c r="T85" t="str">
        <f>"Update Collaborator Set Organisation = '"&amp;J85&amp;"' where User_ID = '"&amp;B85&amp;"'; "</f>
        <v xml:space="preserve">Update Collaborator Set Organisation = 'Cardiff University ' where User_ID = 'CU00084'; </v>
      </c>
      <c r="U85" t="str">
        <f>"Update dcollab.collab_user Set Pi = True where User_ID = '"&amp;A85&amp;"'; "</f>
        <v xml:space="preserve">Update dcollab.collab_user Set Pi = True where User_ID = 'CUSR00109'; </v>
      </c>
    </row>
    <row r="86" spans="1:21">
      <c r="A86" t="s">
        <v>9699</v>
      </c>
      <c r="B86" t="s">
        <v>4789</v>
      </c>
      <c r="C86" t="s">
        <v>10540</v>
      </c>
      <c r="D86" t="s">
        <v>1604</v>
      </c>
      <c r="E86" t="s">
        <v>60</v>
      </c>
      <c r="F86" t="s">
        <v>4790</v>
      </c>
      <c r="G86" t="s">
        <v>4791</v>
      </c>
      <c r="H86">
        <f t="shared" si="1"/>
        <v>1</v>
      </c>
      <c r="I86" t="s">
        <v>82</v>
      </c>
      <c r="J86" t="s">
        <v>1422</v>
      </c>
      <c r="K86" t="str">
        <f>VLOOKUP(J86,Organisation!$A$2:$C$499,3,FALSE)</f>
        <v>CORG00292</v>
      </c>
      <c r="L86" t="str">
        <f>VLOOKUP(J86,Organisation!$A$2:$E$499,4,FALSE)</f>
        <v>Academic</v>
      </c>
      <c r="M86" t="s">
        <v>170</v>
      </c>
      <c r="N86" t="s">
        <v>4792</v>
      </c>
      <c r="O86" t="s">
        <v>14</v>
      </c>
      <c r="P86" s="3" t="s">
        <v>4793</v>
      </c>
      <c r="Q86" t="s">
        <v>4794</v>
      </c>
      <c r="S86" s="1">
        <v>1</v>
      </c>
      <c r="T86" t="str">
        <f>"Update Collaborator Set Organisation = '"&amp;J86&amp;"' where User_ID = '"&amp;B86&amp;"'; "</f>
        <v xml:space="preserve">Update Collaborator Set Organisation = 'University of Wollongong' where User_ID = 'CU00085'; </v>
      </c>
      <c r="U86" t="str">
        <f>"Update dcollab.collab_user Set Pi = True where User_ID = '"&amp;A86&amp;"'; "</f>
        <v xml:space="preserve">Update dcollab.collab_user Set Pi = True where User_ID = 'CUSR00111'; </v>
      </c>
    </row>
    <row r="87" spans="1:21">
      <c r="A87" t="s">
        <v>9883</v>
      </c>
      <c r="B87" t="s">
        <v>4807</v>
      </c>
      <c r="D87" t="s">
        <v>1733</v>
      </c>
      <c r="E87" t="s">
        <v>60</v>
      </c>
      <c r="F87" t="s">
        <v>4808</v>
      </c>
      <c r="G87" t="s">
        <v>4803</v>
      </c>
      <c r="H87">
        <f t="shared" si="1"/>
        <v>2</v>
      </c>
      <c r="J87" t="s">
        <v>8770</v>
      </c>
      <c r="K87" t="str">
        <f>VLOOKUP(J87,Organisation!$A$2:$C$499,3,FALSE)</f>
        <v>CORG00134</v>
      </c>
      <c r="L87" t="str">
        <f>VLOOKUP(J87,Organisation!$A$2:$E$499,4,FALSE)</f>
        <v>Academic</v>
      </c>
      <c r="M87" t="s">
        <v>8821</v>
      </c>
      <c r="O87" t="s">
        <v>8808</v>
      </c>
      <c r="P87" s="3" t="s">
        <v>4811</v>
      </c>
      <c r="Q87" t="s">
        <v>4812</v>
      </c>
      <c r="S87" s="1">
        <v>0</v>
      </c>
      <c r="T87" t="str">
        <f>"Update Collaborator Set Organisation = '"&amp;J87&amp;"' where User_ID = '"&amp;B87&amp;"'; "</f>
        <v xml:space="preserve">Update Collaborator Set Organisation = 'National Institute of Health' where User_ID = 'CU00086'; </v>
      </c>
    </row>
    <row r="88" spans="1:21">
      <c r="A88" t="s">
        <v>9702</v>
      </c>
      <c r="B88" t="s">
        <v>3371</v>
      </c>
      <c r="C88" t="s">
        <v>10540</v>
      </c>
      <c r="D88" t="s">
        <v>3372</v>
      </c>
      <c r="E88" t="s">
        <v>7</v>
      </c>
      <c r="F88" t="s">
        <v>3373</v>
      </c>
      <c r="G88" t="s">
        <v>3374</v>
      </c>
      <c r="H88">
        <f t="shared" si="1"/>
        <v>1</v>
      </c>
      <c r="I88" t="s">
        <v>152</v>
      </c>
      <c r="J88" t="s">
        <v>1422</v>
      </c>
      <c r="K88" t="str">
        <f>VLOOKUP(J88,Organisation!$A$2:$C$499,3,FALSE)</f>
        <v>CORG00292</v>
      </c>
      <c r="L88" t="str">
        <f>VLOOKUP(J88,Organisation!$A$2:$E$499,4,FALSE)</f>
        <v>Academic</v>
      </c>
      <c r="M88" t="s">
        <v>170</v>
      </c>
      <c r="N88" t="s">
        <v>2874</v>
      </c>
      <c r="O88" t="s">
        <v>14</v>
      </c>
      <c r="P88" s="3" t="s">
        <v>3375</v>
      </c>
      <c r="Q88" t="s">
        <v>3376</v>
      </c>
      <c r="S88" s="1">
        <v>1</v>
      </c>
      <c r="T88" t="str">
        <f>"Update Collaborator Set Organisation = '"&amp;J88&amp;"' where User_ID = '"&amp;B88&amp;"'; "</f>
        <v xml:space="preserve">Update Collaborator Set Organisation = 'University of Wollongong' where User_ID = 'CU00087'; </v>
      </c>
      <c r="U88" t="str">
        <f>"Update dcollab.collab_user Set Pi = True where User_ID = '"&amp;A88&amp;"'; "</f>
        <v xml:space="preserve">Update dcollab.collab_user Set Pi = True where User_ID = 'CUSR00114'; </v>
      </c>
    </row>
    <row r="89" spans="1:21">
      <c r="A89" t="s">
        <v>9723</v>
      </c>
      <c r="B89" t="s">
        <v>5256</v>
      </c>
      <c r="C89" t="s">
        <v>10540</v>
      </c>
      <c r="D89" t="s">
        <v>3671</v>
      </c>
      <c r="E89" t="s">
        <v>60</v>
      </c>
      <c r="F89" t="s">
        <v>1207</v>
      </c>
      <c r="G89" t="s">
        <v>5257</v>
      </c>
      <c r="H89">
        <f t="shared" si="1"/>
        <v>1</v>
      </c>
      <c r="I89" t="s">
        <v>2166</v>
      </c>
      <c r="J89" t="s">
        <v>3123</v>
      </c>
      <c r="K89" t="str">
        <f>VLOOKUP(J89,Organisation!$A$2:$C$499,3,FALSE)</f>
        <v>CORG00259</v>
      </c>
      <c r="L89" t="str">
        <f>VLOOKUP(J89,Organisation!$A$2:$E$499,4,FALSE)</f>
        <v>Academic</v>
      </c>
      <c r="M89" t="s">
        <v>170</v>
      </c>
      <c r="N89" t="s">
        <v>3675</v>
      </c>
      <c r="O89" t="s">
        <v>269</v>
      </c>
      <c r="P89" s="3" t="s">
        <v>5258</v>
      </c>
      <c r="Q89" t="s">
        <v>5259</v>
      </c>
      <c r="S89" s="1">
        <v>1</v>
      </c>
      <c r="T89" t="str">
        <f>"Update Collaborator Set Organisation = '"&amp;J89&amp;"' where User_ID = '"&amp;B89&amp;"'; "</f>
        <v xml:space="preserve">Update Collaborator Set Organisation = 'University of Nottingham' where User_ID = 'CU00088'; </v>
      </c>
      <c r="U89" t="str">
        <f>"Update dcollab.collab_user Set Pi = True where User_ID = '"&amp;A89&amp;"'; "</f>
        <v xml:space="preserve">Update dcollab.collab_user Set Pi = True where User_ID = 'CUSR00135'; </v>
      </c>
    </row>
    <row r="90" spans="1:21">
      <c r="A90" t="s">
        <v>9627</v>
      </c>
      <c r="B90" t="s">
        <v>487</v>
      </c>
      <c r="D90" t="s">
        <v>488</v>
      </c>
      <c r="E90" t="s">
        <v>60</v>
      </c>
      <c r="F90" t="s">
        <v>489</v>
      </c>
      <c r="G90" t="s">
        <v>490</v>
      </c>
      <c r="H90">
        <f t="shared" si="1"/>
        <v>1</v>
      </c>
      <c r="J90" t="s">
        <v>491</v>
      </c>
      <c r="K90" t="str">
        <f>VLOOKUP(J90,Organisation!$A$2:$C$499,3,FALSE)</f>
        <v>CORG00048</v>
      </c>
      <c r="L90" t="str">
        <f>VLOOKUP(J90,Organisation!$A$2:$E$499,4,FALSE)</f>
        <v>Academic</v>
      </c>
      <c r="M90" t="s">
        <v>8818</v>
      </c>
      <c r="O90" t="s">
        <v>14</v>
      </c>
      <c r="Q90" t="s">
        <v>493</v>
      </c>
      <c r="S90" s="1">
        <v>1</v>
      </c>
      <c r="T90" t="str">
        <f>"Update Collaborator Set Organisation = '"&amp;J90&amp;"' where User_ID = '"&amp;B90&amp;"'; "</f>
        <v xml:space="preserve">Update Collaborator Set Organisation = 'Deakin University' where User_ID = 'CU00089'; </v>
      </c>
    </row>
    <row r="91" spans="1:21">
      <c r="A91" t="s">
        <v>9683</v>
      </c>
      <c r="B91" t="s">
        <v>4309</v>
      </c>
      <c r="D91" t="s">
        <v>359</v>
      </c>
      <c r="E91" t="s">
        <v>60</v>
      </c>
      <c r="F91" t="s">
        <v>1848</v>
      </c>
      <c r="G91" t="s">
        <v>4310</v>
      </c>
      <c r="H91">
        <f t="shared" si="1"/>
        <v>1</v>
      </c>
      <c r="J91" t="s">
        <v>362</v>
      </c>
      <c r="K91" t="str">
        <f>VLOOKUP(J91,Organisation!$A$2:$C$499,3,FALSE)</f>
        <v>CORG00001</v>
      </c>
      <c r="L91" t="str">
        <f>VLOOKUP(J91,Organisation!$A$2:$E$499,4,FALSE)</f>
        <v>Academic</v>
      </c>
      <c r="M91" t="s">
        <v>416</v>
      </c>
      <c r="O91" t="s">
        <v>14</v>
      </c>
      <c r="P91" s="3" t="s">
        <v>4311</v>
      </c>
      <c r="Q91" t="s">
        <v>4312</v>
      </c>
      <c r="S91" s="1">
        <v>0</v>
      </c>
      <c r="T91" t="str">
        <f>"Update Collaborator Set Organisation = '"&amp;J91&amp;"' where User_ID = '"&amp;B91&amp;"'; "</f>
        <v xml:space="preserve">Update Collaborator Set Organisation = 'University of Queensland' where User_ID = 'CU00090'; </v>
      </c>
    </row>
    <row r="92" spans="1:21">
      <c r="A92" t="s">
        <v>9884</v>
      </c>
      <c r="B92" t="s">
        <v>5063</v>
      </c>
      <c r="C92" t="s">
        <v>10540</v>
      </c>
      <c r="D92" t="s">
        <v>1733</v>
      </c>
      <c r="E92" t="s">
        <v>60</v>
      </c>
      <c r="F92" t="s">
        <v>5064</v>
      </c>
      <c r="G92" t="s">
        <v>4802</v>
      </c>
      <c r="H92">
        <f t="shared" si="1"/>
        <v>2</v>
      </c>
      <c r="J92" t="s">
        <v>8770</v>
      </c>
      <c r="K92" t="str">
        <f>VLOOKUP(J92,Organisation!$A$2:$C$499,3,FALSE)</f>
        <v>CORG00134</v>
      </c>
      <c r="L92" t="str">
        <f>VLOOKUP(J92,Organisation!$A$2:$E$499,4,FALSE)</f>
        <v>Academic</v>
      </c>
      <c r="M92" t="s">
        <v>8821</v>
      </c>
      <c r="O92" t="s">
        <v>8808</v>
      </c>
      <c r="P92" s="3" t="s">
        <v>5065</v>
      </c>
      <c r="Q92" t="s">
        <v>5066</v>
      </c>
      <c r="S92" s="1">
        <v>1</v>
      </c>
      <c r="T92" t="str">
        <f>"Update Collaborator Set Organisation = '"&amp;J92&amp;"' where User_ID = '"&amp;B92&amp;"'; "</f>
        <v xml:space="preserve">Update Collaborator Set Organisation = 'National Institute of Health' where User_ID = 'CU00091'; </v>
      </c>
      <c r="U92" t="str">
        <f>"Update dcollab.collab_user Set Pi = True where User_ID = '"&amp;A92&amp;"'; "</f>
        <v xml:space="preserve">Update dcollab.collab_user Set Pi = True where User_ID = 'CUSR00296'; </v>
      </c>
    </row>
    <row r="93" spans="1:21">
      <c r="A93" t="s">
        <v>9705</v>
      </c>
      <c r="B93" t="s">
        <v>5193</v>
      </c>
      <c r="C93" t="s">
        <v>10540</v>
      </c>
      <c r="D93" t="s">
        <v>5194</v>
      </c>
      <c r="E93" t="s">
        <v>60</v>
      </c>
      <c r="F93" t="s">
        <v>5195</v>
      </c>
      <c r="G93" t="s">
        <v>5196</v>
      </c>
      <c r="H93">
        <f t="shared" si="1"/>
        <v>1</v>
      </c>
      <c r="J93" t="s">
        <v>517</v>
      </c>
      <c r="K93" t="str">
        <f>VLOOKUP(J93,Organisation!$A$2:$C$499,3,FALSE)</f>
        <v>CORG00125</v>
      </c>
      <c r="L93" t="str">
        <f>VLOOKUP(J93,Organisation!$A$2:$E$499,4,FALSE)</f>
        <v>Academic</v>
      </c>
      <c r="M93" t="s">
        <v>5197</v>
      </c>
      <c r="N93" t="s">
        <v>566</v>
      </c>
      <c r="O93" t="s">
        <v>14</v>
      </c>
      <c r="Q93" t="s">
        <v>5198</v>
      </c>
      <c r="S93" s="1">
        <v>1</v>
      </c>
      <c r="T93" t="str">
        <f>"Update Collaborator Set Organisation = '"&amp;J93&amp;"' where User_ID = '"&amp;B93&amp;"'; "</f>
        <v xml:space="preserve">Update Collaborator Set Organisation = 'Monash University' where User_ID = 'CU00092'; </v>
      </c>
      <c r="U93" t="str">
        <f>"Update dcollab.collab_user Set Pi = True where User_ID = '"&amp;A93&amp;"'; "</f>
        <v xml:space="preserve">Update dcollab.collab_user Set Pi = True where User_ID = 'CUSR00117'; </v>
      </c>
    </row>
    <row r="94" spans="1:21">
      <c r="A94" t="s">
        <v>9633</v>
      </c>
      <c r="B94" t="s">
        <v>2464</v>
      </c>
      <c r="D94" t="s">
        <v>2194</v>
      </c>
      <c r="E94" t="s">
        <v>60</v>
      </c>
      <c r="F94" t="s">
        <v>2465</v>
      </c>
      <c r="G94" t="s">
        <v>2466</v>
      </c>
      <c r="H94">
        <f t="shared" si="1"/>
        <v>1</v>
      </c>
      <c r="J94" t="s">
        <v>362</v>
      </c>
      <c r="K94" t="str">
        <f>VLOOKUP(J94,Organisation!$A$2:$C$499,3,FALSE)</f>
        <v>CORG00001</v>
      </c>
      <c r="L94" t="str">
        <f>VLOOKUP(J94,Organisation!$A$2:$E$499,4,FALSE)</f>
        <v>Academic</v>
      </c>
      <c r="M94" t="s">
        <v>416</v>
      </c>
      <c r="O94" t="s">
        <v>14</v>
      </c>
      <c r="P94" s="3" t="s">
        <v>2467</v>
      </c>
      <c r="Q94" t="s">
        <v>2468</v>
      </c>
      <c r="S94" s="1">
        <v>1</v>
      </c>
      <c r="T94" t="str">
        <f>"Update Collaborator Set Organisation = '"&amp;J94&amp;"' where User_ID = '"&amp;B94&amp;"'; "</f>
        <v xml:space="preserve">Update Collaborator Set Organisation = 'University of Queensland' where User_ID = 'CU00093'; </v>
      </c>
    </row>
    <row r="95" spans="1:21">
      <c r="A95" t="s">
        <v>9706</v>
      </c>
      <c r="B95" t="s">
        <v>4642</v>
      </c>
      <c r="C95" t="s">
        <v>10540</v>
      </c>
      <c r="D95" t="s">
        <v>4643</v>
      </c>
      <c r="E95" t="s">
        <v>60</v>
      </c>
      <c r="F95" t="s">
        <v>4644</v>
      </c>
      <c r="G95" t="s">
        <v>4645</v>
      </c>
      <c r="H95">
        <f t="shared" si="1"/>
        <v>1</v>
      </c>
      <c r="I95" t="s">
        <v>516</v>
      </c>
      <c r="J95" t="s">
        <v>4646</v>
      </c>
      <c r="K95" t="str">
        <f>VLOOKUP(J95,Organisation!$A$2:$C$499,3,FALSE)</f>
        <v>CORG00165</v>
      </c>
      <c r="L95" t="str">
        <f>VLOOKUP(J95,Organisation!$A$2:$E$499,4,FALSE)</f>
        <v>Academic</v>
      </c>
      <c r="M95" t="s">
        <v>4647</v>
      </c>
      <c r="N95" t="s">
        <v>4648</v>
      </c>
      <c r="O95" t="s">
        <v>1600</v>
      </c>
      <c r="P95" s="3" t="s">
        <v>4649</v>
      </c>
      <c r="Q95" t="s">
        <v>4650</v>
      </c>
      <c r="S95" s="1">
        <v>1</v>
      </c>
      <c r="T95" t="str">
        <f>"Update Collaborator Set Organisation = '"&amp;J95&amp;"' where User_ID = '"&amp;B95&amp;"'; "</f>
        <v xml:space="preserve">Update Collaborator Set Organisation = 'Russian Academy of Science' where User_ID = 'CU00094'; </v>
      </c>
      <c r="U95" t="str">
        <f>"Update dcollab.collab_user Set Pi = True where User_ID = '"&amp;A95&amp;"'; "</f>
        <v xml:space="preserve">Update dcollab.collab_user Set Pi = True where User_ID = 'CUSR00118'; </v>
      </c>
    </row>
    <row r="96" spans="1:21">
      <c r="A96" t="s">
        <v>9708</v>
      </c>
      <c r="B96" t="s">
        <v>3034</v>
      </c>
      <c r="C96" t="s">
        <v>10540</v>
      </c>
      <c r="D96" t="s">
        <v>2273</v>
      </c>
      <c r="E96" t="s">
        <v>60</v>
      </c>
      <c r="F96" t="s">
        <v>3035</v>
      </c>
      <c r="G96" t="s">
        <v>3036</v>
      </c>
      <c r="H96">
        <f t="shared" si="1"/>
        <v>1</v>
      </c>
      <c r="J96" t="s">
        <v>2276</v>
      </c>
      <c r="K96" t="str">
        <f>VLOOKUP(J96,Organisation!$A$2:$C$499,3,FALSE)</f>
        <v>CORG00231</v>
      </c>
      <c r="L96" t="str">
        <f>VLOOKUP(J96,Organisation!$A$2:$E$499,4,FALSE)</f>
        <v>Academic</v>
      </c>
      <c r="M96" t="s">
        <v>2277</v>
      </c>
      <c r="O96" t="s">
        <v>694</v>
      </c>
      <c r="P96" s="3" t="s">
        <v>3037</v>
      </c>
      <c r="Q96" t="s">
        <v>3038</v>
      </c>
      <c r="S96" s="1">
        <v>1</v>
      </c>
      <c r="T96" t="str">
        <f>"Update Collaborator Set Organisation = '"&amp;J96&amp;"' where User_ID = '"&amp;B96&amp;"'; "</f>
        <v xml:space="preserve">Update Collaborator Set Organisation = 'University of Graz' where User_ID = 'CU00095'; </v>
      </c>
      <c r="U96" t="str">
        <f>"Update dcollab.collab_user Set Pi = True where User_ID = '"&amp;A96&amp;"'; "</f>
        <v xml:space="preserve">Update dcollab.collab_user Set Pi = True where User_ID = 'CUSR00120'; </v>
      </c>
    </row>
    <row r="97" spans="1:21">
      <c r="A97" t="s">
        <v>9709</v>
      </c>
      <c r="B97" t="s">
        <v>5378</v>
      </c>
      <c r="C97" t="s">
        <v>10540</v>
      </c>
      <c r="D97" t="s">
        <v>5379</v>
      </c>
      <c r="E97" t="s">
        <v>60</v>
      </c>
      <c r="F97" t="s">
        <v>5380</v>
      </c>
      <c r="G97" t="s">
        <v>5381</v>
      </c>
      <c r="H97">
        <f t="shared" si="1"/>
        <v>1</v>
      </c>
      <c r="J97" t="s">
        <v>1114</v>
      </c>
      <c r="K97" t="str">
        <f>VLOOKUP(J97,Organisation!$A$2:$C$499,3,FALSE)</f>
        <v>CORG00106</v>
      </c>
      <c r="L97" t="str">
        <f>VLOOKUP(J97,Organisation!$A$2:$E$499,4,FALSE)</f>
        <v>Academic</v>
      </c>
      <c r="M97" t="s">
        <v>1115</v>
      </c>
      <c r="N97" t="s">
        <v>1116</v>
      </c>
      <c r="O97" t="s">
        <v>14</v>
      </c>
      <c r="P97" s="3" t="s">
        <v>5382</v>
      </c>
      <c r="Q97" t="s">
        <v>5383</v>
      </c>
      <c r="S97" s="1">
        <v>0</v>
      </c>
      <c r="T97" t="str">
        <f>"Update Collaborator Set Organisation = '"&amp;J97&amp;"' where User_ID = '"&amp;B97&amp;"'; "</f>
        <v xml:space="preserve">Update Collaborator Set Organisation = 'Macquarie University' where User_ID = 'CU00096'; </v>
      </c>
      <c r="U97" t="str">
        <f>"Update dcollab.collab_user Set Pi = True where User_ID = '"&amp;A97&amp;"'; "</f>
        <v xml:space="preserve">Update dcollab.collab_user Set Pi = True where User_ID = 'CUSR00121'; </v>
      </c>
    </row>
    <row r="98" spans="1:21">
      <c r="A98" t="s">
        <v>9599</v>
      </c>
      <c r="B98" t="s">
        <v>5463</v>
      </c>
      <c r="D98" t="s">
        <v>448</v>
      </c>
      <c r="E98" t="s">
        <v>60</v>
      </c>
      <c r="F98" t="s">
        <v>5464</v>
      </c>
      <c r="G98" t="s">
        <v>5465</v>
      </c>
      <c r="H98">
        <f t="shared" si="1"/>
        <v>1</v>
      </c>
      <c r="I98" t="s">
        <v>2999</v>
      </c>
      <c r="J98" t="s">
        <v>362</v>
      </c>
      <c r="K98" t="str">
        <f>VLOOKUP(J98,Organisation!$A$2:$C$499,3,FALSE)</f>
        <v>CORG00001</v>
      </c>
      <c r="L98" t="str">
        <f>VLOOKUP(J98,Organisation!$A$2:$E$499,4,FALSE)</f>
        <v>Academic</v>
      </c>
      <c r="M98" t="s">
        <v>416</v>
      </c>
      <c r="N98" t="s">
        <v>5466</v>
      </c>
      <c r="O98" t="s">
        <v>14</v>
      </c>
      <c r="P98" s="3" t="s">
        <v>5467</v>
      </c>
      <c r="Q98" t="s">
        <v>5468</v>
      </c>
      <c r="S98" s="1">
        <v>1</v>
      </c>
      <c r="T98" t="str">
        <f>"Update Collaborator Set Organisation = '"&amp;J98&amp;"' where User_ID = '"&amp;B98&amp;"'; "</f>
        <v xml:space="preserve">Update Collaborator Set Organisation = 'University of Queensland' where User_ID = 'CU00097'; </v>
      </c>
    </row>
    <row r="99" spans="1:21">
      <c r="A99" t="s">
        <v>9710</v>
      </c>
      <c r="B99" t="s">
        <v>1178</v>
      </c>
      <c r="C99" t="s">
        <v>10540</v>
      </c>
      <c r="D99" t="s">
        <v>1179</v>
      </c>
      <c r="E99" t="s">
        <v>60</v>
      </c>
      <c r="F99" t="s">
        <v>1180</v>
      </c>
      <c r="G99" t="s">
        <v>1181</v>
      </c>
      <c r="H99">
        <f t="shared" si="1"/>
        <v>1</v>
      </c>
      <c r="J99" t="s">
        <v>1182</v>
      </c>
      <c r="K99" t="str">
        <f>VLOOKUP(J99,Organisation!$A$2:$C$499,3,FALSE)</f>
        <v>CORG00224</v>
      </c>
      <c r="L99" t="str">
        <f>VLOOKUP(J99,Organisation!$A$2:$E$499,4,FALSE)</f>
        <v>Academic</v>
      </c>
      <c r="O99" t="s">
        <v>609</v>
      </c>
      <c r="P99" s="3" t="s">
        <v>1183</v>
      </c>
      <c r="Q99" t="s">
        <v>1184</v>
      </c>
      <c r="S99" s="1">
        <v>1</v>
      </c>
      <c r="T99" t="str">
        <f>"Update Collaborator Set Organisation = '"&amp;J99&amp;"' where User_ID = '"&amp;B99&amp;"'; "</f>
        <v xml:space="preserve">Update Collaborator Set Organisation = 'University of Capetown' where User_ID = 'CU00098'; </v>
      </c>
      <c r="U99" t="str">
        <f>"Update dcollab.collab_user Set Pi = True where User_ID = '"&amp;A99&amp;"'; "</f>
        <v xml:space="preserve">Update dcollab.collab_user Set Pi = True where User_ID = 'CUSR00122'; </v>
      </c>
    </row>
    <row r="100" spans="1:21">
      <c r="A100" t="s">
        <v>9711</v>
      </c>
      <c r="B100" t="s">
        <v>3116</v>
      </c>
      <c r="C100" t="s">
        <v>10540</v>
      </c>
      <c r="D100" t="s">
        <v>3117</v>
      </c>
      <c r="E100" t="s">
        <v>60</v>
      </c>
      <c r="F100" t="s">
        <v>3118</v>
      </c>
      <c r="G100" t="s">
        <v>8859</v>
      </c>
      <c r="H100">
        <f t="shared" si="1"/>
        <v>1</v>
      </c>
      <c r="J100" t="s">
        <v>8744</v>
      </c>
      <c r="K100" t="str">
        <f>VLOOKUP(J100,Organisation!$A$2:$C$499,3,FALSE)</f>
        <v>CORG00304</v>
      </c>
      <c r="L100" t="str">
        <f>VLOOKUP(J100,Organisation!$A$2:$E$499,4,FALSE)</f>
        <v>Academic</v>
      </c>
      <c r="O100" t="s">
        <v>14</v>
      </c>
      <c r="S100" s="1">
        <v>1</v>
      </c>
      <c r="T100" t="str">
        <f>"Update Collaborator Set Organisation = '"&amp;J100&amp;"' where User_ID = '"&amp;B100&amp;"'; "</f>
        <v xml:space="preserve">Update Collaborator Set Organisation = 'Walter and Eliza Hall Institute of Medical Research' where User_ID = 'CU00099'; </v>
      </c>
      <c r="U100" t="str">
        <f>"Update dcollab.collab_user Set Pi = True where User_ID = '"&amp;A100&amp;"'; "</f>
        <v xml:space="preserve">Update dcollab.collab_user Set Pi = True where User_ID = 'CUSR00835'; </v>
      </c>
    </row>
    <row r="101" spans="1:21">
      <c r="A101" t="s">
        <v>9712</v>
      </c>
      <c r="B101" t="s">
        <v>1616</v>
      </c>
      <c r="C101" t="s">
        <v>10540</v>
      </c>
      <c r="D101" t="s">
        <v>1617</v>
      </c>
      <c r="E101" t="s">
        <v>60</v>
      </c>
      <c r="F101" t="s">
        <v>1618</v>
      </c>
      <c r="G101" t="s">
        <v>1619</v>
      </c>
      <c r="H101">
        <f t="shared" si="1"/>
        <v>1</v>
      </c>
      <c r="J101" t="s">
        <v>1422</v>
      </c>
      <c r="K101" t="str">
        <f>VLOOKUP(J101,Organisation!$A$2:$C$499,3,FALSE)</f>
        <v>CORG00292</v>
      </c>
      <c r="L101" t="str">
        <f>VLOOKUP(J101,Organisation!$A$2:$E$499,4,FALSE)</f>
        <v>Academic</v>
      </c>
      <c r="M101" t="s">
        <v>170</v>
      </c>
      <c r="O101" t="s">
        <v>14</v>
      </c>
      <c r="S101" s="1">
        <v>1</v>
      </c>
      <c r="T101" t="str">
        <f>"Update Collaborator Set Organisation = '"&amp;J101&amp;"' where User_ID = '"&amp;B101&amp;"'; "</f>
        <v xml:space="preserve">Update Collaborator Set Organisation = 'University of Wollongong' where User_ID = 'CU00100'; </v>
      </c>
      <c r="U101" t="str">
        <f>"Update dcollab.collab_user Set Pi = True where User_ID = '"&amp;A101&amp;"'; "</f>
        <v xml:space="preserve">Update dcollab.collab_user Set Pi = True where User_ID = 'CUSR00836'; </v>
      </c>
    </row>
    <row r="102" spans="1:21">
      <c r="A102" t="s">
        <v>9716</v>
      </c>
      <c r="B102" t="s">
        <v>2714</v>
      </c>
      <c r="D102" t="s">
        <v>2715</v>
      </c>
      <c r="E102" t="s">
        <v>60</v>
      </c>
      <c r="F102" t="s">
        <v>2716</v>
      </c>
      <c r="G102" t="s">
        <v>2717</v>
      </c>
      <c r="H102">
        <f t="shared" si="1"/>
        <v>1</v>
      </c>
      <c r="J102" t="s">
        <v>1327</v>
      </c>
      <c r="K102" t="str">
        <f>VLOOKUP(J102,Organisation!$A$2:$C$499,3,FALSE)</f>
        <v>CORG00067</v>
      </c>
      <c r="L102" t="str">
        <f>VLOOKUP(J102,Organisation!$A$2:$E$499,4,FALSE)</f>
        <v>Academic</v>
      </c>
      <c r="M102" t="s">
        <v>2556</v>
      </c>
      <c r="O102" t="s">
        <v>14</v>
      </c>
      <c r="P102" s="3" t="s">
        <v>2718</v>
      </c>
      <c r="Q102" t="s">
        <v>2719</v>
      </c>
      <c r="S102" s="1">
        <v>1</v>
      </c>
      <c r="T102" t="str">
        <f>"Update Collaborator Set Organisation = '"&amp;J102&amp;"' where User_ID = '"&amp;B102&amp;"'; "</f>
        <v xml:space="preserve">Update Collaborator Set Organisation = 'Griffith University' where User_ID = 'CU00101'; </v>
      </c>
    </row>
    <row r="103" spans="1:21">
      <c r="A103" t="s">
        <v>9713</v>
      </c>
      <c r="B103" t="s">
        <v>5301</v>
      </c>
      <c r="C103" t="s">
        <v>10540</v>
      </c>
      <c r="D103" t="s">
        <v>5302</v>
      </c>
      <c r="E103" t="s">
        <v>60</v>
      </c>
      <c r="F103" t="s">
        <v>5303</v>
      </c>
      <c r="G103" t="s">
        <v>5304</v>
      </c>
      <c r="H103">
        <f t="shared" si="1"/>
        <v>1</v>
      </c>
      <c r="J103" t="s">
        <v>1080</v>
      </c>
      <c r="K103" t="str">
        <f>VLOOKUP(J103,Organisation!$A$2:$C$499,3,FALSE)</f>
        <v>CORG00237</v>
      </c>
      <c r="L103" t="str">
        <f>VLOOKUP(J103,Organisation!$A$2:$E$499,4,FALSE)</f>
        <v>Academic</v>
      </c>
      <c r="M103" t="s">
        <v>170</v>
      </c>
      <c r="O103" t="s">
        <v>269</v>
      </c>
      <c r="P103" s="3" t="s">
        <v>5305</v>
      </c>
      <c r="Q103" t="s">
        <v>5306</v>
      </c>
      <c r="S103" s="1">
        <v>1</v>
      </c>
      <c r="T103" t="str">
        <f>"Update Collaborator Set Organisation = '"&amp;J103&amp;"' where User_ID = '"&amp;B103&amp;"'; "</f>
        <v xml:space="preserve">Update Collaborator Set Organisation = 'University of Leeds' where User_ID = 'CU00102'; </v>
      </c>
      <c r="U103" t="str">
        <f>"Update dcollab.collab_user Set Pi = True where User_ID = '"&amp;A103&amp;"'; "</f>
        <v xml:space="preserve">Update dcollab.collab_user Set Pi = True where User_ID = 'CUSR00125'; </v>
      </c>
    </row>
    <row r="104" spans="1:21">
      <c r="A104" t="s">
        <v>9714</v>
      </c>
      <c r="B104" t="s">
        <v>2554</v>
      </c>
      <c r="C104" t="s">
        <v>10540</v>
      </c>
      <c r="D104" t="s">
        <v>2555</v>
      </c>
      <c r="E104" t="s">
        <v>60</v>
      </c>
      <c r="F104" t="s">
        <v>1044</v>
      </c>
      <c r="G104" t="s">
        <v>2550</v>
      </c>
      <c r="H104">
        <f t="shared" si="1"/>
        <v>2</v>
      </c>
      <c r="J104" t="s">
        <v>1327</v>
      </c>
      <c r="K104" t="str">
        <f>VLOOKUP(J104,Organisation!$A$2:$C$499,3,FALSE)</f>
        <v>CORG00067</v>
      </c>
      <c r="L104" t="str">
        <f>VLOOKUP(J104,Organisation!$A$2:$E$499,4,FALSE)</f>
        <v>Academic</v>
      </c>
      <c r="M104" t="s">
        <v>2556</v>
      </c>
      <c r="O104" t="s">
        <v>14</v>
      </c>
      <c r="P104" s="3" t="s">
        <v>2557</v>
      </c>
      <c r="Q104" t="s">
        <v>2558</v>
      </c>
      <c r="S104" s="1">
        <v>1</v>
      </c>
      <c r="T104" t="str">
        <f>"Update Collaborator Set Organisation = '"&amp;J104&amp;"' where User_ID = '"&amp;B104&amp;"'; "</f>
        <v xml:space="preserve">Update Collaborator Set Organisation = 'Griffith University' where User_ID = 'CU00103'; </v>
      </c>
      <c r="U104" t="str">
        <f>"Update dcollab.collab_user Set Pi = True where User_ID = '"&amp;A104&amp;"'; "</f>
        <v xml:space="preserve">Update dcollab.collab_user Set Pi = True where User_ID = 'CUSR00126'; </v>
      </c>
    </row>
    <row r="105" spans="1:21">
      <c r="A105" t="s">
        <v>9715</v>
      </c>
      <c r="B105" t="s">
        <v>3443</v>
      </c>
      <c r="C105" t="s">
        <v>10540</v>
      </c>
      <c r="D105" t="s">
        <v>3444</v>
      </c>
      <c r="E105" t="s">
        <v>60</v>
      </c>
      <c r="F105" t="s">
        <v>3445</v>
      </c>
      <c r="G105" t="s">
        <v>3446</v>
      </c>
      <c r="H105">
        <f t="shared" si="1"/>
        <v>1</v>
      </c>
      <c r="J105" t="s">
        <v>3447</v>
      </c>
      <c r="K105" t="str">
        <f>VLOOKUP(J105,Organisation!$A$2:$C$499,3,FALSE)</f>
        <v>CORG00199</v>
      </c>
      <c r="L105" t="str">
        <f>VLOOKUP(J105,Organisation!$A$2:$E$499,4,FALSE)</f>
        <v>Academic</v>
      </c>
      <c r="M105" t="s">
        <v>3448</v>
      </c>
      <c r="O105" t="s">
        <v>355</v>
      </c>
      <c r="P105" s="3" t="s">
        <v>3449</v>
      </c>
      <c r="Q105" t="s">
        <v>3450</v>
      </c>
      <c r="S105" s="1">
        <v>1</v>
      </c>
      <c r="T105" t="str">
        <f>"Update Collaborator Set Organisation = '"&amp;J105&amp;"' where User_ID = '"&amp;B105&amp;"'; "</f>
        <v xml:space="preserve">Update Collaborator Set Organisation = 'Universita degli Studi di Urbino Carlo Bo' where User_ID = 'CU00104'; </v>
      </c>
      <c r="U105" t="str">
        <f>"Update dcollab.collab_user Set Pi = True where User_ID = '"&amp;A105&amp;"'; "</f>
        <v xml:space="preserve">Update dcollab.collab_user Set Pi = True where User_ID = 'CUSR00127'; </v>
      </c>
    </row>
    <row r="106" spans="1:21">
      <c r="A106" t="s">
        <v>9717</v>
      </c>
      <c r="B106" t="s">
        <v>5442</v>
      </c>
      <c r="C106" t="s">
        <v>10540</v>
      </c>
      <c r="D106" t="s">
        <v>2715</v>
      </c>
      <c r="E106" t="s">
        <v>60</v>
      </c>
      <c r="F106" t="s">
        <v>5443</v>
      </c>
      <c r="G106" t="s">
        <v>5444</v>
      </c>
      <c r="H106">
        <f t="shared" si="1"/>
        <v>2</v>
      </c>
      <c r="J106" t="s">
        <v>1327</v>
      </c>
      <c r="K106" t="str">
        <f>VLOOKUP(J106,Organisation!$A$2:$C$499,3,FALSE)</f>
        <v>CORG00067</v>
      </c>
      <c r="L106" t="str">
        <f>VLOOKUP(J106,Organisation!$A$2:$E$499,4,FALSE)</f>
        <v>Academic</v>
      </c>
      <c r="M106" t="s">
        <v>2556</v>
      </c>
      <c r="O106" t="s">
        <v>14</v>
      </c>
      <c r="Q106" t="s">
        <v>5445</v>
      </c>
      <c r="S106" s="1">
        <v>1</v>
      </c>
      <c r="T106" t="str">
        <f>"Update Collaborator Set Organisation = '"&amp;J106&amp;"' where User_ID = '"&amp;B106&amp;"'; "</f>
        <v xml:space="preserve">Update Collaborator Set Organisation = 'Griffith University' where User_ID = 'CU00105'; </v>
      </c>
      <c r="U106" t="str">
        <f>"Update dcollab.collab_user Set Pi = True where User_ID = '"&amp;A106&amp;"'; "</f>
        <v xml:space="preserve">Update dcollab.collab_user Set Pi = True where User_ID = 'CUSR00129'; </v>
      </c>
    </row>
    <row r="107" spans="1:21">
      <c r="A107" t="s">
        <v>9718</v>
      </c>
      <c r="B107" t="s">
        <v>5432</v>
      </c>
      <c r="D107" t="s">
        <v>2715</v>
      </c>
      <c r="E107" t="s">
        <v>60</v>
      </c>
      <c r="F107" t="s">
        <v>5433</v>
      </c>
      <c r="G107" t="s">
        <v>5434</v>
      </c>
      <c r="H107">
        <f t="shared" si="1"/>
        <v>1</v>
      </c>
      <c r="J107" t="s">
        <v>1327</v>
      </c>
      <c r="K107" t="str">
        <f>VLOOKUP(J107,Organisation!$A$2:$C$499,3,FALSE)</f>
        <v>CORG00067</v>
      </c>
      <c r="L107" t="str">
        <f>VLOOKUP(J107,Organisation!$A$2:$E$499,4,FALSE)</f>
        <v>Academic</v>
      </c>
      <c r="M107" t="s">
        <v>2556</v>
      </c>
      <c r="O107" t="s">
        <v>14</v>
      </c>
      <c r="P107" s="3" t="s">
        <v>5435</v>
      </c>
      <c r="Q107" t="s">
        <v>5436</v>
      </c>
      <c r="S107" s="1">
        <v>1</v>
      </c>
      <c r="T107" t="str">
        <f>"Update Collaborator Set Organisation = '"&amp;J107&amp;"' where User_ID = '"&amp;B107&amp;"'; "</f>
        <v xml:space="preserve">Update Collaborator Set Organisation = 'Griffith University' where User_ID = 'CU00106'; </v>
      </c>
    </row>
    <row r="108" spans="1:21">
      <c r="A108" t="s">
        <v>9719</v>
      </c>
      <c r="B108" t="s">
        <v>4901</v>
      </c>
      <c r="C108" t="s">
        <v>10540</v>
      </c>
      <c r="D108" t="s">
        <v>4902</v>
      </c>
      <c r="E108" t="s">
        <v>60</v>
      </c>
      <c r="F108" t="s">
        <v>4903</v>
      </c>
      <c r="G108" t="s">
        <v>4904</v>
      </c>
      <c r="H108">
        <f t="shared" si="1"/>
        <v>2</v>
      </c>
      <c r="J108" t="s">
        <v>4905</v>
      </c>
      <c r="K108" t="str">
        <f>VLOOKUP(J108,Organisation!$A$2:$C$499,3,FALSE)</f>
        <v>CORG00247</v>
      </c>
      <c r="L108" t="str">
        <f>VLOOKUP(J108,Organisation!$A$2:$E$499,4,FALSE)</f>
        <v>Academic</v>
      </c>
      <c r="M108" t="s">
        <v>4906</v>
      </c>
      <c r="O108" t="s">
        <v>8808</v>
      </c>
      <c r="P108" s="3" t="s">
        <v>4907</v>
      </c>
      <c r="Q108" t="s">
        <v>4908</v>
      </c>
      <c r="S108" s="1">
        <v>1</v>
      </c>
      <c r="T108" t="str">
        <f>"Update Collaborator Set Organisation = '"&amp;J108&amp;"' where User_ID = '"&amp;B108&amp;"'; "</f>
        <v xml:space="preserve">Update Collaborator Set Organisation = 'University of Montana' where User_ID = 'CU00107'; </v>
      </c>
      <c r="U108" t="str">
        <f>"Update dcollab.collab_user Set Pi = True where User_ID = '"&amp;A108&amp;"'; "</f>
        <v xml:space="preserve">Update dcollab.collab_user Set Pi = True where User_ID = 'CUSR00131'; </v>
      </c>
    </row>
    <row r="109" spans="1:21">
      <c r="A109" t="s">
        <v>9720</v>
      </c>
      <c r="B109" t="s">
        <v>4909</v>
      </c>
      <c r="D109" t="s">
        <v>4902</v>
      </c>
      <c r="E109" t="s">
        <v>60</v>
      </c>
      <c r="F109" t="s">
        <v>4910</v>
      </c>
      <c r="G109" t="s">
        <v>4904</v>
      </c>
      <c r="H109">
        <f t="shared" si="1"/>
        <v>2</v>
      </c>
      <c r="J109" t="s">
        <v>4905</v>
      </c>
      <c r="K109" t="str">
        <f>VLOOKUP(J109,Organisation!$A$2:$C$499,3,FALSE)</f>
        <v>CORG00247</v>
      </c>
      <c r="L109" t="str">
        <f>VLOOKUP(J109,Organisation!$A$2:$E$499,4,FALSE)</f>
        <v>Academic</v>
      </c>
      <c r="M109" t="s">
        <v>4906</v>
      </c>
      <c r="O109" t="s">
        <v>8808</v>
      </c>
      <c r="Q109" t="s">
        <v>4911</v>
      </c>
      <c r="S109" s="1">
        <v>1</v>
      </c>
      <c r="T109" t="str">
        <f>"Update Collaborator Set Organisation = '"&amp;J109&amp;"' where User_ID = '"&amp;B109&amp;"'; "</f>
        <v xml:space="preserve">Update Collaborator Set Organisation = 'University of Montana' where User_ID = 'CU00108'; </v>
      </c>
    </row>
    <row r="110" spans="1:21">
      <c r="A110" t="s">
        <v>9721</v>
      </c>
      <c r="B110" t="s">
        <v>4851</v>
      </c>
      <c r="C110" t="s">
        <v>10540</v>
      </c>
      <c r="D110" t="s">
        <v>4852</v>
      </c>
      <c r="E110" t="s">
        <v>60</v>
      </c>
      <c r="F110" t="s">
        <v>514</v>
      </c>
      <c r="G110" t="s">
        <v>4853</v>
      </c>
      <c r="H110">
        <f t="shared" si="1"/>
        <v>1</v>
      </c>
      <c r="J110" t="s">
        <v>596</v>
      </c>
      <c r="K110" t="str">
        <f>VLOOKUP(J110,Organisation!$A$2:$C$499,3,FALSE)</f>
        <v>CORG00216</v>
      </c>
      <c r="L110" t="str">
        <f>VLOOKUP(J110,Organisation!$A$2:$E$499,4,FALSE)</f>
        <v>Academic</v>
      </c>
      <c r="M110" t="s">
        <v>906</v>
      </c>
      <c r="O110" t="s">
        <v>223</v>
      </c>
      <c r="P110" s="3" t="s">
        <v>4854</v>
      </c>
      <c r="Q110" t="s">
        <v>4855</v>
      </c>
      <c r="S110" s="1">
        <v>1</v>
      </c>
      <c r="T110" t="str">
        <f>"Update Collaborator Set Organisation = '"&amp;J110&amp;"' where User_ID = '"&amp;B110&amp;"'; "</f>
        <v xml:space="preserve">Update Collaborator Set Organisation = 'University of Auckland' where User_ID = 'CU00109'; </v>
      </c>
      <c r="U110" t="str">
        <f>"Update dcollab.collab_user Set Pi = True where User_ID = '"&amp;A110&amp;"'; "</f>
        <v xml:space="preserve">Update dcollab.collab_user Set Pi = True where User_ID = 'CUSR00133'; </v>
      </c>
    </row>
    <row r="111" spans="1:21">
      <c r="A111" t="s">
        <v>9722</v>
      </c>
      <c r="B111" t="s">
        <v>3120</v>
      </c>
      <c r="C111" t="s">
        <v>10540</v>
      </c>
      <c r="D111" t="s">
        <v>3121</v>
      </c>
      <c r="E111" t="s">
        <v>41</v>
      </c>
      <c r="F111" t="s">
        <v>2526</v>
      </c>
      <c r="G111" t="s">
        <v>3122</v>
      </c>
      <c r="H111">
        <f t="shared" si="1"/>
        <v>1</v>
      </c>
      <c r="J111" t="s">
        <v>3123</v>
      </c>
      <c r="K111" t="str">
        <f>VLOOKUP(J111,Organisation!$A$2:$C$499,3,FALSE)</f>
        <v>CORG00259</v>
      </c>
      <c r="L111" t="str">
        <f>VLOOKUP(J111,Organisation!$A$2:$E$499,4,FALSE)</f>
        <v>Academic</v>
      </c>
      <c r="M111" t="s">
        <v>170</v>
      </c>
      <c r="N111" t="s">
        <v>3124</v>
      </c>
      <c r="O111" t="s">
        <v>269</v>
      </c>
      <c r="P111" s="3" t="s">
        <v>3125</v>
      </c>
      <c r="Q111" t="s">
        <v>3126</v>
      </c>
      <c r="S111" s="1">
        <v>1</v>
      </c>
      <c r="T111" t="str">
        <f>"Update Collaborator Set Organisation = '"&amp;J111&amp;"' where User_ID = '"&amp;B111&amp;"'; "</f>
        <v xml:space="preserve">Update Collaborator Set Organisation = 'University of Nottingham' where User_ID = 'CU00110'; </v>
      </c>
      <c r="U111" t="str">
        <f>"Update dcollab.collab_user Set Pi = True where User_ID = '"&amp;A111&amp;"'; "</f>
        <v xml:space="preserve">Update dcollab.collab_user Set Pi = True where User_ID = 'CUSR00134'; </v>
      </c>
    </row>
    <row r="112" spans="1:21">
      <c r="A112" t="s">
        <v>9724</v>
      </c>
      <c r="B112" t="s">
        <v>3856</v>
      </c>
      <c r="D112" t="s">
        <v>3671</v>
      </c>
      <c r="E112" t="s">
        <v>60</v>
      </c>
      <c r="F112" t="s">
        <v>167</v>
      </c>
      <c r="G112" t="s">
        <v>3857</v>
      </c>
      <c r="H112">
        <f t="shared" si="1"/>
        <v>1</v>
      </c>
      <c r="J112" t="s">
        <v>3123</v>
      </c>
      <c r="K112" t="str">
        <f>VLOOKUP(J112,Organisation!$A$2:$C$499,3,FALSE)</f>
        <v>CORG00259</v>
      </c>
      <c r="L112" t="str">
        <f>VLOOKUP(J112,Organisation!$A$2:$E$499,4,FALSE)</f>
        <v>Academic</v>
      </c>
      <c r="M112" t="s">
        <v>170</v>
      </c>
      <c r="N112" t="s">
        <v>3858</v>
      </c>
      <c r="O112" t="s">
        <v>269</v>
      </c>
      <c r="P112" s="3" t="s">
        <v>3859</v>
      </c>
      <c r="Q112" t="s">
        <v>3860</v>
      </c>
      <c r="S112" s="1">
        <v>1</v>
      </c>
      <c r="T112" t="str">
        <f>"Update Collaborator Set Organisation = '"&amp;J112&amp;"' where User_ID = '"&amp;B112&amp;"'; "</f>
        <v xml:space="preserve">Update Collaborator Set Organisation = 'University of Nottingham' where User_ID = 'CU00111'; </v>
      </c>
    </row>
    <row r="113" spans="1:21">
      <c r="A113" t="s">
        <v>9725</v>
      </c>
      <c r="B113" t="s">
        <v>3670</v>
      </c>
      <c r="C113" t="s">
        <v>10540</v>
      </c>
      <c r="D113" t="s">
        <v>3671</v>
      </c>
      <c r="E113" t="s">
        <v>41</v>
      </c>
      <c r="F113" t="s">
        <v>3672</v>
      </c>
      <c r="G113" t="s">
        <v>3673</v>
      </c>
      <c r="H113">
        <f t="shared" si="1"/>
        <v>1</v>
      </c>
      <c r="I113" t="s">
        <v>3674</v>
      </c>
      <c r="J113" t="s">
        <v>3123</v>
      </c>
      <c r="K113" t="str">
        <f>VLOOKUP(J113,Organisation!$A$2:$C$499,3,FALSE)</f>
        <v>CORG00259</v>
      </c>
      <c r="L113" t="str">
        <f>VLOOKUP(J113,Organisation!$A$2:$E$499,4,FALSE)</f>
        <v>Academic</v>
      </c>
      <c r="M113" t="s">
        <v>170</v>
      </c>
      <c r="N113" t="s">
        <v>3675</v>
      </c>
      <c r="O113" t="s">
        <v>269</v>
      </c>
      <c r="P113" s="3" t="s">
        <v>3676</v>
      </c>
      <c r="Q113" t="s">
        <v>3677</v>
      </c>
      <c r="S113" s="1">
        <v>1</v>
      </c>
      <c r="T113" t="str">
        <f>"Update Collaborator Set Organisation = '"&amp;J113&amp;"' where User_ID = '"&amp;B113&amp;"'; "</f>
        <v xml:space="preserve">Update Collaborator Set Organisation = 'University of Nottingham' where User_ID = 'CU00112'; </v>
      </c>
      <c r="U113" t="str">
        <f>"Update dcollab.collab_user Set Pi = True where User_ID = '"&amp;A113&amp;"'; "</f>
        <v xml:space="preserve">Update dcollab.collab_user Set Pi = True where User_ID = 'CUSR00137'; </v>
      </c>
    </row>
    <row r="114" spans="1:21">
      <c r="A114" t="s">
        <v>9726</v>
      </c>
      <c r="B114" t="s">
        <v>4313</v>
      </c>
      <c r="C114" t="s">
        <v>10540</v>
      </c>
      <c r="D114" t="s">
        <v>4314</v>
      </c>
      <c r="E114" t="s">
        <v>60</v>
      </c>
      <c r="F114" t="s">
        <v>248</v>
      </c>
      <c r="G114" t="s">
        <v>4315</v>
      </c>
      <c r="H114">
        <f t="shared" si="1"/>
        <v>1</v>
      </c>
      <c r="J114" t="s">
        <v>389</v>
      </c>
      <c r="K114" t="str">
        <f>VLOOKUP(J114,Organisation!$A$2:$C$499,3,FALSE)</f>
        <v>CORG00271</v>
      </c>
      <c r="L114" t="str">
        <f>VLOOKUP(J114,Organisation!$A$2:$E$499,4,FALSE)</f>
        <v>Academic</v>
      </c>
      <c r="M114" t="s">
        <v>170</v>
      </c>
      <c r="N114" t="s">
        <v>4316</v>
      </c>
      <c r="O114" t="s">
        <v>14</v>
      </c>
      <c r="P114" s="3" t="s">
        <v>4317</v>
      </c>
      <c r="Q114" t="s">
        <v>4318</v>
      </c>
      <c r="S114" s="1">
        <v>1</v>
      </c>
      <c r="T114" t="str">
        <f>"Update Collaborator Set Organisation = '"&amp;J114&amp;"' where User_ID = '"&amp;B114&amp;"'; "</f>
        <v xml:space="preserve">Update Collaborator Set Organisation = 'University of Sydney' where User_ID = 'CU00113'; </v>
      </c>
      <c r="U114" t="str">
        <f>"Update dcollab.collab_user Set Pi = True where User_ID = '"&amp;A114&amp;"'; "</f>
        <v xml:space="preserve">Update dcollab.collab_user Set Pi = True where User_ID = 'CUSR00138'; </v>
      </c>
    </row>
    <row r="115" spans="1:21">
      <c r="A115" t="s">
        <v>9727</v>
      </c>
      <c r="B115" t="s">
        <v>2512</v>
      </c>
      <c r="D115" t="s">
        <v>2251</v>
      </c>
      <c r="E115" t="s">
        <v>110</v>
      </c>
      <c r="F115" t="s">
        <v>2281</v>
      </c>
      <c r="G115" t="s">
        <v>2513</v>
      </c>
      <c r="H115">
        <f t="shared" si="1"/>
        <v>1</v>
      </c>
      <c r="J115" t="s">
        <v>2253</v>
      </c>
      <c r="K115" t="str">
        <f>VLOOKUP(J115,Organisation!$A$2:$C$499,3,FALSE)</f>
        <v>CORG00241</v>
      </c>
      <c r="L115" t="str">
        <f>VLOOKUP(J115,Organisation!$A$2:$E$499,4,FALSE)</f>
        <v>Academic</v>
      </c>
      <c r="M115" t="s">
        <v>170</v>
      </c>
      <c r="N115" t="s">
        <v>2254</v>
      </c>
      <c r="O115" t="s">
        <v>269</v>
      </c>
      <c r="P115" s="3" t="s">
        <v>2255</v>
      </c>
      <c r="Q115" t="s">
        <v>2514</v>
      </c>
      <c r="S115" s="1">
        <v>0</v>
      </c>
      <c r="T115" t="str">
        <f>"Update Collaborator Set Organisation = '"&amp;J115&amp;"' where User_ID = '"&amp;B115&amp;"'; "</f>
        <v xml:space="preserve">Update Collaborator Set Organisation = 'University of Manchester' where User_ID = 'CU00114'; </v>
      </c>
    </row>
    <row r="116" spans="1:21">
      <c r="A116" t="s">
        <v>9728</v>
      </c>
      <c r="B116" t="s">
        <v>2250</v>
      </c>
      <c r="C116" t="s">
        <v>10540</v>
      </c>
      <c r="D116" t="s">
        <v>2251</v>
      </c>
      <c r="E116" t="s">
        <v>41</v>
      </c>
      <c r="F116" t="s">
        <v>1639</v>
      </c>
      <c r="G116" t="s">
        <v>2252</v>
      </c>
      <c r="H116">
        <f t="shared" si="1"/>
        <v>1</v>
      </c>
      <c r="J116" t="s">
        <v>2253</v>
      </c>
      <c r="K116" t="str">
        <f>VLOOKUP(J116,Organisation!$A$2:$C$499,3,FALSE)</f>
        <v>CORG00241</v>
      </c>
      <c r="L116" t="str">
        <f>VLOOKUP(J116,Organisation!$A$2:$E$499,4,FALSE)</f>
        <v>Academic</v>
      </c>
      <c r="M116" t="s">
        <v>170</v>
      </c>
      <c r="N116" t="s">
        <v>2254</v>
      </c>
      <c r="O116" t="s">
        <v>269</v>
      </c>
      <c r="P116" s="3" t="s">
        <v>2255</v>
      </c>
      <c r="Q116" t="s">
        <v>2256</v>
      </c>
      <c r="S116" s="1">
        <v>1</v>
      </c>
      <c r="T116" t="str">
        <f>"Update Collaborator Set Organisation = '"&amp;J116&amp;"' where User_ID = '"&amp;B116&amp;"'; "</f>
        <v xml:space="preserve">Update Collaborator Set Organisation = 'University of Manchester' where User_ID = 'CU00115'; </v>
      </c>
      <c r="U116" t="str">
        <f>"Update dcollab.collab_user Set Pi = True where User_ID = '"&amp;A116&amp;"'; "</f>
        <v xml:space="preserve">Update dcollab.collab_user Set Pi = True where User_ID = 'CUSR00140'; </v>
      </c>
    </row>
    <row r="117" spans="1:21">
      <c r="A117" t="s">
        <v>9729</v>
      </c>
      <c r="B117" t="s">
        <v>3245</v>
      </c>
      <c r="D117" t="s">
        <v>1887</v>
      </c>
      <c r="E117" t="s">
        <v>60</v>
      </c>
      <c r="F117" t="s">
        <v>3246</v>
      </c>
      <c r="G117" t="s">
        <v>3247</v>
      </c>
      <c r="H117">
        <f t="shared" si="1"/>
        <v>1</v>
      </c>
      <c r="J117" t="s">
        <v>1890</v>
      </c>
      <c r="K117" t="str">
        <f>VLOOKUP(J117,Organisation!$A$2:$C$499,3,FALSE)</f>
        <v>CORG00096</v>
      </c>
      <c r="L117" t="str">
        <f>VLOOKUP(J117,Organisation!$A$2:$E$499,4,FALSE)</f>
        <v>Academic</v>
      </c>
      <c r="M117" t="s">
        <v>1891</v>
      </c>
      <c r="N117" t="s">
        <v>3248</v>
      </c>
      <c r="O117" t="s">
        <v>1893</v>
      </c>
      <c r="P117" s="3" t="s">
        <v>1894</v>
      </c>
      <c r="Q117" t="s">
        <v>3249</v>
      </c>
      <c r="S117" s="1">
        <v>0</v>
      </c>
      <c r="T117" t="str">
        <f>"Update Collaborator Set Organisation = '"&amp;J117&amp;"' where User_ID = '"&amp;B117&amp;"'; "</f>
        <v xml:space="preserve">Update Collaborator Set Organisation = 'Karolinska Institute' where User_ID = 'CU00116'; </v>
      </c>
    </row>
    <row r="118" spans="1:21">
      <c r="A118" t="s">
        <v>9730</v>
      </c>
      <c r="B118" t="s">
        <v>2440</v>
      </c>
      <c r="C118" t="s">
        <v>10540</v>
      </c>
      <c r="D118" t="s">
        <v>1887</v>
      </c>
      <c r="E118" t="s">
        <v>60</v>
      </c>
      <c r="F118" t="s">
        <v>531</v>
      </c>
      <c r="G118" t="s">
        <v>2441</v>
      </c>
      <c r="H118">
        <f t="shared" si="1"/>
        <v>1</v>
      </c>
      <c r="J118" t="s">
        <v>1890</v>
      </c>
      <c r="K118" t="str">
        <f>VLOOKUP(J118,Organisation!$A$2:$C$499,3,FALSE)</f>
        <v>CORG00096</v>
      </c>
      <c r="L118" t="str">
        <f>VLOOKUP(J118,Organisation!$A$2:$E$499,4,FALSE)</f>
        <v>Academic</v>
      </c>
      <c r="M118" t="s">
        <v>1891</v>
      </c>
      <c r="N118" t="s">
        <v>1892</v>
      </c>
      <c r="O118" t="s">
        <v>1893</v>
      </c>
      <c r="P118" s="3" t="s">
        <v>1894</v>
      </c>
      <c r="Q118" t="s">
        <v>2442</v>
      </c>
      <c r="S118" s="1">
        <v>1</v>
      </c>
      <c r="T118" t="str">
        <f>"Update Collaborator Set Organisation = '"&amp;J118&amp;"' where User_ID = '"&amp;B118&amp;"'; "</f>
        <v xml:space="preserve">Update Collaborator Set Organisation = 'Karolinska Institute' where User_ID = 'CU00117'; </v>
      </c>
      <c r="U118" t="str">
        <f>"Update dcollab.collab_user Set Pi = True where User_ID = '"&amp;A118&amp;"'; "</f>
        <v xml:space="preserve">Update dcollab.collab_user Set Pi = True where User_ID = 'CUSR00142'; </v>
      </c>
    </row>
    <row r="119" spans="1:21">
      <c r="A119" t="s">
        <v>9731</v>
      </c>
      <c r="B119" t="s">
        <v>1886</v>
      </c>
      <c r="D119" t="s">
        <v>1887</v>
      </c>
      <c r="E119" t="s">
        <v>110</v>
      </c>
      <c r="F119" t="s">
        <v>1888</v>
      </c>
      <c r="G119" t="s">
        <v>1889</v>
      </c>
      <c r="H119">
        <f t="shared" si="1"/>
        <v>1</v>
      </c>
      <c r="J119" t="s">
        <v>1890</v>
      </c>
      <c r="K119" t="str">
        <f>VLOOKUP(J119,Organisation!$A$2:$C$499,3,FALSE)</f>
        <v>CORG00096</v>
      </c>
      <c r="L119" t="str">
        <f>VLOOKUP(J119,Organisation!$A$2:$E$499,4,FALSE)</f>
        <v>Academic</v>
      </c>
      <c r="M119" t="s">
        <v>1891</v>
      </c>
      <c r="N119" t="s">
        <v>1892</v>
      </c>
      <c r="O119" t="s">
        <v>1893</v>
      </c>
      <c r="P119" s="3" t="s">
        <v>1894</v>
      </c>
      <c r="Q119" t="s">
        <v>1895</v>
      </c>
      <c r="S119" s="1">
        <v>0</v>
      </c>
      <c r="T119" t="str">
        <f>"Update Collaborator Set Organisation = '"&amp;J119&amp;"' where User_ID = '"&amp;B119&amp;"'; "</f>
        <v xml:space="preserve">Update Collaborator Set Organisation = 'Karolinska Institute' where User_ID = 'CU00118'; </v>
      </c>
    </row>
    <row r="120" spans="1:21">
      <c r="A120" t="s">
        <v>9732</v>
      </c>
      <c r="B120" t="s">
        <v>2155</v>
      </c>
      <c r="C120" t="s">
        <v>10540</v>
      </c>
      <c r="D120" t="s">
        <v>769</v>
      </c>
      <c r="E120" t="s">
        <v>60</v>
      </c>
      <c r="F120" t="s">
        <v>2156</v>
      </c>
      <c r="G120" t="s">
        <v>2157</v>
      </c>
      <c r="H120">
        <f t="shared" si="1"/>
        <v>1</v>
      </c>
      <c r="I120" t="s">
        <v>516</v>
      </c>
      <c r="J120" t="s">
        <v>8760</v>
      </c>
      <c r="K120" t="str">
        <f>VLOOKUP(J120,Organisation!$A$2:$C$499,3,FALSE)</f>
        <v>CORG00071</v>
      </c>
      <c r="L120" t="str">
        <f>VLOOKUP(J120,Organisation!$A$2:$E$499,4,FALSE)</f>
        <v>Academic</v>
      </c>
      <c r="M120" t="s">
        <v>2158</v>
      </c>
      <c r="N120" t="s">
        <v>2159</v>
      </c>
      <c r="O120" t="s">
        <v>704</v>
      </c>
      <c r="P120" s="3" t="s">
        <v>2160</v>
      </c>
      <c r="Q120" t="s">
        <v>2161</v>
      </c>
      <c r="S120" s="1">
        <v>1</v>
      </c>
      <c r="T120" t="str">
        <f>"Update Collaborator Set Organisation = '"&amp;J120&amp;"' where User_ID = '"&amp;B120&amp;"'; "</f>
        <v xml:space="preserve">Update Collaborator Set Organisation = 'Hautes Etudes Ingénieur' where User_ID = 'CU00119'; </v>
      </c>
      <c r="U120" t="str">
        <f>"Update dcollab.collab_user Set Pi = True where User_ID = '"&amp;A120&amp;"'; "</f>
        <v xml:space="preserve">Update dcollab.collab_user Set Pi = True where User_ID = 'CUSR00144'; </v>
      </c>
    </row>
    <row r="121" spans="1:21">
      <c r="A121" t="s">
        <v>9735</v>
      </c>
      <c r="B121" t="s">
        <v>1171</v>
      </c>
      <c r="D121" t="s">
        <v>1172</v>
      </c>
      <c r="E121" t="s">
        <v>7</v>
      </c>
      <c r="F121" t="s">
        <v>1173</v>
      </c>
      <c r="G121" t="s">
        <v>1174</v>
      </c>
      <c r="H121">
        <f t="shared" si="1"/>
        <v>1</v>
      </c>
      <c r="J121" t="s">
        <v>362</v>
      </c>
      <c r="K121" t="str">
        <f>VLOOKUP(J121,Organisation!$A$2:$C$499,3,FALSE)</f>
        <v>CORG00001</v>
      </c>
      <c r="L121" t="str">
        <f>VLOOKUP(J121,Organisation!$A$2:$E$499,4,FALSE)</f>
        <v>Academic</v>
      </c>
      <c r="M121" t="s">
        <v>416</v>
      </c>
      <c r="N121" t="s">
        <v>1175</v>
      </c>
      <c r="O121" t="s">
        <v>14</v>
      </c>
      <c r="P121" s="3" t="s">
        <v>1176</v>
      </c>
      <c r="Q121" t="s">
        <v>1177</v>
      </c>
      <c r="S121" s="1">
        <v>1</v>
      </c>
      <c r="T121" t="str">
        <f>"Update Collaborator Set Organisation = '"&amp;J121&amp;"' where User_ID = '"&amp;B121&amp;"'; "</f>
        <v xml:space="preserve">Update Collaborator Set Organisation = 'University of Queensland' where User_ID = 'CU00120'; </v>
      </c>
    </row>
    <row r="122" spans="1:21">
      <c r="A122" t="s">
        <v>9736</v>
      </c>
      <c r="B122" t="s">
        <v>1361</v>
      </c>
      <c r="C122" t="s">
        <v>10540</v>
      </c>
      <c r="D122" t="s">
        <v>1172</v>
      </c>
      <c r="E122" t="s">
        <v>41</v>
      </c>
      <c r="F122" t="s">
        <v>217</v>
      </c>
      <c r="G122" t="s">
        <v>1362</v>
      </c>
      <c r="H122">
        <f t="shared" si="1"/>
        <v>1</v>
      </c>
      <c r="I122" t="s">
        <v>516</v>
      </c>
      <c r="J122" t="s">
        <v>362</v>
      </c>
      <c r="K122" t="str">
        <f>VLOOKUP(J122,Organisation!$A$2:$C$499,3,FALSE)</f>
        <v>CORG00001</v>
      </c>
      <c r="L122" t="str">
        <f>VLOOKUP(J122,Organisation!$A$2:$E$499,4,FALSE)</f>
        <v>Academic</v>
      </c>
      <c r="M122" t="s">
        <v>416</v>
      </c>
      <c r="N122" t="s">
        <v>1363</v>
      </c>
      <c r="O122" t="s">
        <v>14</v>
      </c>
      <c r="P122" s="3" t="s">
        <v>1364</v>
      </c>
      <c r="Q122" t="s">
        <v>1365</v>
      </c>
      <c r="S122" s="1">
        <v>1</v>
      </c>
      <c r="T122" t="str">
        <f>"Update Collaborator Set Organisation = '"&amp;J122&amp;"' where User_ID = '"&amp;B122&amp;"'; "</f>
        <v xml:space="preserve">Update Collaborator Set Organisation = 'University of Queensland' where User_ID = 'CU00121'; </v>
      </c>
      <c r="U122" t="str">
        <f>"Update dcollab.collab_user Set Pi = True where User_ID = '"&amp;A122&amp;"'; "</f>
        <v xml:space="preserve">Update dcollab.collab_user Set Pi = True where User_ID = 'CUSR00148'; </v>
      </c>
    </row>
    <row r="123" spans="1:21">
      <c r="A123" t="s">
        <v>9739</v>
      </c>
      <c r="B123" t="s">
        <v>2142</v>
      </c>
      <c r="C123" t="s">
        <v>10540</v>
      </c>
      <c r="D123" t="s">
        <v>2143</v>
      </c>
      <c r="E123" t="s">
        <v>60</v>
      </c>
      <c r="F123" t="s">
        <v>2144</v>
      </c>
      <c r="G123" t="s">
        <v>2145</v>
      </c>
      <c r="H123">
        <f t="shared" si="1"/>
        <v>1</v>
      </c>
      <c r="I123" t="s">
        <v>71</v>
      </c>
      <c r="J123" t="s">
        <v>2146</v>
      </c>
      <c r="K123" t="str">
        <f>VLOOKUP(J123,Organisation!$A$2:$C$499,3,FALSE)</f>
        <v>CORG00120</v>
      </c>
      <c r="L123" t="str">
        <f>VLOOKUP(J123,Organisation!$A$2:$E$499,4,FALSE)</f>
        <v>Academic</v>
      </c>
      <c r="M123" t="s">
        <v>84</v>
      </c>
      <c r="N123" t="s">
        <v>2147</v>
      </c>
      <c r="O123" t="s">
        <v>75</v>
      </c>
      <c r="P123" s="3" t="s">
        <v>2148</v>
      </c>
      <c r="Q123" t="s">
        <v>2149</v>
      </c>
      <c r="S123" s="1">
        <v>1</v>
      </c>
      <c r="T123" t="str">
        <f>"Update Collaborator Set Organisation = '"&amp;J123&amp;"' where User_ID = '"&amp;B123&amp;"'; "</f>
        <v xml:space="preserve">Update Collaborator Set Organisation = 'Memorial University of Newfoundland' where User_ID = 'CU00122'; </v>
      </c>
      <c r="U123" t="str">
        <f>"Update dcollab.collab_user Set Pi = True where User_ID = '"&amp;A123&amp;"'; "</f>
        <v xml:space="preserve">Update dcollab.collab_user Set Pi = True where User_ID = 'CUSR00151'; </v>
      </c>
    </row>
    <row r="124" spans="1:21">
      <c r="A124" t="s">
        <v>9740</v>
      </c>
      <c r="B124" t="s">
        <v>47</v>
      </c>
      <c r="C124" t="s">
        <v>10540</v>
      </c>
      <c r="D124" t="s">
        <v>48</v>
      </c>
      <c r="E124" t="s">
        <v>41</v>
      </c>
      <c r="F124" t="s">
        <v>49</v>
      </c>
      <c r="G124" t="s">
        <v>50</v>
      </c>
      <c r="H124">
        <f t="shared" si="1"/>
        <v>1</v>
      </c>
      <c r="I124" t="s">
        <v>51</v>
      </c>
      <c r="J124" t="s">
        <v>52</v>
      </c>
      <c r="K124" t="str">
        <f>VLOOKUP(J124,Organisation!$A$2:$C$499,3,FALSE)</f>
        <v>CORG00064</v>
      </c>
      <c r="L124" t="str">
        <f>VLOOKUP(J124,Organisation!$A$2:$E$499,4,FALSE)</f>
        <v>Academic</v>
      </c>
      <c r="M124" t="s">
        <v>53</v>
      </c>
      <c r="N124" t="s">
        <v>54</v>
      </c>
      <c r="O124" t="s">
        <v>55</v>
      </c>
      <c r="P124" s="3" t="s">
        <v>56</v>
      </c>
      <c r="Q124" t="s">
        <v>57</v>
      </c>
      <c r="S124" s="1">
        <v>1</v>
      </c>
      <c r="T124" t="str">
        <f>"Update Collaborator Set Organisation = '"&amp;J124&amp;"' where User_ID = '"&amp;B124&amp;"'; "</f>
        <v xml:space="preserve">Update Collaborator Set Organisation = 'German University in Cairo' where User_ID = 'CU00123'; </v>
      </c>
      <c r="U124" t="str">
        <f>"Update dcollab.collab_user Set Pi = True where User_ID = '"&amp;A124&amp;"'; "</f>
        <v xml:space="preserve">Update dcollab.collab_user Set Pi = True where User_ID = 'CUSR00152'; </v>
      </c>
    </row>
    <row r="125" spans="1:21">
      <c r="A125" t="s">
        <v>9742</v>
      </c>
      <c r="B125" t="s">
        <v>1070</v>
      </c>
      <c r="D125" t="s">
        <v>820</v>
      </c>
      <c r="E125" t="s">
        <v>60</v>
      </c>
      <c r="F125" t="s">
        <v>1071</v>
      </c>
      <c r="G125" t="s">
        <v>1072</v>
      </c>
      <c r="H125">
        <f t="shared" si="1"/>
        <v>1</v>
      </c>
      <c r="I125" t="s">
        <v>1073</v>
      </c>
      <c r="J125" t="s">
        <v>823</v>
      </c>
      <c r="K125" t="str">
        <f>VLOOKUP(J125,Organisation!$A$2:$C$499,3,FALSE)</f>
        <v>CORG00054</v>
      </c>
      <c r="L125" t="str">
        <f>VLOOKUP(J125,Organisation!$A$2:$E$499,4,FALSE)</f>
        <v>Academic</v>
      </c>
      <c r="M125" t="s">
        <v>824</v>
      </c>
      <c r="N125" t="s">
        <v>825</v>
      </c>
      <c r="O125" t="s">
        <v>253</v>
      </c>
      <c r="P125" s="3" t="s">
        <v>1074</v>
      </c>
      <c r="Q125" t="s">
        <v>1075</v>
      </c>
      <c r="S125" s="1">
        <v>0</v>
      </c>
      <c r="T125" t="str">
        <f>"Update Collaborator Set Organisation = '"&amp;J125&amp;"' where User_ID = '"&amp;B125&amp;"'; "</f>
        <v xml:space="preserve">Update Collaborator Set Organisation = 'ETH Zurich' where User_ID = 'CU00124'; </v>
      </c>
    </row>
    <row r="126" spans="1:21">
      <c r="A126" t="s">
        <v>9743</v>
      </c>
      <c r="B126" t="s">
        <v>819</v>
      </c>
      <c r="C126" t="s">
        <v>10540</v>
      </c>
      <c r="D126" t="s">
        <v>820</v>
      </c>
      <c r="E126" t="s">
        <v>60</v>
      </c>
      <c r="F126" t="s">
        <v>821</v>
      </c>
      <c r="G126" t="s">
        <v>822</v>
      </c>
      <c r="H126">
        <f t="shared" si="1"/>
        <v>1</v>
      </c>
      <c r="I126" t="s">
        <v>71</v>
      </c>
      <c r="J126" t="s">
        <v>823</v>
      </c>
      <c r="K126" t="str">
        <f>VLOOKUP(J126,Organisation!$A$2:$C$499,3,FALSE)</f>
        <v>CORG00054</v>
      </c>
      <c r="L126" t="str">
        <f>VLOOKUP(J126,Organisation!$A$2:$E$499,4,FALSE)</f>
        <v>Academic</v>
      </c>
      <c r="M126" t="s">
        <v>824</v>
      </c>
      <c r="N126" t="s">
        <v>825</v>
      </c>
      <c r="O126" t="s">
        <v>253</v>
      </c>
      <c r="P126" s="3" t="s">
        <v>826</v>
      </c>
      <c r="Q126" t="s">
        <v>827</v>
      </c>
      <c r="S126" s="1">
        <v>1</v>
      </c>
      <c r="T126" t="str">
        <f>"Update Collaborator Set Organisation = '"&amp;J126&amp;"' where User_ID = '"&amp;B126&amp;"'; "</f>
        <v xml:space="preserve">Update Collaborator Set Organisation = 'ETH Zurich' where User_ID = 'CU00125'; </v>
      </c>
      <c r="U126" t="str">
        <f>"Update dcollab.collab_user Set Pi = True where User_ID = '"&amp;A126&amp;"'; "</f>
        <v xml:space="preserve">Update dcollab.collab_user Set Pi = True where User_ID = 'CUSR00155'; </v>
      </c>
    </row>
    <row r="127" spans="1:21">
      <c r="A127" t="s">
        <v>9744</v>
      </c>
      <c r="B127" t="s">
        <v>940</v>
      </c>
      <c r="D127" t="s">
        <v>941</v>
      </c>
      <c r="E127" t="s">
        <v>60</v>
      </c>
      <c r="F127" t="s">
        <v>942</v>
      </c>
      <c r="G127" t="s">
        <v>936</v>
      </c>
      <c r="H127">
        <f t="shared" si="1"/>
        <v>2</v>
      </c>
      <c r="I127" t="s">
        <v>498</v>
      </c>
      <c r="J127" t="s">
        <v>943</v>
      </c>
      <c r="K127" t="str">
        <f>VLOOKUP(J127,Organisation!$A$2:$C$499,3,FALSE)</f>
        <v>CORG00022</v>
      </c>
      <c r="L127" t="str">
        <f>VLOOKUP(J127,Organisation!$A$2:$E$499,4,FALSE)</f>
        <v>Academic</v>
      </c>
      <c r="M127" t="s">
        <v>944</v>
      </c>
      <c r="N127" t="s">
        <v>945</v>
      </c>
      <c r="O127" t="s">
        <v>8808</v>
      </c>
      <c r="P127" s="3" t="s">
        <v>946</v>
      </c>
      <c r="Q127" t="s">
        <v>947</v>
      </c>
      <c r="S127" s="1">
        <v>1</v>
      </c>
      <c r="T127" t="str">
        <f>"Update Collaborator Set Organisation = '"&amp;J127&amp;"' where User_ID = '"&amp;B127&amp;"'; "</f>
        <v xml:space="preserve">Update Collaborator Set Organisation = 'Boston University' where User_ID = 'CU00126'; </v>
      </c>
    </row>
    <row r="128" spans="1:21">
      <c r="A128" t="s">
        <v>9745</v>
      </c>
      <c r="B128" t="s">
        <v>4831</v>
      </c>
      <c r="C128" t="s">
        <v>10540</v>
      </c>
      <c r="D128" t="s">
        <v>941</v>
      </c>
      <c r="E128" t="s">
        <v>41</v>
      </c>
      <c r="F128" t="s">
        <v>2561</v>
      </c>
      <c r="G128" t="s">
        <v>4832</v>
      </c>
      <c r="H128">
        <f t="shared" si="1"/>
        <v>1</v>
      </c>
      <c r="I128" t="s">
        <v>71</v>
      </c>
      <c r="J128" t="s">
        <v>943</v>
      </c>
      <c r="K128" t="str">
        <f>VLOOKUP(J128,Organisation!$A$2:$C$499,3,FALSE)</f>
        <v>CORG00022</v>
      </c>
      <c r="L128" t="str">
        <f>VLOOKUP(J128,Organisation!$A$2:$E$499,4,FALSE)</f>
        <v>Academic</v>
      </c>
      <c r="M128" t="s">
        <v>944</v>
      </c>
      <c r="N128" t="s">
        <v>945</v>
      </c>
      <c r="O128" t="s">
        <v>8808</v>
      </c>
      <c r="P128" s="3" t="s">
        <v>4833</v>
      </c>
      <c r="Q128" t="s">
        <v>4834</v>
      </c>
      <c r="S128" s="1">
        <v>1</v>
      </c>
      <c r="T128" t="str">
        <f>"Update Collaborator Set Organisation = '"&amp;J128&amp;"' where User_ID = '"&amp;B128&amp;"'; "</f>
        <v xml:space="preserve">Update Collaborator Set Organisation = 'Boston University' where User_ID = 'CU00127'; </v>
      </c>
      <c r="U128" t="str">
        <f>"Update dcollab.collab_user Set Pi = True where User_ID = '"&amp;A128&amp;"'; "</f>
        <v xml:space="preserve">Update dcollab.collab_user Set Pi = True where User_ID = 'CUSR00157'; </v>
      </c>
    </row>
    <row r="129" spans="1:21">
      <c r="A129" t="s">
        <v>9746</v>
      </c>
      <c r="B129" t="s">
        <v>852</v>
      </c>
      <c r="C129" t="s">
        <v>10540</v>
      </c>
      <c r="D129" t="s">
        <v>853</v>
      </c>
      <c r="E129" t="s">
        <v>41</v>
      </c>
      <c r="F129" t="s">
        <v>854</v>
      </c>
      <c r="G129" t="s">
        <v>855</v>
      </c>
      <c r="H129">
        <f t="shared" si="1"/>
        <v>1</v>
      </c>
      <c r="I129" t="s">
        <v>856</v>
      </c>
      <c r="J129" t="s">
        <v>857</v>
      </c>
      <c r="K129" t="str">
        <f>VLOOKUP(J129,Organisation!$A$2:$C$499,3,FALSE)</f>
        <v>CORG00166</v>
      </c>
      <c r="L129" t="str">
        <f>VLOOKUP(J129,Organisation!$A$2:$E$499,4,FALSE)</f>
        <v>Academic</v>
      </c>
      <c r="M129" t="s">
        <v>84</v>
      </c>
      <c r="N129" t="s">
        <v>858</v>
      </c>
      <c r="O129" t="s">
        <v>557</v>
      </c>
      <c r="P129" s="3" t="s">
        <v>859</v>
      </c>
      <c r="Q129" t="s">
        <v>860</v>
      </c>
      <c r="S129" s="1">
        <v>1</v>
      </c>
      <c r="T129" t="str">
        <f>"Update Collaborator Set Organisation = '"&amp;J129&amp;"' where User_ID = '"&amp;B129&amp;"'; "</f>
        <v xml:space="preserve">Update Collaborator Set Organisation = 'RWTH Aachen University' where User_ID = 'CU00128'; </v>
      </c>
      <c r="U129" t="str">
        <f>"Update dcollab.collab_user Set Pi = True where User_ID = '"&amp;A129&amp;"'; "</f>
        <v xml:space="preserve">Update dcollab.collab_user Set Pi = True where User_ID = 'CUSR00158'; </v>
      </c>
    </row>
    <row r="130" spans="1:21">
      <c r="A130" t="s">
        <v>9747</v>
      </c>
      <c r="B130" t="s">
        <v>2898</v>
      </c>
      <c r="C130" t="s">
        <v>10540</v>
      </c>
      <c r="D130" t="s">
        <v>2899</v>
      </c>
      <c r="E130" t="s">
        <v>7</v>
      </c>
      <c r="F130" t="s">
        <v>2900</v>
      </c>
      <c r="G130" t="s">
        <v>2901</v>
      </c>
      <c r="H130">
        <f t="shared" ref="H130:H193" si="2">COUNTIF($G$2:$G$900,G130)</f>
        <v>1</v>
      </c>
      <c r="J130" t="s">
        <v>362</v>
      </c>
      <c r="K130" t="str">
        <f>VLOOKUP(J130,Organisation!$A$2:$C$499,3,FALSE)</f>
        <v>CORG00001</v>
      </c>
      <c r="L130" t="str">
        <f>VLOOKUP(J130,Organisation!$A$2:$E$499,4,FALSE)</f>
        <v>Academic</v>
      </c>
      <c r="M130" t="s">
        <v>2902</v>
      </c>
      <c r="N130" t="s">
        <v>2903</v>
      </c>
      <c r="O130" t="s">
        <v>14</v>
      </c>
      <c r="P130" s="3" t="s">
        <v>2904</v>
      </c>
      <c r="Q130" t="s">
        <v>2905</v>
      </c>
      <c r="S130" s="1">
        <v>1</v>
      </c>
      <c r="T130" t="str">
        <f>"Update Collaborator Set Organisation = '"&amp;J130&amp;"' where User_ID = '"&amp;B130&amp;"'; "</f>
        <v xml:space="preserve">Update Collaborator Set Organisation = 'University of Queensland' where User_ID = 'CU00129'; </v>
      </c>
      <c r="U130" t="str">
        <f>"Update dcollab.collab_user Set Pi = True where User_ID = '"&amp;A130&amp;"'; "</f>
        <v xml:space="preserve">Update dcollab.collab_user Set Pi = True where User_ID = 'CUSR00159'; </v>
      </c>
    </row>
    <row r="131" spans="1:21">
      <c r="A131" t="s">
        <v>9748</v>
      </c>
      <c r="B131" t="s">
        <v>2126</v>
      </c>
      <c r="C131" t="s">
        <v>10540</v>
      </c>
      <c r="D131" t="s">
        <v>2127</v>
      </c>
      <c r="E131" t="s">
        <v>60</v>
      </c>
      <c r="F131" t="s">
        <v>2128</v>
      </c>
      <c r="G131" t="s">
        <v>2129</v>
      </c>
      <c r="H131">
        <f t="shared" si="2"/>
        <v>1</v>
      </c>
      <c r="I131" t="s">
        <v>190</v>
      </c>
      <c r="J131" t="s">
        <v>2130</v>
      </c>
      <c r="K131" t="str">
        <f>VLOOKUP(J131,Organisation!$A$2:$C$499,3,FALSE)</f>
        <v>CORG00267</v>
      </c>
      <c r="L131" t="str">
        <f>VLOOKUP(J131,Organisation!$A$2:$E$499,4,FALSE)</f>
        <v>Academic</v>
      </c>
      <c r="M131" t="s">
        <v>2131</v>
      </c>
      <c r="N131" t="s">
        <v>2132</v>
      </c>
      <c r="O131" t="s">
        <v>355</v>
      </c>
      <c r="P131" s="3" t="s">
        <v>2133</v>
      </c>
      <c r="Q131" t="s">
        <v>2134</v>
      </c>
      <c r="S131" s="1">
        <v>1</v>
      </c>
      <c r="T131" t="str">
        <f>"Update Collaborator Set Organisation = '"&amp;J131&amp;"' where User_ID = '"&amp;B131&amp;"'; "</f>
        <v xml:space="preserve">Update Collaborator Set Organisation = 'University of Siena' where User_ID = 'CU00130'; </v>
      </c>
      <c r="U131" t="str">
        <f>"Update dcollab.collab_user Set Pi = True where User_ID = '"&amp;A131&amp;"'; "</f>
        <v xml:space="preserve">Update dcollab.collab_user Set Pi = True where User_ID = 'CUSR00160'; </v>
      </c>
    </row>
    <row r="132" spans="1:21">
      <c r="A132" t="s">
        <v>9749</v>
      </c>
      <c r="B132" t="s">
        <v>3468</v>
      </c>
      <c r="C132" t="s">
        <v>10540</v>
      </c>
      <c r="D132" t="s">
        <v>3469</v>
      </c>
      <c r="E132" t="s">
        <v>41</v>
      </c>
      <c r="F132" t="s">
        <v>3470</v>
      </c>
      <c r="G132" t="s">
        <v>3471</v>
      </c>
      <c r="H132">
        <f t="shared" si="2"/>
        <v>1</v>
      </c>
      <c r="I132" t="s">
        <v>681</v>
      </c>
      <c r="J132" t="s">
        <v>3164</v>
      </c>
      <c r="K132" t="str">
        <f>VLOOKUP(J132,Organisation!$A$2:$C$499,3,FALSE)</f>
        <v>CORG00203</v>
      </c>
      <c r="L132" t="str">
        <f>VLOOKUP(J132,Organisation!$A$2:$E$499,4,FALSE)</f>
        <v>Academic</v>
      </c>
      <c r="M132" t="s">
        <v>3472</v>
      </c>
      <c r="N132" t="s">
        <v>3473</v>
      </c>
      <c r="O132" t="s">
        <v>75</v>
      </c>
      <c r="P132" s="3" t="s">
        <v>3474</v>
      </c>
      <c r="Q132" t="s">
        <v>3475</v>
      </c>
      <c r="S132" s="1">
        <v>1</v>
      </c>
      <c r="T132" t="str">
        <f>"Update Collaborator Set Organisation = '"&amp;J132&amp;"' where User_ID = '"&amp;B132&amp;"'; "</f>
        <v xml:space="preserve">Update Collaborator Set Organisation = 'Université de Sherbrooke' where User_ID = 'CU00131'; </v>
      </c>
      <c r="U132" t="str">
        <f>"Update dcollab.collab_user Set Pi = True where User_ID = '"&amp;A132&amp;"'; "</f>
        <v xml:space="preserve">Update dcollab.collab_user Set Pi = True where User_ID = 'CUSR00161'; </v>
      </c>
    </row>
    <row r="133" spans="1:21">
      <c r="A133" t="s">
        <v>9750</v>
      </c>
      <c r="B133" t="s">
        <v>5125</v>
      </c>
      <c r="D133" t="s">
        <v>3469</v>
      </c>
      <c r="E133" t="s">
        <v>110</v>
      </c>
      <c r="F133" t="s">
        <v>5126</v>
      </c>
      <c r="G133" t="s">
        <v>5127</v>
      </c>
      <c r="H133">
        <f t="shared" si="2"/>
        <v>1</v>
      </c>
      <c r="I133" t="s">
        <v>5128</v>
      </c>
      <c r="J133" t="s">
        <v>3164</v>
      </c>
      <c r="K133" t="str">
        <f>VLOOKUP(J133,Organisation!$A$2:$C$499,3,FALSE)</f>
        <v>CORG00203</v>
      </c>
      <c r="L133" t="str">
        <f>VLOOKUP(J133,Organisation!$A$2:$E$499,4,FALSE)</f>
        <v>Academic</v>
      </c>
      <c r="M133" t="s">
        <v>3472</v>
      </c>
      <c r="O133" t="s">
        <v>75</v>
      </c>
      <c r="Q133" t="s">
        <v>5129</v>
      </c>
      <c r="S133" s="1">
        <v>1</v>
      </c>
      <c r="T133" t="str">
        <f>"Update Collaborator Set Organisation = '"&amp;J133&amp;"' where User_ID = '"&amp;B133&amp;"'; "</f>
        <v xml:space="preserve">Update Collaborator Set Organisation = 'Université de Sherbrooke' where User_ID = 'CU00132'; </v>
      </c>
    </row>
    <row r="134" spans="1:21">
      <c r="A134" t="s">
        <v>9751</v>
      </c>
      <c r="B134" t="s">
        <v>3476</v>
      </c>
      <c r="C134" t="s">
        <v>10540</v>
      </c>
      <c r="D134" t="s">
        <v>3477</v>
      </c>
      <c r="E134" t="s">
        <v>41</v>
      </c>
      <c r="F134" t="s">
        <v>3478</v>
      </c>
      <c r="G134" t="s">
        <v>3479</v>
      </c>
      <c r="H134">
        <f t="shared" si="2"/>
        <v>1</v>
      </c>
      <c r="J134" t="s">
        <v>3480</v>
      </c>
      <c r="K134" t="str">
        <f>VLOOKUP(J134,Organisation!$A$2:$C$499,3,FALSE)</f>
        <v>CORG00305</v>
      </c>
      <c r="L134" t="str">
        <f>VLOOKUP(J134,Organisation!$A$2:$E$499,4,FALSE)</f>
        <v>Academic</v>
      </c>
      <c r="M134" t="s">
        <v>3481</v>
      </c>
      <c r="N134" t="s">
        <v>3482</v>
      </c>
      <c r="O134" t="s">
        <v>8808</v>
      </c>
      <c r="P134" s="3" t="s">
        <v>3483</v>
      </c>
      <c r="Q134" t="s">
        <v>3484</v>
      </c>
      <c r="S134" s="1">
        <v>1</v>
      </c>
      <c r="T134" t="str">
        <f>"Update Collaborator Set Organisation = '"&amp;J134&amp;"' where User_ID = '"&amp;B134&amp;"'; "</f>
        <v xml:space="preserve">Update Collaborator Set Organisation = 'Washington University in Saint Louis' where User_ID = 'CU00133'; </v>
      </c>
      <c r="U134" t="str">
        <f>"Update dcollab.collab_user Set Pi = True where User_ID = '"&amp;A134&amp;"'; "</f>
        <v xml:space="preserve">Update dcollab.collab_user Set Pi = True where User_ID = 'CUSR00163'; </v>
      </c>
    </row>
    <row r="135" spans="1:21">
      <c r="A135" t="s">
        <v>9752</v>
      </c>
      <c r="B135" t="s">
        <v>3782</v>
      </c>
      <c r="D135" t="s">
        <v>3477</v>
      </c>
      <c r="E135" t="s">
        <v>60</v>
      </c>
      <c r="F135" t="s">
        <v>3783</v>
      </c>
      <c r="G135" t="s">
        <v>3784</v>
      </c>
      <c r="H135">
        <f t="shared" si="2"/>
        <v>1</v>
      </c>
      <c r="J135" t="s">
        <v>3480</v>
      </c>
      <c r="K135" t="str">
        <f>VLOOKUP(J135,Organisation!$A$2:$C$499,3,FALSE)</f>
        <v>CORG00305</v>
      </c>
      <c r="L135" t="str">
        <f>VLOOKUP(J135,Organisation!$A$2:$E$499,4,FALSE)</f>
        <v>Academic</v>
      </c>
      <c r="M135" t="s">
        <v>3481</v>
      </c>
      <c r="N135" t="s">
        <v>3482</v>
      </c>
      <c r="O135" t="s">
        <v>8808</v>
      </c>
      <c r="P135" s="3" t="s">
        <v>3785</v>
      </c>
      <c r="Q135" t="s">
        <v>3786</v>
      </c>
      <c r="S135" s="1">
        <v>1</v>
      </c>
      <c r="T135" t="str">
        <f>"Update Collaborator Set Organisation = '"&amp;J135&amp;"' where User_ID = '"&amp;B135&amp;"'; "</f>
        <v xml:space="preserve">Update Collaborator Set Organisation = 'Washington University in Saint Louis' where User_ID = 'CU00134'; </v>
      </c>
    </row>
    <row r="136" spans="1:21">
      <c r="A136" t="s">
        <v>9753</v>
      </c>
      <c r="B136" t="s">
        <v>4877</v>
      </c>
      <c r="C136" t="s">
        <v>10540</v>
      </c>
      <c r="D136" t="s">
        <v>4878</v>
      </c>
      <c r="E136" t="s">
        <v>216</v>
      </c>
      <c r="F136" t="s">
        <v>3905</v>
      </c>
      <c r="G136" t="s">
        <v>4879</v>
      </c>
      <c r="H136">
        <f t="shared" si="2"/>
        <v>1</v>
      </c>
      <c r="I136" t="s">
        <v>4746</v>
      </c>
      <c r="J136" t="s">
        <v>4880</v>
      </c>
      <c r="K136" t="str">
        <f>VLOOKUP(J136,Organisation!$A$2:$C$499,3,FALSE)</f>
        <v>CORG00112</v>
      </c>
      <c r="L136" t="str">
        <f>VLOOKUP(J136,Organisation!$A$2:$E$499,4,FALSE)</f>
        <v>Academic</v>
      </c>
      <c r="M136" t="s">
        <v>4508</v>
      </c>
      <c r="N136" t="s">
        <v>4881</v>
      </c>
      <c r="O136" t="s">
        <v>8808</v>
      </c>
      <c r="P136" s="3" t="s">
        <v>4882</v>
      </c>
      <c r="Q136" t="s">
        <v>4883</v>
      </c>
      <c r="S136" s="1">
        <v>1</v>
      </c>
      <c r="T136" t="str">
        <f>"Update Collaborator Set Organisation = '"&amp;J136&amp;"' where User_ID = '"&amp;B136&amp;"'; "</f>
        <v xml:space="preserve">Update Collaborator Set Organisation = 'Marshall B. Ketchum University' where User_ID = 'CU00135'; </v>
      </c>
      <c r="U136" t="str">
        <f>"Update dcollab.collab_user Set Pi = True where User_ID = '"&amp;A136&amp;"'; "</f>
        <v xml:space="preserve">Update dcollab.collab_user Set Pi = True where User_ID = 'CUSR00165'; </v>
      </c>
    </row>
    <row r="137" spans="1:21">
      <c r="A137" t="s">
        <v>9754</v>
      </c>
      <c r="B137" t="s">
        <v>1221</v>
      </c>
      <c r="C137" t="s">
        <v>10540</v>
      </c>
      <c r="D137" t="s">
        <v>1222</v>
      </c>
      <c r="E137" t="s">
        <v>41</v>
      </c>
      <c r="F137" t="s">
        <v>579</v>
      </c>
      <c r="G137" t="s">
        <v>1223</v>
      </c>
      <c r="H137">
        <f t="shared" si="2"/>
        <v>2</v>
      </c>
      <c r="I137" t="s">
        <v>1224</v>
      </c>
      <c r="J137" t="s">
        <v>8745</v>
      </c>
      <c r="K137" t="str">
        <f>VLOOKUP(J137,Organisation!$A$2:$C$499,3,FALSE)</f>
        <v>CORG00254</v>
      </c>
      <c r="L137" t="str">
        <f>VLOOKUP(J137,Organisation!$A$2:$E$499,4,FALSE)</f>
        <v>Academic</v>
      </c>
      <c r="M137" t="s">
        <v>1226</v>
      </c>
      <c r="N137" t="s">
        <v>1227</v>
      </c>
      <c r="O137" t="s">
        <v>14</v>
      </c>
      <c r="P137" s="3" t="s">
        <v>1228</v>
      </c>
      <c r="Q137" t="s">
        <v>1229</v>
      </c>
      <c r="S137" s="1">
        <v>1</v>
      </c>
      <c r="T137" t="str">
        <f>"Update Collaborator Set Organisation = '"&amp;J137&amp;"' where User_ID = '"&amp;B137&amp;"'; "</f>
        <v xml:space="preserve">Update Collaborator Set Organisation = 'University of New South Wales, Australian Defence Force Academy' where User_ID = 'CU00136'; </v>
      </c>
      <c r="U137" t="str">
        <f>"Update dcollab.collab_user Set Pi = True where User_ID = '"&amp;A137&amp;"'; "</f>
        <v xml:space="preserve">Update dcollab.collab_user Set Pi = True where User_ID = 'CUSR00166'; </v>
      </c>
    </row>
    <row r="138" spans="1:21">
      <c r="A138" t="s">
        <v>9755</v>
      </c>
      <c r="B138" t="s">
        <v>1487</v>
      </c>
      <c r="C138" t="s">
        <v>10540</v>
      </c>
      <c r="D138" t="s">
        <v>1488</v>
      </c>
      <c r="E138" t="s">
        <v>60</v>
      </c>
      <c r="F138" t="s">
        <v>1489</v>
      </c>
      <c r="G138" t="s">
        <v>1490</v>
      </c>
      <c r="H138">
        <f t="shared" si="2"/>
        <v>1</v>
      </c>
      <c r="I138" t="s">
        <v>1491</v>
      </c>
      <c r="J138" t="s">
        <v>8745</v>
      </c>
      <c r="K138" t="str">
        <f>VLOOKUP(J138,Organisation!$A$2:$C$499,3,FALSE)</f>
        <v>CORG00254</v>
      </c>
      <c r="L138" t="str">
        <f>VLOOKUP(J138,Organisation!$A$2:$E$499,4,FALSE)</f>
        <v>Academic</v>
      </c>
      <c r="M138" t="s">
        <v>1492</v>
      </c>
      <c r="N138" t="s">
        <v>1493</v>
      </c>
      <c r="O138" t="s">
        <v>14</v>
      </c>
      <c r="P138" s="3" t="s">
        <v>1494</v>
      </c>
      <c r="Q138" t="s">
        <v>1495</v>
      </c>
      <c r="S138" s="1">
        <v>1</v>
      </c>
      <c r="T138" t="str">
        <f>"Update Collaborator Set Organisation = '"&amp;J138&amp;"' where User_ID = '"&amp;B138&amp;"'; "</f>
        <v xml:space="preserve">Update Collaborator Set Organisation = 'University of New South Wales, Australian Defence Force Academy' where User_ID = 'CU00137'; </v>
      </c>
      <c r="U138" t="str">
        <f>"Update dcollab.collab_user Set Pi = True where User_ID = '"&amp;A138&amp;"'; "</f>
        <v xml:space="preserve">Update dcollab.collab_user Set Pi = True where User_ID = 'CUSR00167'; </v>
      </c>
    </row>
    <row r="139" spans="1:21">
      <c r="A139" t="s">
        <v>9600</v>
      </c>
      <c r="B139" t="s">
        <v>2398</v>
      </c>
      <c r="D139" t="s">
        <v>448</v>
      </c>
      <c r="E139" t="s">
        <v>60</v>
      </c>
      <c r="F139" t="s">
        <v>2399</v>
      </c>
      <c r="G139" t="s">
        <v>2400</v>
      </c>
      <c r="H139">
        <f t="shared" si="2"/>
        <v>1</v>
      </c>
      <c r="I139" t="s">
        <v>2401</v>
      </c>
      <c r="J139" t="s">
        <v>362</v>
      </c>
      <c r="K139" t="str">
        <f>VLOOKUP(J139,Organisation!$A$2:$C$499,3,FALSE)</f>
        <v>CORG00001</v>
      </c>
      <c r="L139" t="str">
        <f>VLOOKUP(J139,Organisation!$A$2:$E$499,4,FALSE)</f>
        <v>Academic</v>
      </c>
      <c r="M139" t="s">
        <v>416</v>
      </c>
      <c r="N139" t="s">
        <v>451</v>
      </c>
      <c r="O139" t="s">
        <v>14</v>
      </c>
      <c r="P139" s="3" t="s">
        <v>2402</v>
      </c>
      <c r="Q139" t="s">
        <v>2403</v>
      </c>
      <c r="S139" s="1">
        <v>1</v>
      </c>
      <c r="T139" t="str">
        <f>"Update Collaborator Set Organisation = '"&amp;J139&amp;"' where User_ID = '"&amp;B139&amp;"'; "</f>
        <v xml:space="preserve">Update Collaborator Set Organisation = 'University of Queensland' where User_ID = 'CU00138'; </v>
      </c>
    </row>
    <row r="140" spans="1:21">
      <c r="A140" t="s">
        <v>9601</v>
      </c>
      <c r="B140" t="s">
        <v>1307</v>
      </c>
      <c r="C140" t="s">
        <v>10540</v>
      </c>
      <c r="D140" t="s">
        <v>448</v>
      </c>
      <c r="E140" t="s">
        <v>41</v>
      </c>
      <c r="F140" t="s">
        <v>1308</v>
      </c>
      <c r="G140" t="s">
        <v>1309</v>
      </c>
      <c r="H140">
        <f t="shared" si="2"/>
        <v>1</v>
      </c>
      <c r="I140" t="s">
        <v>516</v>
      </c>
      <c r="J140" t="s">
        <v>362</v>
      </c>
      <c r="K140" t="str">
        <f>VLOOKUP(J140,Organisation!$A$2:$C$499,3,FALSE)</f>
        <v>CORG00001</v>
      </c>
      <c r="L140" t="str">
        <f>VLOOKUP(J140,Organisation!$A$2:$E$499,4,FALSE)</f>
        <v>Academic</v>
      </c>
      <c r="M140" t="s">
        <v>416</v>
      </c>
      <c r="N140" t="s">
        <v>451</v>
      </c>
      <c r="O140" t="s">
        <v>14</v>
      </c>
      <c r="P140" s="3" t="s">
        <v>1310</v>
      </c>
      <c r="Q140" t="s">
        <v>1311</v>
      </c>
      <c r="S140" s="1">
        <v>1</v>
      </c>
      <c r="T140" t="str">
        <f>"Update Collaborator Set Organisation = '"&amp;J140&amp;"' where User_ID = '"&amp;B140&amp;"'; "</f>
        <v xml:space="preserve">Update Collaborator Set Organisation = 'University of Queensland' where User_ID = 'CU00139'; </v>
      </c>
      <c r="U140" t="str">
        <f>"Update dcollab.collab_user Set Pi = True where User_ID = '"&amp;A140&amp;"'; "</f>
        <v xml:space="preserve">Update dcollab.collab_user Set Pi = True where User_ID = 'CUSR00011'; </v>
      </c>
    </row>
    <row r="141" spans="1:21">
      <c r="A141" t="s">
        <v>9756</v>
      </c>
      <c r="B141" t="s">
        <v>2342</v>
      </c>
      <c r="C141" t="s">
        <v>10540</v>
      </c>
      <c r="D141" t="s">
        <v>2343</v>
      </c>
      <c r="E141" t="s">
        <v>60</v>
      </c>
      <c r="F141" t="s">
        <v>1639</v>
      </c>
      <c r="G141" t="s">
        <v>2344</v>
      </c>
      <c r="H141">
        <f t="shared" si="2"/>
        <v>2</v>
      </c>
      <c r="I141" t="s">
        <v>33</v>
      </c>
      <c r="J141" t="s">
        <v>2345</v>
      </c>
      <c r="K141" t="str">
        <f>VLOOKUP(J141,Organisation!$A$2:$C$499,3,FALSE)</f>
        <v>CORG00141</v>
      </c>
      <c r="L141" t="str">
        <f>VLOOKUP(J141,Organisation!$A$2:$E$499,4,FALSE)</f>
        <v>Academic</v>
      </c>
      <c r="M141" t="s">
        <v>170</v>
      </c>
      <c r="N141" t="s">
        <v>2346</v>
      </c>
      <c r="O141" t="s">
        <v>269</v>
      </c>
      <c r="P141" s="3" t="s">
        <v>2347</v>
      </c>
      <c r="Q141" t="s">
        <v>2348</v>
      </c>
      <c r="S141" s="1">
        <v>1</v>
      </c>
      <c r="T141" t="str">
        <f>"Update Collaborator Set Organisation = '"&amp;J141&amp;"' where User_ID = '"&amp;B141&amp;"'; "</f>
        <v xml:space="preserve">Update Collaborator Set Organisation = 'Newcastle University' where User_ID = 'CU00140'; </v>
      </c>
      <c r="U141" t="str">
        <f>"Update dcollab.collab_user Set Pi = True where User_ID = '"&amp;A141&amp;"'; "</f>
        <v xml:space="preserve">Update dcollab.collab_user Set Pi = True where User_ID = 'CUSR00168'; </v>
      </c>
    </row>
    <row r="142" spans="1:21">
      <c r="A142" t="s">
        <v>9757</v>
      </c>
      <c r="B142" t="s">
        <v>3697</v>
      </c>
      <c r="D142" t="s">
        <v>1558</v>
      </c>
      <c r="E142" t="s">
        <v>60</v>
      </c>
      <c r="F142" t="s">
        <v>3698</v>
      </c>
      <c r="G142" t="s">
        <v>3692</v>
      </c>
      <c r="H142">
        <f t="shared" si="2"/>
        <v>2</v>
      </c>
      <c r="I142" t="s">
        <v>564</v>
      </c>
      <c r="J142" t="s">
        <v>457</v>
      </c>
      <c r="K142" t="str">
        <f>VLOOKUP(J142,Organisation!$A$2:$C$499,3,FALSE)</f>
        <v>CORG00140</v>
      </c>
      <c r="L142" t="str">
        <f>VLOOKUP(J142,Organisation!$A$2:$E$499,4,FALSE)</f>
        <v>Academic</v>
      </c>
      <c r="M142" t="s">
        <v>1561</v>
      </c>
      <c r="N142" t="s">
        <v>1562</v>
      </c>
      <c r="O142" t="s">
        <v>459</v>
      </c>
      <c r="P142" s="3" t="s">
        <v>3269</v>
      </c>
      <c r="Q142" t="s">
        <v>3699</v>
      </c>
      <c r="S142" s="1">
        <v>0</v>
      </c>
      <c r="T142" t="str">
        <f>"Update Collaborator Set Organisation = '"&amp;J142&amp;"' where User_ID = '"&amp;B142&amp;"'; "</f>
        <v xml:space="preserve">Update Collaborator Set Organisation = 'National University of Singapore' where User_ID = 'CU00141'; </v>
      </c>
    </row>
    <row r="143" spans="1:21">
      <c r="A143" t="s">
        <v>9758</v>
      </c>
      <c r="B143" t="s">
        <v>1557</v>
      </c>
      <c r="C143" t="s">
        <v>10540</v>
      </c>
      <c r="D143" t="s">
        <v>1558</v>
      </c>
      <c r="E143" t="s">
        <v>216</v>
      </c>
      <c r="F143" t="s">
        <v>531</v>
      </c>
      <c r="G143" t="s">
        <v>1559</v>
      </c>
      <c r="H143">
        <f t="shared" si="2"/>
        <v>1</v>
      </c>
      <c r="J143" t="s">
        <v>457</v>
      </c>
      <c r="K143" t="str">
        <f>VLOOKUP(J143,Organisation!$A$2:$C$499,3,FALSE)</f>
        <v>CORG00140</v>
      </c>
      <c r="L143" t="str">
        <f>VLOOKUP(J143,Organisation!$A$2:$E$499,4,FALSE)</f>
        <v>Academic</v>
      </c>
      <c r="M143" t="s">
        <v>1561</v>
      </c>
      <c r="N143" t="s">
        <v>1562</v>
      </c>
      <c r="O143" t="s">
        <v>459</v>
      </c>
      <c r="P143" s="3" t="s">
        <v>1563</v>
      </c>
      <c r="Q143" t="s">
        <v>1564</v>
      </c>
      <c r="S143" s="1">
        <v>1</v>
      </c>
      <c r="T143" t="str">
        <f>"Update Collaborator Set Organisation = '"&amp;J143&amp;"' where User_ID = '"&amp;B143&amp;"'; "</f>
        <v xml:space="preserve">Update Collaborator Set Organisation = 'National University of Singapore' where User_ID = 'CU00142'; </v>
      </c>
      <c r="U143" t="str">
        <f>"Update dcollab.collab_user Set Pi = True where User_ID = '"&amp;A143&amp;"'; "</f>
        <v xml:space="preserve">Update dcollab.collab_user Set Pi = True where User_ID = 'CUSR00170'; </v>
      </c>
    </row>
    <row r="144" spans="1:21">
      <c r="A144" t="s">
        <v>9759</v>
      </c>
      <c r="B144" t="s">
        <v>3265</v>
      </c>
      <c r="D144" t="s">
        <v>1558</v>
      </c>
      <c r="E144" t="s">
        <v>7</v>
      </c>
      <c r="F144" t="s">
        <v>3266</v>
      </c>
      <c r="G144" t="s">
        <v>3267</v>
      </c>
      <c r="H144">
        <f t="shared" si="2"/>
        <v>1</v>
      </c>
      <c r="I144" t="s">
        <v>3268</v>
      </c>
      <c r="J144" t="s">
        <v>457</v>
      </c>
      <c r="K144" t="str">
        <f>VLOOKUP(J144,Organisation!$A$2:$C$499,3,FALSE)</f>
        <v>CORG00140</v>
      </c>
      <c r="L144" t="str">
        <f>VLOOKUP(J144,Organisation!$A$2:$E$499,4,FALSE)</f>
        <v>Academic</v>
      </c>
      <c r="M144" t="s">
        <v>1561</v>
      </c>
      <c r="N144" t="s">
        <v>1562</v>
      </c>
      <c r="O144" t="s">
        <v>459</v>
      </c>
      <c r="P144" s="3" t="s">
        <v>3269</v>
      </c>
      <c r="Q144" t="s">
        <v>3270</v>
      </c>
      <c r="S144" s="1">
        <v>0</v>
      </c>
      <c r="T144" t="str">
        <f>"Update Collaborator Set Organisation = '"&amp;J144&amp;"' where User_ID = '"&amp;B144&amp;"'; "</f>
        <v xml:space="preserve">Update Collaborator Set Organisation = 'National University of Singapore' where User_ID = 'CU00143'; </v>
      </c>
    </row>
    <row r="145" spans="1:21">
      <c r="A145" t="s">
        <v>9760</v>
      </c>
      <c r="B145" t="s">
        <v>3232</v>
      </c>
      <c r="C145" t="s">
        <v>10540</v>
      </c>
      <c r="D145" t="s">
        <v>3233</v>
      </c>
      <c r="E145" t="s">
        <v>110</v>
      </c>
      <c r="F145" t="s">
        <v>744</v>
      </c>
      <c r="G145" t="s">
        <v>3229</v>
      </c>
      <c r="H145">
        <f t="shared" si="2"/>
        <v>3</v>
      </c>
      <c r="I145" t="s">
        <v>3234</v>
      </c>
      <c r="J145" t="s">
        <v>2146</v>
      </c>
      <c r="K145" t="str">
        <f>VLOOKUP(J145,Organisation!$A$2:$C$499,3,FALSE)</f>
        <v>CORG00120</v>
      </c>
      <c r="L145" t="str">
        <f>VLOOKUP(J145,Organisation!$A$2:$E$499,4,FALSE)</f>
        <v>Academic</v>
      </c>
      <c r="M145" t="s">
        <v>84</v>
      </c>
      <c r="N145" t="s">
        <v>2147</v>
      </c>
      <c r="O145" t="s">
        <v>75</v>
      </c>
      <c r="P145" s="3" t="s">
        <v>3235</v>
      </c>
      <c r="Q145" t="s">
        <v>3236</v>
      </c>
      <c r="S145" s="1">
        <v>1</v>
      </c>
      <c r="T145" t="str">
        <f>"Update Collaborator Set Organisation = '"&amp;J145&amp;"' where User_ID = '"&amp;B145&amp;"'; "</f>
        <v xml:space="preserve">Update Collaborator Set Organisation = 'Memorial University of Newfoundland' where User_ID = 'CU00144'; </v>
      </c>
      <c r="U145" t="str">
        <f>"Update dcollab.collab_user Set Pi = True where User_ID = '"&amp;A145&amp;"'; "</f>
        <v xml:space="preserve">Update dcollab.collab_user Set Pi = True where User_ID = 'CUSR00172'; </v>
      </c>
    </row>
    <row r="146" spans="1:21">
      <c r="A146" t="s">
        <v>9761</v>
      </c>
      <c r="B146" t="s">
        <v>2892</v>
      </c>
      <c r="C146" t="s">
        <v>10540</v>
      </c>
      <c r="D146" t="s">
        <v>2893</v>
      </c>
      <c r="E146" t="s">
        <v>41</v>
      </c>
      <c r="F146" t="s">
        <v>2894</v>
      </c>
      <c r="G146" t="s">
        <v>2895</v>
      </c>
      <c r="H146">
        <f t="shared" si="2"/>
        <v>1</v>
      </c>
      <c r="I146" t="s">
        <v>71</v>
      </c>
      <c r="J146" t="s">
        <v>2146</v>
      </c>
      <c r="K146" t="str">
        <f>VLOOKUP(J146,Organisation!$A$2:$C$499,3,FALSE)</f>
        <v>CORG00120</v>
      </c>
      <c r="L146" t="str">
        <f>VLOOKUP(J146,Organisation!$A$2:$E$499,4,FALSE)</f>
        <v>Academic</v>
      </c>
      <c r="M146" t="s">
        <v>84</v>
      </c>
      <c r="N146" t="s">
        <v>2147</v>
      </c>
      <c r="O146" t="s">
        <v>75</v>
      </c>
      <c r="P146" s="3" t="s">
        <v>2896</v>
      </c>
      <c r="Q146" t="s">
        <v>2897</v>
      </c>
      <c r="S146" s="1">
        <v>1</v>
      </c>
      <c r="T146" t="str">
        <f>"Update Collaborator Set Organisation = '"&amp;J146&amp;"' where User_ID = '"&amp;B146&amp;"'; "</f>
        <v xml:space="preserve">Update Collaborator Set Organisation = 'Memorial University of Newfoundland' where User_ID = 'CU00145'; </v>
      </c>
      <c r="U146" t="str">
        <f>"Update dcollab.collab_user Set Pi = True where User_ID = '"&amp;A146&amp;"'; "</f>
        <v xml:space="preserve">Update dcollab.collab_user Set Pi = True where User_ID = 'CUSR00173'; </v>
      </c>
    </row>
    <row r="147" spans="1:21">
      <c r="A147" t="s">
        <v>9762</v>
      </c>
      <c r="B147" t="s">
        <v>3459</v>
      </c>
      <c r="C147" t="s">
        <v>10540</v>
      </c>
      <c r="D147" t="s">
        <v>3460</v>
      </c>
      <c r="E147" t="s">
        <v>41</v>
      </c>
      <c r="F147" t="s">
        <v>3461</v>
      </c>
      <c r="G147" t="s">
        <v>3462</v>
      </c>
      <c r="H147">
        <f t="shared" si="2"/>
        <v>1</v>
      </c>
      <c r="I147" t="s">
        <v>516</v>
      </c>
      <c r="J147" t="s">
        <v>8773</v>
      </c>
      <c r="K147" t="str">
        <f>VLOOKUP(J147,Organisation!$A$2:$C$499,3,FALSE)</f>
        <v>CORG00087</v>
      </c>
      <c r="L147" t="str">
        <f>VLOOKUP(J147,Organisation!$A$2:$E$499,4,FALSE)</f>
        <v>Academic</v>
      </c>
      <c r="M147" t="s">
        <v>3464</v>
      </c>
      <c r="N147" t="s">
        <v>3465</v>
      </c>
      <c r="O147" t="s">
        <v>1256</v>
      </c>
      <c r="P147" s="3" t="s">
        <v>3466</v>
      </c>
      <c r="Q147" t="s">
        <v>3467</v>
      </c>
      <c r="S147" s="1">
        <v>1</v>
      </c>
      <c r="T147" t="str">
        <f>"Update Collaborator Set Organisation = '"&amp;J147&amp;"' where User_ID = '"&amp;B147&amp;"'; "</f>
        <v xml:space="preserve">Update Collaborator Set Organisation = 'Instituto de Química Orgánica General' where User_ID = 'CU00146'; </v>
      </c>
      <c r="U147" t="str">
        <f>"Update dcollab.collab_user Set Pi = True where User_ID = '"&amp;A147&amp;"'; "</f>
        <v xml:space="preserve">Update dcollab.collab_user Set Pi = True where User_ID = 'CUSR00174'; </v>
      </c>
    </row>
    <row r="148" spans="1:21">
      <c r="A148" t="s">
        <v>9763</v>
      </c>
      <c r="B148" t="s">
        <v>3523</v>
      </c>
      <c r="C148" t="s">
        <v>10540</v>
      </c>
      <c r="D148" t="s">
        <v>3524</v>
      </c>
      <c r="E148" t="s">
        <v>60</v>
      </c>
      <c r="F148" t="s">
        <v>3386</v>
      </c>
      <c r="G148" t="s">
        <v>3525</v>
      </c>
      <c r="H148">
        <f t="shared" si="2"/>
        <v>1</v>
      </c>
      <c r="I148" t="s">
        <v>672</v>
      </c>
      <c r="J148" t="s">
        <v>3526</v>
      </c>
      <c r="K148" t="str">
        <f>VLOOKUP(J148,Organisation!$A$2:$C$499,3,FALSE)</f>
        <v>CORG00045</v>
      </c>
      <c r="L148" t="str">
        <f>VLOOKUP(J148,Organisation!$A$2:$E$499,4,FALSE)</f>
        <v>Academic</v>
      </c>
      <c r="M148" t="s">
        <v>73</v>
      </c>
      <c r="N148" t="s">
        <v>3527</v>
      </c>
      <c r="O148" t="s">
        <v>14</v>
      </c>
      <c r="P148" s="3" t="s">
        <v>3528</v>
      </c>
      <c r="Q148" t="s">
        <v>3529</v>
      </c>
      <c r="S148" s="1">
        <v>1</v>
      </c>
      <c r="T148" t="str">
        <f>"Update Collaborator Set Organisation = '"&amp;J148&amp;"' where User_ID = '"&amp;B148&amp;"'; "</f>
        <v xml:space="preserve">Update Collaborator Set Organisation = 'Curtin University' where User_ID = 'CU00147'; </v>
      </c>
      <c r="U148" t="str">
        <f>"Update dcollab.collab_user Set Pi = True where User_ID = '"&amp;A148&amp;"'; "</f>
        <v xml:space="preserve">Update dcollab.collab_user Set Pi = True where User_ID = 'CUSR00175'; </v>
      </c>
    </row>
    <row r="149" spans="1:21">
      <c r="A149" t="s">
        <v>9764</v>
      </c>
      <c r="B149" t="s">
        <v>1238</v>
      </c>
      <c r="C149" t="s">
        <v>10540</v>
      </c>
      <c r="D149" t="s">
        <v>1239</v>
      </c>
      <c r="E149" t="s">
        <v>60</v>
      </c>
      <c r="F149" t="s">
        <v>1240</v>
      </c>
      <c r="G149" t="s">
        <v>1241</v>
      </c>
      <c r="H149">
        <f t="shared" si="2"/>
        <v>1</v>
      </c>
      <c r="I149" t="s">
        <v>1242</v>
      </c>
      <c r="J149" t="s">
        <v>1243</v>
      </c>
      <c r="K149" t="str">
        <f>VLOOKUP(J149,Organisation!$A$2:$C$499,3,FALSE)</f>
        <v>CORG00207</v>
      </c>
      <c r="L149" t="str">
        <f>VLOOKUP(J149,Organisation!$A$2:$E$499,4,FALSE)</f>
        <v>Academic</v>
      </c>
      <c r="M149" t="s">
        <v>1244</v>
      </c>
      <c r="N149" t="s">
        <v>1245</v>
      </c>
      <c r="O149" t="s">
        <v>704</v>
      </c>
      <c r="P149" s="3" t="s">
        <v>1246</v>
      </c>
      <c r="Q149" t="s">
        <v>1247</v>
      </c>
      <c r="S149" s="1">
        <v>1</v>
      </c>
      <c r="T149" t="str">
        <f>"Update Collaborator Set Organisation = '"&amp;J149&amp;"' where User_ID = '"&amp;B149&amp;"'; "</f>
        <v xml:space="preserve">Update Collaborator Set Organisation = 'Université Lyon 1' where User_ID = 'CU00148'; </v>
      </c>
      <c r="U149" t="str">
        <f>"Update dcollab.collab_user Set Pi = True where User_ID = '"&amp;A149&amp;"'; "</f>
        <v xml:space="preserve">Update dcollab.collab_user Set Pi = True where User_ID = 'CUSR00176'; </v>
      </c>
    </row>
    <row r="150" spans="1:21">
      <c r="A150" t="s">
        <v>9765</v>
      </c>
      <c r="B150" t="s">
        <v>4890</v>
      </c>
      <c r="D150" t="s">
        <v>988</v>
      </c>
      <c r="E150" t="s">
        <v>7</v>
      </c>
      <c r="F150" t="s">
        <v>4891</v>
      </c>
      <c r="G150" t="s">
        <v>4892</v>
      </c>
      <c r="H150">
        <f t="shared" si="2"/>
        <v>1</v>
      </c>
      <c r="I150" t="s">
        <v>343</v>
      </c>
      <c r="J150" t="s">
        <v>991</v>
      </c>
      <c r="K150" t="str">
        <f>VLOOKUP(J150,Organisation!$A$2:$C$499,3,FALSE)</f>
        <v>CORG00217</v>
      </c>
      <c r="L150" t="str">
        <f>VLOOKUP(J150,Organisation!$A$2:$E$499,4,FALSE)</f>
        <v>Academic</v>
      </c>
      <c r="M150" t="s">
        <v>84</v>
      </c>
      <c r="N150" t="s">
        <v>4893</v>
      </c>
      <c r="O150" t="s">
        <v>269</v>
      </c>
      <c r="P150" s="3" t="s">
        <v>4894</v>
      </c>
      <c r="Q150" t="s">
        <v>4895</v>
      </c>
      <c r="S150" s="1">
        <v>0</v>
      </c>
      <c r="T150" t="str">
        <f>"Update Collaborator Set Organisation = '"&amp;J150&amp;"' where User_ID = '"&amp;B150&amp;"'; "</f>
        <v xml:space="preserve">Update Collaborator Set Organisation = 'University of Bath' where User_ID = 'CU00149'; </v>
      </c>
    </row>
    <row r="151" spans="1:21">
      <c r="A151" t="s">
        <v>9766</v>
      </c>
      <c r="B151" t="s">
        <v>987</v>
      </c>
      <c r="C151" t="s">
        <v>10540</v>
      </c>
      <c r="D151" t="s">
        <v>988</v>
      </c>
      <c r="E151" t="s">
        <v>60</v>
      </c>
      <c r="F151" t="s">
        <v>989</v>
      </c>
      <c r="G151" t="s">
        <v>984</v>
      </c>
      <c r="H151">
        <f t="shared" si="2"/>
        <v>2</v>
      </c>
      <c r="I151" t="s">
        <v>990</v>
      </c>
      <c r="J151" t="s">
        <v>991</v>
      </c>
      <c r="K151" t="str">
        <f>VLOOKUP(J151,Organisation!$A$2:$C$499,3,FALSE)</f>
        <v>CORG00217</v>
      </c>
      <c r="L151" t="str">
        <f>VLOOKUP(J151,Organisation!$A$2:$E$499,4,FALSE)</f>
        <v>Academic</v>
      </c>
      <c r="M151" t="s">
        <v>84</v>
      </c>
      <c r="O151" t="s">
        <v>269</v>
      </c>
      <c r="P151" s="3" t="s">
        <v>992</v>
      </c>
      <c r="Q151" t="s">
        <v>993</v>
      </c>
      <c r="S151" s="1">
        <v>1</v>
      </c>
      <c r="T151" t="str">
        <f>"Update Collaborator Set Organisation = '"&amp;J151&amp;"' where User_ID = '"&amp;B151&amp;"'; "</f>
        <v xml:space="preserve">Update Collaborator Set Organisation = 'University of Bath' where User_ID = 'CU00150'; </v>
      </c>
      <c r="U151" t="str">
        <f>"Update dcollab.collab_user Set Pi = True where User_ID = '"&amp;A151&amp;"'; "</f>
        <v xml:space="preserve">Update dcollab.collab_user Set Pi = True where User_ID = 'CUSR00178'; </v>
      </c>
    </row>
    <row r="152" spans="1:21">
      <c r="A152" t="s">
        <v>9767</v>
      </c>
      <c r="B152" t="s">
        <v>5231</v>
      </c>
      <c r="C152" t="s">
        <v>10540</v>
      </c>
      <c r="D152" t="s">
        <v>3312</v>
      </c>
      <c r="E152" t="s">
        <v>41</v>
      </c>
      <c r="F152" t="s">
        <v>4074</v>
      </c>
      <c r="G152" t="s">
        <v>5232</v>
      </c>
      <c r="H152">
        <f t="shared" si="2"/>
        <v>1</v>
      </c>
      <c r="I152" t="s">
        <v>5233</v>
      </c>
      <c r="J152" t="s">
        <v>3315</v>
      </c>
      <c r="K152" t="str">
        <f>VLOOKUP(J152,Organisation!$A$2:$C$499,3,FALSE)</f>
        <v>CORG00146</v>
      </c>
      <c r="L152" t="str">
        <f>VLOOKUP(J152,Organisation!$A$2:$E$499,4,FALSE)</f>
        <v>Academic</v>
      </c>
      <c r="M152" t="s">
        <v>650</v>
      </c>
      <c r="N152" t="s">
        <v>3316</v>
      </c>
      <c r="O152" t="s">
        <v>1600</v>
      </c>
      <c r="P152" s="3" t="s">
        <v>4968</v>
      </c>
      <c r="Q152" t="s">
        <v>5234</v>
      </c>
      <c r="S152" s="1">
        <v>1</v>
      </c>
      <c r="T152" t="str">
        <f>"Update Collaborator Set Organisation = '"&amp;J152&amp;"' where User_ID = '"&amp;B152&amp;"'; "</f>
        <v xml:space="preserve">Update Collaborator Set Organisation = 'Novosibirsk Institute of Organic Chemistry' where User_ID = 'CU00151'; </v>
      </c>
      <c r="U152" t="str">
        <f>"Update dcollab.collab_user Set Pi = True where User_ID = '"&amp;A152&amp;"'; "</f>
        <v xml:space="preserve">Update dcollab.collab_user Set Pi = True where User_ID = 'CUSR00179'; </v>
      </c>
    </row>
    <row r="153" spans="1:21">
      <c r="A153" t="s">
        <v>9768</v>
      </c>
      <c r="B153" t="s">
        <v>4964</v>
      </c>
      <c r="C153" t="s">
        <v>10540</v>
      </c>
      <c r="D153" t="s">
        <v>3312</v>
      </c>
      <c r="E153" t="s">
        <v>60</v>
      </c>
      <c r="F153" t="s">
        <v>4965</v>
      </c>
      <c r="G153" t="s">
        <v>4966</v>
      </c>
      <c r="H153">
        <f t="shared" si="2"/>
        <v>1</v>
      </c>
      <c r="I153" t="s">
        <v>4967</v>
      </c>
      <c r="J153" t="s">
        <v>3315</v>
      </c>
      <c r="K153" t="str">
        <f>VLOOKUP(J153,Organisation!$A$2:$C$499,3,FALSE)</f>
        <v>CORG00146</v>
      </c>
      <c r="L153" t="str">
        <f>VLOOKUP(J153,Organisation!$A$2:$E$499,4,FALSE)</f>
        <v>Academic</v>
      </c>
      <c r="M153" t="s">
        <v>650</v>
      </c>
      <c r="N153" t="s">
        <v>3316</v>
      </c>
      <c r="O153" t="s">
        <v>1600</v>
      </c>
      <c r="P153" s="3" t="s">
        <v>4968</v>
      </c>
      <c r="Q153" t="s">
        <v>4969</v>
      </c>
      <c r="S153" s="1">
        <v>1</v>
      </c>
      <c r="T153" t="str">
        <f>"Update Collaborator Set Organisation = '"&amp;J153&amp;"' where User_ID = '"&amp;B153&amp;"'; "</f>
        <v xml:space="preserve">Update Collaborator Set Organisation = 'Novosibirsk Institute of Organic Chemistry' where User_ID = 'CU00152'; </v>
      </c>
      <c r="U153" t="str">
        <f>"Update dcollab.collab_user Set Pi = True where User_ID = '"&amp;A153&amp;"'; "</f>
        <v xml:space="preserve">Update dcollab.collab_user Set Pi = True where User_ID = 'CUSR00180'; </v>
      </c>
    </row>
    <row r="154" spans="1:21">
      <c r="A154" t="s">
        <v>9770</v>
      </c>
      <c r="B154" t="s">
        <v>3084</v>
      </c>
      <c r="C154" t="s">
        <v>10540</v>
      </c>
      <c r="D154" t="s">
        <v>3085</v>
      </c>
      <c r="E154" t="s">
        <v>7</v>
      </c>
      <c r="F154" t="s">
        <v>3086</v>
      </c>
      <c r="G154" t="s">
        <v>3087</v>
      </c>
      <c r="H154">
        <f t="shared" si="2"/>
        <v>1</v>
      </c>
      <c r="I154" t="s">
        <v>190</v>
      </c>
      <c r="J154" t="s">
        <v>3088</v>
      </c>
      <c r="K154" t="str">
        <f>VLOOKUP(J154,Organisation!$A$2:$C$499,3,FALSE)</f>
        <v>CORG00147</v>
      </c>
      <c r="L154" t="str">
        <f>VLOOKUP(J154,Organisation!$A$2:$E$499,4,FALSE)</f>
        <v>Academic</v>
      </c>
      <c r="M154" t="s">
        <v>1031</v>
      </c>
      <c r="N154" t="s">
        <v>3089</v>
      </c>
      <c r="O154" t="s">
        <v>211</v>
      </c>
      <c r="P154" s="3" t="s">
        <v>3090</v>
      </c>
      <c r="Q154" t="s">
        <v>3091</v>
      </c>
      <c r="S154" s="1">
        <v>1</v>
      </c>
      <c r="T154" t="str">
        <f>"Update Collaborator Set Organisation = '"&amp;J154&amp;"' where User_ID = '"&amp;B154&amp;"'; "</f>
        <v xml:space="preserve">Update Collaborator Set Organisation = 'NSHM College of Pharmaceutical Technology' where User_ID = 'CU00153'; </v>
      </c>
      <c r="U154" t="str">
        <f>"Update dcollab.collab_user Set Pi = True where User_ID = '"&amp;A154&amp;"'; "</f>
        <v xml:space="preserve">Update dcollab.collab_user Set Pi = True where User_ID = 'CUSR00182'; </v>
      </c>
    </row>
    <row r="155" spans="1:21">
      <c r="A155" t="s">
        <v>9771</v>
      </c>
      <c r="B155" t="s">
        <v>3678</v>
      </c>
      <c r="D155" t="s">
        <v>3085</v>
      </c>
      <c r="E155" t="s">
        <v>60</v>
      </c>
      <c r="F155" t="s">
        <v>3679</v>
      </c>
      <c r="G155" t="s">
        <v>3680</v>
      </c>
      <c r="H155">
        <f t="shared" si="2"/>
        <v>1</v>
      </c>
      <c r="I155" t="s">
        <v>190</v>
      </c>
      <c r="J155" t="s">
        <v>3088</v>
      </c>
      <c r="K155" t="str">
        <f>VLOOKUP(J155,Organisation!$A$2:$C$499,3,FALSE)</f>
        <v>CORG00147</v>
      </c>
      <c r="L155" t="str">
        <f>VLOOKUP(J155,Organisation!$A$2:$E$499,4,FALSE)</f>
        <v>Academic</v>
      </c>
      <c r="M155" t="s">
        <v>1031</v>
      </c>
      <c r="N155" t="s">
        <v>3089</v>
      </c>
      <c r="O155" t="s">
        <v>211</v>
      </c>
      <c r="P155" s="3" t="s">
        <v>3681</v>
      </c>
      <c r="Q155" t="s">
        <v>3682</v>
      </c>
      <c r="S155" s="1">
        <v>1</v>
      </c>
      <c r="T155" t="str">
        <f>"Update Collaborator Set Organisation = '"&amp;J155&amp;"' where User_ID = '"&amp;B155&amp;"'; "</f>
        <v xml:space="preserve">Update Collaborator Set Organisation = 'NSHM College of Pharmaceutical Technology' where User_ID = 'CU00154'; </v>
      </c>
    </row>
    <row r="156" spans="1:21">
      <c r="A156" t="s">
        <v>9772</v>
      </c>
      <c r="B156" t="s">
        <v>1275</v>
      </c>
      <c r="C156" t="s">
        <v>10540</v>
      </c>
      <c r="D156" t="s">
        <v>1276</v>
      </c>
      <c r="E156" t="s">
        <v>60</v>
      </c>
      <c r="F156" t="s">
        <v>1277</v>
      </c>
      <c r="G156" t="s">
        <v>1278</v>
      </c>
      <c r="H156">
        <f t="shared" si="2"/>
        <v>1</v>
      </c>
      <c r="I156" t="s">
        <v>672</v>
      </c>
      <c r="J156" t="s">
        <v>1279</v>
      </c>
      <c r="K156" t="str">
        <f>VLOOKUP(J156,Organisation!$A$2:$C$499,3,FALSE)</f>
        <v>CORG00104</v>
      </c>
      <c r="L156" t="str">
        <f>VLOOKUP(J156,Organisation!$A$2:$E$499,4,FALSE)</f>
        <v>Academic</v>
      </c>
      <c r="M156" t="s">
        <v>84</v>
      </c>
      <c r="N156" t="s">
        <v>1280</v>
      </c>
      <c r="O156" t="s">
        <v>269</v>
      </c>
      <c r="P156" s="3" t="s">
        <v>1281</v>
      </c>
      <c r="Q156" t="s">
        <v>1282</v>
      </c>
      <c r="S156" s="1">
        <v>1</v>
      </c>
      <c r="T156" t="str">
        <f>"Update Collaborator Set Organisation = '"&amp;J156&amp;"' where User_ID = '"&amp;B156&amp;"'; "</f>
        <v xml:space="preserve">Update Collaborator Set Organisation = 'Lancaster University' where User_ID = 'CU00155'; </v>
      </c>
      <c r="U156" t="str">
        <f>"Update dcollab.collab_user Set Pi = True where User_ID = '"&amp;A156&amp;"'; "</f>
        <v xml:space="preserve">Update dcollab.collab_user Set Pi = True where User_ID = 'CUSR00184'; </v>
      </c>
    </row>
    <row r="157" spans="1:21">
      <c r="A157" t="s">
        <v>9773</v>
      </c>
      <c r="B157" t="s">
        <v>4934</v>
      </c>
      <c r="D157" t="s">
        <v>4177</v>
      </c>
      <c r="E157" t="s">
        <v>60</v>
      </c>
      <c r="F157" t="s">
        <v>4935</v>
      </c>
      <c r="G157" t="s">
        <v>4936</v>
      </c>
      <c r="H157">
        <f t="shared" si="2"/>
        <v>1</v>
      </c>
      <c r="I157" t="s">
        <v>564</v>
      </c>
      <c r="J157" t="s">
        <v>991</v>
      </c>
      <c r="K157" t="str">
        <f>VLOOKUP(J157,Organisation!$A$2:$C$499,3,FALSE)</f>
        <v>CORG00217</v>
      </c>
      <c r="L157" t="str">
        <f>VLOOKUP(J157,Organisation!$A$2:$E$499,4,FALSE)</f>
        <v>Academic</v>
      </c>
      <c r="M157" t="s">
        <v>4180</v>
      </c>
      <c r="N157" t="s">
        <v>4893</v>
      </c>
      <c r="O157" t="s">
        <v>269</v>
      </c>
      <c r="P157" s="3" t="s">
        <v>4937</v>
      </c>
      <c r="Q157" t="s">
        <v>4938</v>
      </c>
      <c r="S157" s="1">
        <v>0</v>
      </c>
      <c r="T157" t="str">
        <f>"Update Collaborator Set Organisation = '"&amp;J157&amp;"' where User_ID = '"&amp;B157&amp;"'; "</f>
        <v xml:space="preserve">Update Collaborator Set Organisation = 'University of Bath' where User_ID = 'CU00156'; </v>
      </c>
    </row>
    <row r="158" spans="1:21">
      <c r="A158" t="s">
        <v>9774</v>
      </c>
      <c r="B158" t="s">
        <v>4176</v>
      </c>
      <c r="C158" t="s">
        <v>10540</v>
      </c>
      <c r="D158" t="s">
        <v>4177</v>
      </c>
      <c r="E158" t="s">
        <v>41</v>
      </c>
      <c r="F158" t="s">
        <v>4178</v>
      </c>
      <c r="G158" t="s">
        <v>4179</v>
      </c>
      <c r="H158">
        <f t="shared" si="2"/>
        <v>1</v>
      </c>
      <c r="I158" t="s">
        <v>71</v>
      </c>
      <c r="J158" t="s">
        <v>991</v>
      </c>
      <c r="K158" t="str">
        <f>VLOOKUP(J158,Organisation!$A$2:$C$499,3,FALSE)</f>
        <v>CORG00217</v>
      </c>
      <c r="L158" t="str">
        <f>VLOOKUP(J158,Organisation!$A$2:$E$499,4,FALSE)</f>
        <v>Academic</v>
      </c>
      <c r="M158" t="s">
        <v>4180</v>
      </c>
      <c r="O158" t="s">
        <v>269</v>
      </c>
      <c r="P158" s="3" t="s">
        <v>4181</v>
      </c>
      <c r="Q158" t="s">
        <v>4182</v>
      </c>
      <c r="S158" s="1">
        <v>1</v>
      </c>
      <c r="T158" t="str">
        <f>"Update Collaborator Set Organisation = '"&amp;J158&amp;"' where User_ID = '"&amp;B158&amp;"'; "</f>
        <v xml:space="preserve">Update Collaborator Set Organisation = 'University of Bath' where User_ID = 'CU00157'; </v>
      </c>
      <c r="U158" t="str">
        <f>"Update dcollab.collab_user Set Pi = True where User_ID = '"&amp;A158&amp;"'; "</f>
        <v xml:space="preserve">Update dcollab.collab_user Set Pi = True where User_ID = 'CUSR00186'; </v>
      </c>
    </row>
    <row r="159" spans="1:21">
      <c r="A159" t="s">
        <v>9775</v>
      </c>
      <c r="B159" t="s">
        <v>4872</v>
      </c>
      <c r="C159" t="s">
        <v>10540</v>
      </c>
      <c r="D159" t="s">
        <v>4782</v>
      </c>
      <c r="E159" t="s">
        <v>60</v>
      </c>
      <c r="F159" t="s">
        <v>4873</v>
      </c>
      <c r="G159" t="s">
        <v>4874</v>
      </c>
      <c r="H159">
        <f t="shared" si="2"/>
        <v>1</v>
      </c>
      <c r="I159" t="s">
        <v>136</v>
      </c>
      <c r="J159" t="s">
        <v>4784</v>
      </c>
      <c r="K159" t="str">
        <f>VLOOKUP(J159,Organisation!$A$2:$C$499,3,FALSE)</f>
        <v>CORG00063</v>
      </c>
      <c r="L159" t="str">
        <f>VLOOKUP(J159,Organisation!$A$2:$E$499,4,FALSE)</f>
        <v>Academic</v>
      </c>
      <c r="M159" t="s">
        <v>4785</v>
      </c>
      <c r="N159" t="s">
        <v>4786</v>
      </c>
      <c r="O159" t="s">
        <v>8808</v>
      </c>
      <c r="P159" s="3" t="s">
        <v>4875</v>
      </c>
      <c r="Q159" t="s">
        <v>4876</v>
      </c>
      <c r="S159" s="1">
        <v>1</v>
      </c>
      <c r="T159" t="str">
        <f>"Update Collaborator Set Organisation = '"&amp;J159&amp;"' where User_ID = '"&amp;B159&amp;"'; "</f>
        <v xml:space="preserve">Update Collaborator Set Organisation = 'Georgia Institute of Technology' where User_ID = 'CU00158'; </v>
      </c>
      <c r="U159" t="str">
        <f>"Update dcollab.collab_user Set Pi = True where User_ID = '"&amp;A159&amp;"'; "</f>
        <v xml:space="preserve">Update dcollab.collab_user Set Pi = True where User_ID = 'CUSR00187'; </v>
      </c>
    </row>
    <row r="160" spans="1:21">
      <c r="A160" t="s">
        <v>9776</v>
      </c>
      <c r="B160" t="s">
        <v>4781</v>
      </c>
      <c r="D160" t="s">
        <v>4782</v>
      </c>
      <c r="E160" t="s">
        <v>41</v>
      </c>
      <c r="F160" t="s">
        <v>821</v>
      </c>
      <c r="G160" t="s">
        <v>4783</v>
      </c>
      <c r="H160">
        <f t="shared" si="2"/>
        <v>1</v>
      </c>
      <c r="J160" t="s">
        <v>4784</v>
      </c>
      <c r="K160" t="str">
        <f>VLOOKUP(J160,Organisation!$A$2:$C$499,3,FALSE)</f>
        <v>CORG00063</v>
      </c>
      <c r="L160" t="str">
        <f>VLOOKUP(J160,Organisation!$A$2:$E$499,4,FALSE)</f>
        <v>Academic</v>
      </c>
      <c r="M160" t="s">
        <v>4785</v>
      </c>
      <c r="N160" t="s">
        <v>4786</v>
      </c>
      <c r="O160" t="s">
        <v>8808</v>
      </c>
      <c r="P160" s="3" t="s">
        <v>4787</v>
      </c>
      <c r="Q160" t="s">
        <v>4788</v>
      </c>
      <c r="S160" s="1">
        <v>1</v>
      </c>
      <c r="T160" t="str">
        <f>"Update Collaborator Set Organisation = '"&amp;J160&amp;"' where User_ID = '"&amp;B160&amp;"'; "</f>
        <v xml:space="preserve">Update Collaborator Set Organisation = 'Georgia Institute of Technology' where User_ID = 'CU00159'; </v>
      </c>
    </row>
    <row r="161" spans="1:21">
      <c r="A161" t="s">
        <v>9646</v>
      </c>
      <c r="B161" t="s">
        <v>1128</v>
      </c>
      <c r="D161" t="s">
        <v>812</v>
      </c>
      <c r="E161" t="s">
        <v>7</v>
      </c>
      <c r="F161" t="s">
        <v>670</v>
      </c>
      <c r="G161" t="s">
        <v>1129</v>
      </c>
      <c r="H161">
        <f t="shared" si="2"/>
        <v>1</v>
      </c>
      <c r="I161" t="s">
        <v>1130</v>
      </c>
      <c r="J161" t="s">
        <v>815</v>
      </c>
      <c r="K161" t="str">
        <f>VLOOKUP(J161,Organisation!$A$2:$C$499,3,FALSE)</f>
        <v>CORG00075</v>
      </c>
      <c r="L161" t="str">
        <f>VLOOKUP(J161,Organisation!$A$2:$E$499,4,FALSE)</f>
        <v>Academic</v>
      </c>
      <c r="M161" t="s">
        <v>84</v>
      </c>
      <c r="N161" t="s">
        <v>816</v>
      </c>
      <c r="O161" t="s">
        <v>269</v>
      </c>
      <c r="P161" s="3" t="s">
        <v>1131</v>
      </c>
      <c r="Q161" t="s">
        <v>1132</v>
      </c>
      <c r="S161" s="1">
        <v>0</v>
      </c>
      <c r="T161" t="str">
        <f>"Update Collaborator Set Organisation = '"&amp;J161&amp;"' where User_ID = '"&amp;B161&amp;"'; "</f>
        <v xml:space="preserve">Update Collaborator Set Organisation = 'Imperial College London' where User_ID = 'CU00160'; </v>
      </c>
    </row>
    <row r="162" spans="1:21">
      <c r="A162" t="s">
        <v>9777</v>
      </c>
      <c r="B162" t="s">
        <v>1896</v>
      </c>
      <c r="D162" t="s">
        <v>1725</v>
      </c>
      <c r="E162" t="s">
        <v>7</v>
      </c>
      <c r="F162" t="s">
        <v>1897</v>
      </c>
      <c r="G162" t="s">
        <v>1898</v>
      </c>
      <c r="H162">
        <f t="shared" si="2"/>
        <v>1</v>
      </c>
      <c r="I162" t="s">
        <v>1899</v>
      </c>
      <c r="J162" t="s">
        <v>8762</v>
      </c>
      <c r="K162" t="str">
        <f>VLOOKUP(J162,Organisation!$A$2:$C$499,3,FALSE)</f>
        <v>CORG00081</v>
      </c>
      <c r="L162" t="str">
        <f>VLOOKUP(J162,Organisation!$A$2:$E$499,4,FALSE)</f>
        <v>Academic</v>
      </c>
      <c r="M162" t="s">
        <v>1728</v>
      </c>
      <c r="N162" t="s">
        <v>1729</v>
      </c>
      <c r="O162" t="s">
        <v>1256</v>
      </c>
      <c r="P162" s="3" t="s">
        <v>1730</v>
      </c>
      <c r="Q162" t="s">
        <v>1900</v>
      </c>
      <c r="S162" s="1">
        <v>1</v>
      </c>
      <c r="T162" t="str">
        <f>"Update Collaborator Set Organisation = '"&amp;J162&amp;"' where User_ID = '"&amp;B162&amp;"'; "</f>
        <v xml:space="preserve">Update Collaborator Set Organisation = 'Institut Català Investigació Química' where User_ID = 'CU00161'; </v>
      </c>
    </row>
    <row r="163" spans="1:21">
      <c r="A163" t="s">
        <v>9778</v>
      </c>
      <c r="B163" t="s">
        <v>1724</v>
      </c>
      <c r="C163" t="s">
        <v>10540</v>
      </c>
      <c r="D163" t="s">
        <v>1725</v>
      </c>
      <c r="E163" t="s">
        <v>41</v>
      </c>
      <c r="F163" t="s">
        <v>1726</v>
      </c>
      <c r="G163" t="s">
        <v>1727</v>
      </c>
      <c r="H163">
        <f t="shared" si="2"/>
        <v>1</v>
      </c>
      <c r="I163" t="s">
        <v>71</v>
      </c>
      <c r="J163" t="s">
        <v>8762</v>
      </c>
      <c r="K163" t="str">
        <f>VLOOKUP(J163,Organisation!$A$2:$C$499,3,FALSE)</f>
        <v>CORG00081</v>
      </c>
      <c r="L163" t="str">
        <f>VLOOKUP(J163,Organisation!$A$2:$E$499,4,FALSE)</f>
        <v>Academic</v>
      </c>
      <c r="M163" t="s">
        <v>1728</v>
      </c>
      <c r="N163" t="s">
        <v>1729</v>
      </c>
      <c r="O163" t="s">
        <v>1256</v>
      </c>
      <c r="P163" s="3" t="s">
        <v>1730</v>
      </c>
      <c r="Q163" t="s">
        <v>1731</v>
      </c>
      <c r="S163" s="1">
        <v>1</v>
      </c>
      <c r="T163" t="str">
        <f>"Update Collaborator Set Organisation = '"&amp;J163&amp;"' where User_ID = '"&amp;B163&amp;"'; "</f>
        <v xml:space="preserve">Update Collaborator Set Organisation = 'Institut Català Investigació Química' where User_ID = 'CU00162'; </v>
      </c>
      <c r="U163" t="str">
        <f>"Update dcollab.collab_user Set Pi = True where User_ID = '"&amp;A163&amp;"'; "</f>
        <v xml:space="preserve">Update dcollab.collab_user Set Pi = True where User_ID = 'CUSR00190'; </v>
      </c>
    </row>
    <row r="164" spans="1:21">
      <c r="A164" t="s">
        <v>9779</v>
      </c>
      <c r="B164" t="s">
        <v>4294</v>
      </c>
      <c r="C164" t="s">
        <v>10540</v>
      </c>
      <c r="D164" t="s">
        <v>4295</v>
      </c>
      <c r="E164" t="s">
        <v>216</v>
      </c>
      <c r="F164" t="s">
        <v>4296</v>
      </c>
      <c r="G164" t="s">
        <v>1582</v>
      </c>
      <c r="H164">
        <f t="shared" si="2"/>
        <v>3</v>
      </c>
      <c r="J164" t="s">
        <v>4297</v>
      </c>
      <c r="K164" t="str">
        <f>VLOOKUP(J164,Organisation!$A$2:$C$499,3,FALSE)</f>
        <v>CORG00025</v>
      </c>
      <c r="L164" t="str">
        <f>VLOOKUP(J164,Organisation!$A$2:$E$499,4,FALSE)</f>
        <v>Academic</v>
      </c>
      <c r="M164" t="s">
        <v>35</v>
      </c>
      <c r="N164" t="s">
        <v>4298</v>
      </c>
      <c r="O164" t="s">
        <v>211</v>
      </c>
      <c r="P164" s="3" t="s">
        <v>4299</v>
      </c>
      <c r="Q164" t="s">
        <v>4300</v>
      </c>
      <c r="S164" s="1">
        <v>1</v>
      </c>
      <c r="T164" t="str">
        <f>"Update Collaborator Set Organisation = '"&amp;J164&amp;"' where User_ID = '"&amp;B164&amp;"'; "</f>
        <v xml:space="preserve">Update Collaborator Set Organisation = 'C.E.S College of Pharmacy' where User_ID = 'CU00163'; </v>
      </c>
      <c r="U164" t="str">
        <f>"Update dcollab.collab_user Set Pi = True where User_ID = '"&amp;A164&amp;"'; "</f>
        <v xml:space="preserve">Update dcollab.collab_user Set Pi = True where User_ID = 'CUSR00191'; </v>
      </c>
    </row>
    <row r="165" spans="1:21">
      <c r="A165" t="s">
        <v>9780</v>
      </c>
      <c r="B165" t="s">
        <v>5014</v>
      </c>
      <c r="C165" t="s">
        <v>10540</v>
      </c>
      <c r="D165" t="s">
        <v>3873</v>
      </c>
      <c r="E165" t="s">
        <v>60</v>
      </c>
      <c r="F165" t="s">
        <v>5015</v>
      </c>
      <c r="G165" t="s">
        <v>5016</v>
      </c>
      <c r="H165">
        <f t="shared" si="2"/>
        <v>1</v>
      </c>
      <c r="I165" t="s">
        <v>672</v>
      </c>
      <c r="J165" t="s">
        <v>3876</v>
      </c>
      <c r="K165" t="str">
        <f>VLOOKUP(J165,Organisation!$A$2:$C$499,3,FALSE)</f>
        <v>CORG00210</v>
      </c>
      <c r="L165" t="str">
        <f>VLOOKUP(J165,Organisation!$A$2:$E$499,4,FALSE)</f>
        <v>Academic</v>
      </c>
      <c r="M165" t="s">
        <v>170</v>
      </c>
      <c r="N165" t="s">
        <v>5017</v>
      </c>
      <c r="O165" t="s">
        <v>1235</v>
      </c>
      <c r="P165" s="3" t="s">
        <v>5018</v>
      </c>
      <c r="Q165" t="s">
        <v>5019</v>
      </c>
      <c r="S165" s="1">
        <v>1</v>
      </c>
      <c r="T165" t="str">
        <f>"Update Collaborator Set Organisation = '"&amp;J165&amp;"' where User_ID = '"&amp;B165&amp;"'; "</f>
        <v xml:space="preserve">Update Collaborator Set Organisation = 'University College Dublin' where User_ID = 'CU00164'; </v>
      </c>
      <c r="U165" t="str">
        <f>"Update dcollab.collab_user Set Pi = True where User_ID = '"&amp;A165&amp;"'; "</f>
        <v xml:space="preserve">Update dcollab.collab_user Set Pi = True where User_ID = 'CUSR00192'; </v>
      </c>
    </row>
    <row r="166" spans="1:21">
      <c r="A166" t="s">
        <v>9781</v>
      </c>
      <c r="B166" t="s">
        <v>3872</v>
      </c>
      <c r="D166" t="s">
        <v>3873</v>
      </c>
      <c r="E166" t="s">
        <v>7</v>
      </c>
      <c r="F166" t="s">
        <v>3874</v>
      </c>
      <c r="G166" t="s">
        <v>3875</v>
      </c>
      <c r="H166">
        <f t="shared" si="2"/>
        <v>1</v>
      </c>
      <c r="I166" t="s">
        <v>343</v>
      </c>
      <c r="J166" t="s">
        <v>3876</v>
      </c>
      <c r="K166" t="str">
        <f>VLOOKUP(J166,Organisation!$A$2:$C$499,3,FALSE)</f>
        <v>CORG00210</v>
      </c>
      <c r="L166" t="str">
        <f>VLOOKUP(J166,Organisation!$A$2:$E$499,4,FALSE)</f>
        <v>Academic</v>
      </c>
      <c r="M166" t="s">
        <v>170</v>
      </c>
      <c r="O166" t="s">
        <v>1235</v>
      </c>
      <c r="Q166" t="s">
        <v>3877</v>
      </c>
      <c r="S166" s="1">
        <v>1</v>
      </c>
      <c r="T166" t="str">
        <f>"Update Collaborator Set Organisation = '"&amp;J166&amp;"' where User_ID = '"&amp;B166&amp;"'; "</f>
        <v xml:space="preserve">Update Collaborator Set Organisation = 'University College Dublin' where User_ID = 'CU00165'; </v>
      </c>
    </row>
    <row r="167" spans="1:21">
      <c r="A167" t="s">
        <v>9782</v>
      </c>
      <c r="B167" t="s">
        <v>2960</v>
      </c>
      <c r="C167" t="s">
        <v>10540</v>
      </c>
      <c r="D167" t="s">
        <v>2961</v>
      </c>
      <c r="E167" t="s">
        <v>60</v>
      </c>
      <c r="F167" t="s">
        <v>2962</v>
      </c>
      <c r="G167" t="s">
        <v>2963</v>
      </c>
      <c r="H167">
        <f t="shared" si="2"/>
        <v>1</v>
      </c>
      <c r="I167" t="s">
        <v>2964</v>
      </c>
      <c r="J167" t="s">
        <v>2965</v>
      </c>
      <c r="K167" t="str">
        <f>VLOOKUP(J167,Organisation!$A$2:$C$499,3,FALSE)</f>
        <v>CORG00239</v>
      </c>
      <c r="L167" t="str">
        <f>VLOOKUP(J167,Organisation!$A$2:$E$499,4,FALSE)</f>
        <v>Academic</v>
      </c>
      <c r="M167" t="s">
        <v>73</v>
      </c>
      <c r="N167" t="s">
        <v>2966</v>
      </c>
      <c r="O167" t="s">
        <v>269</v>
      </c>
      <c r="P167" s="3" t="s">
        <v>2967</v>
      </c>
      <c r="Q167" t="s">
        <v>2968</v>
      </c>
      <c r="S167" s="1">
        <v>1</v>
      </c>
      <c r="T167" t="str">
        <f>"Update Collaborator Set Organisation = '"&amp;J167&amp;"' where User_ID = '"&amp;B167&amp;"'; "</f>
        <v xml:space="preserve">Update Collaborator Set Organisation = 'University of Loughborough' where User_ID = 'CU00166'; </v>
      </c>
      <c r="U167" t="str">
        <f>"Update dcollab.collab_user Set Pi = True where User_ID = '"&amp;A167&amp;"'; "</f>
        <v xml:space="preserve">Update dcollab.collab_user Set Pi = True where User_ID = 'CUSR00194'; </v>
      </c>
    </row>
    <row r="168" spans="1:21">
      <c r="A168" t="s">
        <v>9783</v>
      </c>
      <c r="B168" t="s">
        <v>256</v>
      </c>
      <c r="C168" t="s">
        <v>10540</v>
      </c>
      <c r="D168" t="s">
        <v>68</v>
      </c>
      <c r="E168" t="s">
        <v>7</v>
      </c>
      <c r="F168" t="s">
        <v>257</v>
      </c>
      <c r="G168" t="s">
        <v>258</v>
      </c>
      <c r="H168">
        <f t="shared" si="2"/>
        <v>1</v>
      </c>
      <c r="I168" t="s">
        <v>259</v>
      </c>
      <c r="J168" t="s">
        <v>72</v>
      </c>
      <c r="K168" t="str">
        <f>VLOOKUP(J168,Organisation!$A$2:$C$499,3,FALSE)</f>
        <v>CORG00263</v>
      </c>
      <c r="L168" t="str">
        <f>VLOOKUP(J168,Organisation!$A$2:$E$499,4,FALSE)</f>
        <v>Academic</v>
      </c>
      <c r="M168" t="s">
        <v>73</v>
      </c>
      <c r="N168" t="s">
        <v>74</v>
      </c>
      <c r="O168" t="s">
        <v>75</v>
      </c>
      <c r="P168" s="3" t="s">
        <v>260</v>
      </c>
      <c r="Q168" t="s">
        <v>261</v>
      </c>
      <c r="S168" s="1">
        <v>1</v>
      </c>
      <c r="T168" t="str">
        <f>"Update Collaborator Set Organisation = '"&amp;J168&amp;"' where User_ID = '"&amp;B168&amp;"'; "</f>
        <v xml:space="preserve">Update Collaborator Set Organisation = 'University of Prince Edward Island' where User_ID = 'CU00167'; </v>
      </c>
      <c r="U168" t="str">
        <f>"Update dcollab.collab_user Set Pi = True where User_ID = '"&amp;A168&amp;"'; "</f>
        <v xml:space="preserve">Update dcollab.collab_user Set Pi = True where User_ID = 'CUSR00195'; </v>
      </c>
    </row>
    <row r="169" spans="1:21">
      <c r="A169" t="s">
        <v>9784</v>
      </c>
      <c r="B169" t="s">
        <v>67</v>
      </c>
      <c r="D169" t="s">
        <v>68</v>
      </c>
      <c r="E169" t="s">
        <v>41</v>
      </c>
      <c r="F169" t="s">
        <v>69</v>
      </c>
      <c r="G169" t="s">
        <v>70</v>
      </c>
      <c r="H169">
        <f t="shared" si="2"/>
        <v>1</v>
      </c>
      <c r="I169" t="s">
        <v>71</v>
      </c>
      <c r="J169" t="s">
        <v>72</v>
      </c>
      <c r="K169" t="str">
        <f>VLOOKUP(J169,Organisation!$A$2:$C$499,3,FALSE)</f>
        <v>CORG00263</v>
      </c>
      <c r="L169" t="str">
        <f>VLOOKUP(J169,Organisation!$A$2:$E$499,4,FALSE)</f>
        <v>Academic</v>
      </c>
      <c r="M169" t="s">
        <v>73</v>
      </c>
      <c r="N169" t="s">
        <v>74</v>
      </c>
      <c r="O169" t="s">
        <v>75</v>
      </c>
      <c r="P169" s="3" t="s">
        <v>76</v>
      </c>
      <c r="Q169" t="s">
        <v>77</v>
      </c>
      <c r="S169" s="1">
        <v>1</v>
      </c>
      <c r="T169" t="str">
        <f>"Update Collaborator Set Organisation = '"&amp;J169&amp;"' where User_ID = '"&amp;B169&amp;"'; "</f>
        <v xml:space="preserve">Update Collaborator Set Organisation = 'University of Prince Edward Island' where User_ID = 'CU00168'; </v>
      </c>
    </row>
    <row r="170" spans="1:21">
      <c r="A170" t="s">
        <v>9786</v>
      </c>
      <c r="B170" t="s">
        <v>5400</v>
      </c>
      <c r="D170" t="s">
        <v>3293</v>
      </c>
      <c r="E170" t="s">
        <v>228</v>
      </c>
      <c r="F170" t="s">
        <v>5401</v>
      </c>
      <c r="G170" t="s">
        <v>5402</v>
      </c>
      <c r="H170">
        <f t="shared" si="2"/>
        <v>1</v>
      </c>
      <c r="I170" t="s">
        <v>241</v>
      </c>
      <c r="J170" t="s">
        <v>3296</v>
      </c>
      <c r="K170" t="str">
        <f>VLOOKUP(J170,Organisation!$A$2:$C$499,3,FALSE)</f>
        <v>CORG00152</v>
      </c>
      <c r="L170" t="str">
        <f>VLOOKUP(J170,Organisation!$A$2:$E$499,4,FALSE)</f>
        <v>Academic</v>
      </c>
      <c r="M170" t="s">
        <v>3297</v>
      </c>
      <c r="N170" t="s">
        <v>3298</v>
      </c>
      <c r="O170" t="s">
        <v>748</v>
      </c>
      <c r="P170" s="3" t="s">
        <v>5403</v>
      </c>
      <c r="Q170" t="s">
        <v>5404</v>
      </c>
      <c r="S170" s="1">
        <v>1</v>
      </c>
      <c r="T170" t="str">
        <f>"Update Collaborator Set Organisation = '"&amp;J170&amp;"' where User_ID = '"&amp;B170&amp;"'; "</f>
        <v xml:space="preserve">Update Collaborator Set Organisation = 'Peking University' where User_ID = 'CU00169'; </v>
      </c>
    </row>
    <row r="171" spans="1:21">
      <c r="A171" t="s">
        <v>9787</v>
      </c>
      <c r="B171" t="s">
        <v>3292</v>
      </c>
      <c r="C171" t="s">
        <v>10540</v>
      </c>
      <c r="D171" t="s">
        <v>3293</v>
      </c>
      <c r="E171" t="s">
        <v>60</v>
      </c>
      <c r="F171" t="s">
        <v>3294</v>
      </c>
      <c r="G171" t="s">
        <v>3295</v>
      </c>
      <c r="H171">
        <f t="shared" si="2"/>
        <v>1</v>
      </c>
      <c r="I171" t="s">
        <v>127</v>
      </c>
      <c r="J171" t="s">
        <v>3296</v>
      </c>
      <c r="K171" t="str">
        <f>VLOOKUP(J171,Organisation!$A$2:$C$499,3,FALSE)</f>
        <v>CORG00152</v>
      </c>
      <c r="L171" t="str">
        <f>VLOOKUP(J171,Organisation!$A$2:$E$499,4,FALSE)</f>
        <v>Academic</v>
      </c>
      <c r="M171" t="s">
        <v>3297</v>
      </c>
      <c r="N171" t="s">
        <v>3298</v>
      </c>
      <c r="O171" t="s">
        <v>748</v>
      </c>
      <c r="P171" s="3" t="s">
        <v>3299</v>
      </c>
      <c r="Q171" t="s">
        <v>3300</v>
      </c>
      <c r="S171" s="1">
        <v>1</v>
      </c>
      <c r="T171" t="str">
        <f>"Update Collaborator Set Organisation = '"&amp;J171&amp;"' where User_ID = '"&amp;B171&amp;"'; "</f>
        <v xml:space="preserve">Update Collaborator Set Organisation = 'Peking University' where User_ID = 'CU00170'; </v>
      </c>
      <c r="U171" t="str">
        <f>"Update dcollab.collab_user Set Pi = True where User_ID = '"&amp;A171&amp;"'; "</f>
        <v xml:space="preserve">Update dcollab.collab_user Set Pi = True where User_ID = 'CUSR00199'; </v>
      </c>
    </row>
    <row r="172" spans="1:21">
      <c r="A172" t="s">
        <v>9788</v>
      </c>
      <c r="B172" t="s">
        <v>1748</v>
      </c>
      <c r="C172" t="s">
        <v>10540</v>
      </c>
      <c r="D172" t="s">
        <v>1749</v>
      </c>
      <c r="E172" t="s">
        <v>60</v>
      </c>
      <c r="F172" t="s">
        <v>1750</v>
      </c>
      <c r="G172" t="s">
        <v>1751</v>
      </c>
      <c r="H172">
        <f t="shared" si="2"/>
        <v>1</v>
      </c>
      <c r="J172" t="s">
        <v>1752</v>
      </c>
      <c r="K172" t="str">
        <f>VLOOKUP(J172,Organisation!$A$2:$C$499,3,FALSE)</f>
        <v>CORG00136</v>
      </c>
      <c r="L172" t="str">
        <f>VLOOKUP(J172,Organisation!$A$2:$E$499,4,FALSE)</f>
        <v>Academic</v>
      </c>
      <c r="M172" t="s">
        <v>1753</v>
      </c>
      <c r="N172" t="s">
        <v>1754</v>
      </c>
      <c r="O172" t="s">
        <v>55</v>
      </c>
      <c r="P172" s="3" t="s">
        <v>1755</v>
      </c>
      <c r="Q172" t="s">
        <v>1756</v>
      </c>
      <c r="S172" s="1">
        <v>1</v>
      </c>
      <c r="T172" t="str">
        <f>"Update Collaborator Set Organisation = '"&amp;J172&amp;"' where User_ID = '"&amp;B172&amp;"'; "</f>
        <v xml:space="preserve">Update Collaborator Set Organisation = 'National Research Centre' where User_ID = 'CU00171'; </v>
      </c>
      <c r="U172" t="str">
        <f>"Update dcollab.collab_user Set Pi = True where User_ID = '"&amp;A172&amp;"'; "</f>
        <v xml:space="preserve">Update dcollab.collab_user Set Pi = True where User_ID = 'CUSR00200'; </v>
      </c>
    </row>
    <row r="173" spans="1:21">
      <c r="A173" t="s">
        <v>9789</v>
      </c>
      <c r="B173" t="s">
        <v>2201</v>
      </c>
      <c r="C173" t="s">
        <v>10540</v>
      </c>
      <c r="D173" t="s">
        <v>2202</v>
      </c>
      <c r="E173" t="s">
        <v>60</v>
      </c>
      <c r="F173" t="s">
        <v>2203</v>
      </c>
      <c r="G173" t="s">
        <v>2204</v>
      </c>
      <c r="H173">
        <f t="shared" si="2"/>
        <v>1</v>
      </c>
      <c r="I173" t="s">
        <v>2205</v>
      </c>
      <c r="J173" t="s">
        <v>2206</v>
      </c>
      <c r="K173" t="str">
        <f>VLOOKUP(J173,Organisation!$A$2:$C$499,3,FALSE)</f>
        <v>CORG00040</v>
      </c>
      <c r="L173" t="str">
        <f>VLOOKUP(J173,Organisation!$A$2:$E$499,4,FALSE)</f>
        <v>Academic</v>
      </c>
      <c r="M173" t="s">
        <v>2207</v>
      </c>
      <c r="N173" t="s">
        <v>2208</v>
      </c>
      <c r="O173" t="s">
        <v>1256</v>
      </c>
      <c r="P173" s="3" t="s">
        <v>2209</v>
      </c>
      <c r="Q173" t="s">
        <v>2210</v>
      </c>
      <c r="S173" s="1">
        <v>1</v>
      </c>
      <c r="T173" t="str">
        <f>"Update Collaborator Set Organisation = '"&amp;J173&amp;"' where User_ID = '"&amp;B173&amp;"'; "</f>
        <v xml:space="preserve">Update Collaborator Set Organisation = 'Consejo Superior de Investigaciones Científicas' where User_ID = 'CU00172'; </v>
      </c>
      <c r="U173" t="str">
        <f>"Update dcollab.collab_user Set Pi = True where User_ID = '"&amp;A173&amp;"'; "</f>
        <v xml:space="preserve">Update dcollab.collab_user Set Pi = True where User_ID = 'CUSR00201'; </v>
      </c>
    </row>
    <row r="174" spans="1:21">
      <c r="A174" t="s">
        <v>9790</v>
      </c>
      <c r="B174" t="s">
        <v>4060</v>
      </c>
      <c r="D174" t="s">
        <v>2202</v>
      </c>
      <c r="E174" t="s">
        <v>60</v>
      </c>
      <c r="F174" t="s">
        <v>4061</v>
      </c>
      <c r="G174" t="s">
        <v>4062</v>
      </c>
      <c r="H174">
        <f t="shared" si="2"/>
        <v>1</v>
      </c>
      <c r="I174" t="s">
        <v>4063</v>
      </c>
      <c r="J174" t="s">
        <v>2206</v>
      </c>
      <c r="K174" t="str">
        <f>VLOOKUP(J174,Organisation!$A$2:$C$499,3,FALSE)</f>
        <v>CORG00040</v>
      </c>
      <c r="L174" t="str">
        <f>VLOOKUP(J174,Organisation!$A$2:$E$499,4,FALSE)</f>
        <v>Academic</v>
      </c>
      <c r="M174" t="s">
        <v>2207</v>
      </c>
      <c r="N174" t="s">
        <v>2208</v>
      </c>
      <c r="O174" t="s">
        <v>1256</v>
      </c>
      <c r="P174" s="3" t="s">
        <v>4064</v>
      </c>
      <c r="Q174" t="s">
        <v>4065</v>
      </c>
      <c r="S174" s="1">
        <v>1</v>
      </c>
      <c r="T174" t="str">
        <f>"Update Collaborator Set Organisation = '"&amp;J174&amp;"' where User_ID = '"&amp;B174&amp;"'; "</f>
        <v xml:space="preserve">Update Collaborator Set Organisation = 'Consejo Superior de Investigaciones Científicas' where User_ID = 'CU00173'; </v>
      </c>
    </row>
    <row r="175" spans="1:21">
      <c r="A175" t="s">
        <v>9791</v>
      </c>
      <c r="B175" t="s">
        <v>5245</v>
      </c>
      <c r="D175" t="s">
        <v>17</v>
      </c>
      <c r="E175" t="s">
        <v>60</v>
      </c>
      <c r="F175" t="s">
        <v>5246</v>
      </c>
      <c r="G175" t="s">
        <v>5247</v>
      </c>
      <c r="H175">
        <f t="shared" si="2"/>
        <v>1</v>
      </c>
      <c r="I175" t="s">
        <v>136</v>
      </c>
      <c r="J175" t="s">
        <v>22</v>
      </c>
      <c r="K175" t="str">
        <f>VLOOKUP(J175,Organisation!$A$2:$C$499,3,FALSE)</f>
        <v>CORG00248</v>
      </c>
      <c r="L175" t="str">
        <f>VLOOKUP(J175,Organisation!$A$2:$E$499,4,FALSE)</f>
        <v>Academic</v>
      </c>
      <c r="M175" t="s">
        <v>44</v>
      </c>
      <c r="N175" t="s">
        <v>5248</v>
      </c>
      <c r="O175" t="s">
        <v>25</v>
      </c>
      <c r="P175" s="3" t="s">
        <v>5249</v>
      </c>
      <c r="Q175" t="s">
        <v>5250</v>
      </c>
      <c r="S175" s="1">
        <v>1</v>
      </c>
      <c r="T175" t="str">
        <f>"Update Collaborator Set Organisation = '"&amp;J175&amp;"' where User_ID = '"&amp;B175&amp;"'; "</f>
        <v xml:space="preserve">Update Collaborator Set Organisation = 'University of Mosul' where User_ID = 'CU00174'; </v>
      </c>
    </row>
    <row r="176" spans="1:21">
      <c r="A176" t="s">
        <v>9792</v>
      </c>
      <c r="B176" t="s">
        <v>40</v>
      </c>
      <c r="C176" t="s">
        <v>10540</v>
      </c>
      <c r="D176" t="s">
        <v>17</v>
      </c>
      <c r="E176" t="s">
        <v>41</v>
      </c>
      <c r="F176" t="s">
        <v>42</v>
      </c>
      <c r="G176" t="s">
        <v>43</v>
      </c>
      <c r="H176">
        <f t="shared" si="2"/>
        <v>1</v>
      </c>
      <c r="I176" t="s">
        <v>8842</v>
      </c>
      <c r="J176" t="s">
        <v>22</v>
      </c>
      <c r="K176" t="str">
        <f>VLOOKUP(J176,Organisation!$A$2:$C$499,3,FALSE)</f>
        <v>CORG00248</v>
      </c>
      <c r="L176" t="str">
        <f>VLOOKUP(J176,Organisation!$A$2:$E$499,4,FALSE)</f>
        <v>Academic</v>
      </c>
      <c r="M176" t="s">
        <v>44</v>
      </c>
      <c r="N176" t="s">
        <v>24</v>
      </c>
      <c r="O176" t="s">
        <v>25</v>
      </c>
      <c r="P176" s="3" t="s">
        <v>45</v>
      </c>
      <c r="Q176" t="s">
        <v>46</v>
      </c>
      <c r="S176" s="1">
        <v>1</v>
      </c>
      <c r="T176" t="str">
        <f>"Update Collaborator Set Organisation = '"&amp;J176&amp;"' where User_ID = '"&amp;B176&amp;"'; "</f>
        <v xml:space="preserve">Update Collaborator Set Organisation = 'University of Mosul' where User_ID = 'CU00175'; </v>
      </c>
      <c r="U176" t="str">
        <f>"Update dcollab.collab_user Set Pi = True where User_ID = '"&amp;A176&amp;"'; "</f>
        <v xml:space="preserve">Update dcollab.collab_user Set Pi = True where User_ID = 'CUSR00204'; </v>
      </c>
    </row>
    <row r="177" spans="1:21">
      <c r="A177" t="s">
        <v>9799</v>
      </c>
      <c r="B177" t="s">
        <v>3968</v>
      </c>
      <c r="D177" t="s">
        <v>2947</v>
      </c>
      <c r="E177" t="s">
        <v>7</v>
      </c>
      <c r="F177" t="s">
        <v>3969</v>
      </c>
      <c r="G177" t="s">
        <v>3970</v>
      </c>
      <c r="H177">
        <f t="shared" si="2"/>
        <v>1</v>
      </c>
      <c r="I177" t="s">
        <v>282</v>
      </c>
      <c r="J177" t="s">
        <v>2949</v>
      </c>
      <c r="K177" t="str">
        <f>VLOOKUP(J177,Organisation!$A$2:$C$499,3,FALSE)</f>
        <v>CORG00163</v>
      </c>
      <c r="L177" t="str">
        <f>VLOOKUP(J177,Organisation!$A$2:$E$499,4,FALSE)</f>
        <v>Academic</v>
      </c>
      <c r="M177" t="s">
        <v>1263</v>
      </c>
      <c r="N177" t="s">
        <v>2950</v>
      </c>
      <c r="O177" t="s">
        <v>211</v>
      </c>
      <c r="P177" s="3" t="s">
        <v>3971</v>
      </c>
      <c r="Q177" t="s">
        <v>3972</v>
      </c>
      <c r="S177" s="1">
        <v>1</v>
      </c>
      <c r="T177" t="str">
        <f>"Update Collaborator Set Organisation = '"&amp;J177&amp;"' where User_ID = '"&amp;B177&amp;"'; "</f>
        <v xml:space="preserve">Update Collaborator Set Organisation = 'RTM Nagpur University' where User_ID = 'CU00176'; </v>
      </c>
    </row>
    <row r="178" spans="1:21">
      <c r="A178" t="s">
        <v>9800</v>
      </c>
      <c r="B178" t="s">
        <v>2946</v>
      </c>
      <c r="C178" t="s">
        <v>10540</v>
      </c>
      <c r="D178" t="s">
        <v>2947</v>
      </c>
      <c r="E178" t="s">
        <v>60</v>
      </c>
      <c r="F178" t="s">
        <v>1546</v>
      </c>
      <c r="G178" t="s">
        <v>2948</v>
      </c>
      <c r="H178">
        <f t="shared" si="2"/>
        <v>1</v>
      </c>
      <c r="I178" t="s">
        <v>71</v>
      </c>
      <c r="J178" t="s">
        <v>2949</v>
      </c>
      <c r="K178" t="str">
        <f>VLOOKUP(J178,Organisation!$A$2:$C$499,3,FALSE)</f>
        <v>CORG00163</v>
      </c>
      <c r="L178" t="str">
        <f>VLOOKUP(J178,Organisation!$A$2:$E$499,4,FALSE)</f>
        <v>Academic</v>
      </c>
      <c r="M178" t="s">
        <v>1263</v>
      </c>
      <c r="N178" t="s">
        <v>2950</v>
      </c>
      <c r="O178" t="s">
        <v>211</v>
      </c>
      <c r="P178" s="3" t="s">
        <v>2951</v>
      </c>
      <c r="Q178" t="s">
        <v>2952</v>
      </c>
      <c r="S178" s="1">
        <v>1</v>
      </c>
      <c r="T178" t="str">
        <f>"Update Collaborator Set Organisation = '"&amp;J178&amp;"' where User_ID = '"&amp;B178&amp;"'; "</f>
        <v xml:space="preserve">Update Collaborator Set Organisation = 'RTM Nagpur University' where User_ID = 'CU00177'; </v>
      </c>
      <c r="U178" t="str">
        <f>"Update dcollab.collab_user Set Pi = True where User_ID = '"&amp;A178&amp;"'; "</f>
        <v xml:space="preserve">Update dcollab.collab_user Set Pi = True where User_ID = 'CUSR00212'; </v>
      </c>
    </row>
    <row r="179" spans="1:21">
      <c r="A179" t="s">
        <v>9801</v>
      </c>
      <c r="B179" t="s">
        <v>659</v>
      </c>
      <c r="C179" t="s">
        <v>10540</v>
      </c>
      <c r="D179" t="s">
        <v>660</v>
      </c>
      <c r="E179" t="s">
        <v>41</v>
      </c>
      <c r="F179" t="s">
        <v>661</v>
      </c>
      <c r="G179" t="s">
        <v>662</v>
      </c>
      <c r="H179">
        <f t="shared" si="2"/>
        <v>1</v>
      </c>
      <c r="I179" t="s">
        <v>663</v>
      </c>
      <c r="J179" t="s">
        <v>8154</v>
      </c>
      <c r="K179" t="str">
        <f>VLOOKUP(J179,Organisation!$A$2:$C$499,3,FALSE)</f>
        <v>CORG00287</v>
      </c>
      <c r="L179" t="str">
        <f>VLOOKUP(J179,Organisation!$A$2:$E$499,4,FALSE)</f>
        <v>Academic</v>
      </c>
      <c r="M179" t="s">
        <v>664</v>
      </c>
      <c r="N179" t="s">
        <v>665</v>
      </c>
      <c r="O179" t="s">
        <v>8808</v>
      </c>
      <c r="P179" s="3" t="s">
        <v>666</v>
      </c>
      <c r="Q179" t="s">
        <v>667</v>
      </c>
      <c r="S179" s="1">
        <v>1</v>
      </c>
      <c r="T179" t="str">
        <f>"Update Collaborator Set Organisation = '"&amp;J179&amp;"' where User_ID = '"&amp;B179&amp;"'; "</f>
        <v xml:space="preserve">Update Collaborator Set Organisation = 'University of Virginia College at Wise' where User_ID = 'CU00178'; </v>
      </c>
      <c r="U179" t="str">
        <f>"Update dcollab.collab_user Set Pi = True where User_ID = '"&amp;A179&amp;"'; "</f>
        <v xml:space="preserve">Update dcollab.collab_user Set Pi = True where User_ID = 'CUSR00213'; </v>
      </c>
    </row>
    <row r="180" spans="1:21">
      <c r="A180" t="s">
        <v>9802</v>
      </c>
      <c r="B180" t="s">
        <v>4171</v>
      </c>
      <c r="C180" t="s">
        <v>10540</v>
      </c>
      <c r="D180" t="s">
        <v>4172</v>
      </c>
      <c r="E180" t="s">
        <v>41</v>
      </c>
      <c r="F180" t="s">
        <v>2561</v>
      </c>
      <c r="G180" t="s">
        <v>4173</v>
      </c>
      <c r="H180">
        <f t="shared" si="2"/>
        <v>1</v>
      </c>
      <c r="I180" t="s">
        <v>4100</v>
      </c>
      <c r="J180" t="s">
        <v>943</v>
      </c>
      <c r="K180" t="str">
        <f>VLOOKUP(J180,Organisation!$A$2:$C$499,3,FALSE)</f>
        <v>CORG00022</v>
      </c>
      <c r="L180" t="str">
        <f>VLOOKUP(J180,Organisation!$A$2:$E$499,4,FALSE)</f>
        <v>Academic</v>
      </c>
      <c r="M180" t="s">
        <v>944</v>
      </c>
      <c r="N180" t="s">
        <v>945</v>
      </c>
      <c r="O180" t="s">
        <v>8808</v>
      </c>
      <c r="P180" s="3" t="s">
        <v>4174</v>
      </c>
      <c r="Q180" t="s">
        <v>4175</v>
      </c>
      <c r="S180" s="1">
        <v>1</v>
      </c>
      <c r="T180" t="str">
        <f>"Update Collaborator Set Organisation = '"&amp;J180&amp;"' where User_ID = '"&amp;B180&amp;"'; "</f>
        <v xml:space="preserve">Update Collaborator Set Organisation = 'Boston University' where User_ID = 'CU00179'; </v>
      </c>
      <c r="U180" t="str">
        <f>"Update dcollab.collab_user Set Pi = True where User_ID = '"&amp;A180&amp;"'; "</f>
        <v xml:space="preserve">Update dcollab.collab_user Set Pi = True where User_ID = 'CUSR00214'; </v>
      </c>
    </row>
    <row r="181" spans="1:21">
      <c r="A181" t="s">
        <v>9803</v>
      </c>
      <c r="B181" t="s">
        <v>2404</v>
      </c>
      <c r="C181" t="s">
        <v>10540</v>
      </c>
      <c r="D181" t="s">
        <v>2405</v>
      </c>
      <c r="E181" t="s">
        <v>60</v>
      </c>
      <c r="F181" t="s">
        <v>531</v>
      </c>
      <c r="G181" t="s">
        <v>2406</v>
      </c>
      <c r="H181">
        <f t="shared" si="2"/>
        <v>1</v>
      </c>
      <c r="I181" t="s">
        <v>71</v>
      </c>
      <c r="J181" t="s">
        <v>1105</v>
      </c>
      <c r="K181" t="str">
        <f>VLOOKUP(J181,Organisation!$A$2:$C$499,3,FALSE)</f>
        <v>CORG00299</v>
      </c>
      <c r="L181" t="str">
        <f>VLOOKUP(J181,Organisation!$A$2:$E$499,4,FALSE)</f>
        <v>Academic</v>
      </c>
      <c r="M181" t="s">
        <v>73</v>
      </c>
      <c r="N181" t="s">
        <v>2407</v>
      </c>
      <c r="O181" t="s">
        <v>8808</v>
      </c>
      <c r="P181" s="3" t="s">
        <v>2408</v>
      </c>
      <c r="Q181" t="s">
        <v>2409</v>
      </c>
      <c r="S181" s="1">
        <v>1</v>
      </c>
      <c r="T181" t="str">
        <f>"Update Collaborator Set Organisation = '"&amp;J181&amp;"' where User_ID = '"&amp;B181&amp;"'; "</f>
        <v xml:space="preserve">Update Collaborator Set Organisation = 'Vanderbilt University' where User_ID = 'CU00180'; </v>
      </c>
      <c r="U181" t="str">
        <f>"Update dcollab.collab_user Set Pi = True where User_ID = '"&amp;A181&amp;"'; "</f>
        <v xml:space="preserve">Update dcollab.collab_user Set Pi = True where User_ID = 'CUSR00215'; </v>
      </c>
    </row>
    <row r="182" spans="1:21">
      <c r="A182" t="s">
        <v>9804</v>
      </c>
      <c r="B182" t="s">
        <v>5187</v>
      </c>
      <c r="C182" t="s">
        <v>10540</v>
      </c>
      <c r="D182" t="s">
        <v>468</v>
      </c>
      <c r="E182" t="s">
        <v>41</v>
      </c>
      <c r="F182" t="s">
        <v>5188</v>
      </c>
      <c r="G182" t="s">
        <v>5189</v>
      </c>
      <c r="H182">
        <f t="shared" si="2"/>
        <v>1</v>
      </c>
      <c r="I182" t="s">
        <v>5190</v>
      </c>
      <c r="J182" t="s">
        <v>8771</v>
      </c>
      <c r="K182" t="str">
        <f>VLOOKUP(J182,Organisation!$A$2:$C$499,3,FALSE)</f>
        <v>CORG00135</v>
      </c>
      <c r="L182" t="str">
        <f>VLOOKUP(J182,Organisation!$A$2:$E$499,4,FALSE)</f>
        <v>Academic</v>
      </c>
      <c r="M182" t="s">
        <v>73</v>
      </c>
      <c r="N182" t="s">
        <v>5179</v>
      </c>
      <c r="O182" t="s">
        <v>211</v>
      </c>
      <c r="P182" s="3" t="s">
        <v>5191</v>
      </c>
      <c r="Q182" t="s">
        <v>5192</v>
      </c>
      <c r="S182" s="1">
        <v>1</v>
      </c>
      <c r="T182" t="str">
        <f>"Update Collaborator Set Organisation = '"&amp;J182&amp;"' where User_ID = '"&amp;B182&amp;"'; "</f>
        <v xml:space="preserve">Update Collaborator Set Organisation = 'National Institute of Technology Warangal' where User_ID = 'CU00181'; </v>
      </c>
      <c r="U182" t="str">
        <f>"Update dcollab.collab_user Set Pi = True where User_ID = '"&amp;A182&amp;"'; "</f>
        <v xml:space="preserve">Update dcollab.collab_user Set Pi = True where User_ID = 'CUSR00216'; </v>
      </c>
    </row>
    <row r="183" spans="1:21">
      <c r="A183" t="s">
        <v>9807</v>
      </c>
      <c r="B183" t="s">
        <v>1916</v>
      </c>
      <c r="C183" t="s">
        <v>10540</v>
      </c>
      <c r="D183" t="s">
        <v>1917</v>
      </c>
      <c r="E183" t="s">
        <v>7</v>
      </c>
      <c r="F183" t="s">
        <v>1918</v>
      </c>
      <c r="G183" t="s">
        <v>1919</v>
      </c>
      <c r="H183">
        <f t="shared" si="2"/>
        <v>1</v>
      </c>
      <c r="I183" t="s">
        <v>1920</v>
      </c>
      <c r="J183" t="s">
        <v>1920</v>
      </c>
      <c r="K183" t="str">
        <f>VLOOKUP(J183,Organisation!$A$2:$C$499,3,FALSE)</f>
        <v>CORG00076</v>
      </c>
      <c r="L183" t="str">
        <f>VLOOKUP(J183,Organisation!$A$2:$E$499,4,FALSE)</f>
        <v>Academic</v>
      </c>
      <c r="M183" t="s">
        <v>1920</v>
      </c>
      <c r="N183" t="s">
        <v>1921</v>
      </c>
      <c r="O183" t="s">
        <v>211</v>
      </c>
      <c r="P183" s="3" t="s">
        <v>1922</v>
      </c>
      <c r="Q183" t="s">
        <v>1923</v>
      </c>
      <c r="S183" s="1">
        <v>1</v>
      </c>
      <c r="T183" t="str">
        <f>"Update Collaborator Set Organisation = '"&amp;J183&amp;"' where User_ID = '"&amp;B183&amp;"'; "</f>
        <v xml:space="preserve">Update Collaborator Set Organisation = 'Independent Researcher' where User_ID = 'CU00182'; </v>
      </c>
      <c r="U183" t="str">
        <f>"Update dcollab.collab_user Set Pi = True where User_ID = '"&amp;A183&amp;"'; "</f>
        <v xml:space="preserve">Update dcollab.collab_user Set Pi = True where User_ID = 'CUSR00219'; </v>
      </c>
    </row>
    <row r="184" spans="1:21">
      <c r="A184" t="s">
        <v>9808</v>
      </c>
      <c r="B184" t="s">
        <v>967</v>
      </c>
      <c r="C184" t="s">
        <v>10540</v>
      </c>
      <c r="D184" t="s">
        <v>968</v>
      </c>
      <c r="E184" t="s">
        <v>41</v>
      </c>
      <c r="F184" t="s">
        <v>969</v>
      </c>
      <c r="G184" t="s">
        <v>970</v>
      </c>
      <c r="H184">
        <f t="shared" si="2"/>
        <v>1</v>
      </c>
      <c r="I184" t="s">
        <v>681</v>
      </c>
      <c r="J184" t="s">
        <v>8764</v>
      </c>
      <c r="K184" t="str">
        <f>VLOOKUP(J184,Organisation!$A$2:$C$499,3,FALSE)</f>
        <v>CORG00095</v>
      </c>
      <c r="L184" t="str">
        <f>VLOOKUP(J184,Organisation!$A$2:$E$499,4,FALSE)</f>
        <v>Academic</v>
      </c>
      <c r="M184" t="s">
        <v>972</v>
      </c>
      <c r="N184" t="s">
        <v>973</v>
      </c>
      <c r="O184" t="s">
        <v>557</v>
      </c>
      <c r="P184" s="3" t="s">
        <v>974</v>
      </c>
      <c r="Q184" t="s">
        <v>975</v>
      </c>
      <c r="S184" s="1">
        <v>1</v>
      </c>
      <c r="T184" t="str">
        <f>"Update Collaborator Set Organisation = '"&amp;J184&amp;"' where User_ID = '"&amp;B184&amp;"'; "</f>
        <v xml:space="preserve">Update Collaborator Set Organisation = 'Karlsruhe Institute of Technology' where User_ID = 'CU00183'; </v>
      </c>
      <c r="U184" t="str">
        <f>"Update dcollab.collab_user Set Pi = True where User_ID = '"&amp;A184&amp;"'; "</f>
        <v xml:space="preserve">Update dcollab.collab_user Set Pi = True where User_ID = 'CUSR00220'; </v>
      </c>
    </row>
    <row r="185" spans="1:21">
      <c r="A185" t="s">
        <v>9811</v>
      </c>
      <c r="B185" t="s">
        <v>1259</v>
      </c>
      <c r="C185" t="s">
        <v>10540</v>
      </c>
      <c r="D185" t="s">
        <v>1260</v>
      </c>
      <c r="E185" t="s">
        <v>60</v>
      </c>
      <c r="F185" t="s">
        <v>689</v>
      </c>
      <c r="G185" t="s">
        <v>1261</v>
      </c>
      <c r="H185">
        <f t="shared" si="2"/>
        <v>1</v>
      </c>
      <c r="I185" t="s">
        <v>190</v>
      </c>
      <c r="J185" t="s">
        <v>1262</v>
      </c>
      <c r="K185" t="str">
        <f>VLOOKUP(J185,Organisation!$A$2:$C$499,3,FALSE)</f>
        <v>CORG00251</v>
      </c>
      <c r="L185" t="str">
        <f>VLOOKUP(J185,Organisation!$A$2:$E$499,4,FALSE)</f>
        <v>Academic</v>
      </c>
      <c r="M185" t="s">
        <v>1263</v>
      </c>
      <c r="N185" t="s">
        <v>1264</v>
      </c>
      <c r="O185" t="s">
        <v>8808</v>
      </c>
      <c r="P185" s="3" t="s">
        <v>1265</v>
      </c>
      <c r="Q185" t="s">
        <v>1266</v>
      </c>
      <c r="S185" s="1">
        <v>1</v>
      </c>
      <c r="T185" t="str">
        <f>"Update Collaborator Set Organisation = '"&amp;J185&amp;"' where User_ID = '"&amp;B185&amp;"'; "</f>
        <v xml:space="preserve">Update Collaborator Set Organisation = 'University of Nebraska Medical Center' where User_ID = 'CU00184'; </v>
      </c>
      <c r="U185" t="str">
        <f>"Update dcollab.collab_user Set Pi = True where User_ID = '"&amp;A185&amp;"'; "</f>
        <v xml:space="preserve">Update dcollab.collab_user Set Pi = True where User_ID = 'CUSR00223'; </v>
      </c>
    </row>
    <row r="186" spans="1:21">
      <c r="A186" t="s">
        <v>9812</v>
      </c>
      <c r="B186" t="s">
        <v>4301</v>
      </c>
      <c r="D186" t="s">
        <v>1260</v>
      </c>
      <c r="E186" t="s">
        <v>60</v>
      </c>
      <c r="F186" t="s">
        <v>4302</v>
      </c>
      <c r="G186" t="s">
        <v>1582</v>
      </c>
      <c r="H186">
        <f t="shared" si="2"/>
        <v>3</v>
      </c>
      <c r="I186" t="s">
        <v>1073</v>
      </c>
      <c r="J186" t="s">
        <v>1262</v>
      </c>
      <c r="K186" t="str">
        <f>VLOOKUP(J186,Organisation!$A$2:$C$499,3,FALSE)</f>
        <v>CORG00251</v>
      </c>
      <c r="L186" t="str">
        <f>VLOOKUP(J186,Organisation!$A$2:$E$499,4,FALSE)</f>
        <v>Academic</v>
      </c>
      <c r="M186" t="s">
        <v>1263</v>
      </c>
      <c r="O186" t="s">
        <v>8808</v>
      </c>
      <c r="P186" s="3" t="s">
        <v>4303</v>
      </c>
      <c r="Q186" t="s">
        <v>4304</v>
      </c>
      <c r="S186" s="1">
        <v>0</v>
      </c>
      <c r="T186" t="str">
        <f>"Update Collaborator Set Organisation = '"&amp;J186&amp;"' where User_ID = '"&amp;B186&amp;"'; "</f>
        <v xml:space="preserve">Update Collaborator Set Organisation = 'University of Nebraska Medical Center' where User_ID = 'CU00185'; </v>
      </c>
    </row>
    <row r="187" spans="1:21">
      <c r="A187" t="s">
        <v>9815</v>
      </c>
      <c r="B187" t="s">
        <v>3027</v>
      </c>
      <c r="D187" t="s">
        <v>1468</v>
      </c>
      <c r="E187" t="s">
        <v>60</v>
      </c>
      <c r="F187" t="s">
        <v>1469</v>
      </c>
      <c r="G187" t="s">
        <v>3028</v>
      </c>
      <c r="H187">
        <f t="shared" si="2"/>
        <v>1</v>
      </c>
      <c r="I187" t="s">
        <v>3029</v>
      </c>
      <c r="J187" t="s">
        <v>1471</v>
      </c>
      <c r="K187" t="str">
        <f>VLOOKUP(J187,Organisation!$A$2:$C$499,3,FALSE)</f>
        <v>CORG00139</v>
      </c>
      <c r="L187" t="str">
        <f>VLOOKUP(J187,Organisation!$A$2:$E$499,4,FALSE)</f>
        <v>Academic</v>
      </c>
      <c r="M187" t="s">
        <v>3030</v>
      </c>
      <c r="N187" t="s">
        <v>3031</v>
      </c>
      <c r="O187" t="s">
        <v>427</v>
      </c>
      <c r="P187" s="3" t="s">
        <v>3032</v>
      </c>
      <c r="Q187" t="s">
        <v>3033</v>
      </c>
      <c r="S187" s="1">
        <v>1</v>
      </c>
      <c r="T187" t="str">
        <f>"Update Collaborator Set Organisation = '"&amp;J187&amp;"' where User_ID = '"&amp;B187&amp;"'; "</f>
        <v xml:space="preserve">Update Collaborator Set Organisation = 'National University of Pharmacy' where User_ID = 'CU00186'; </v>
      </c>
    </row>
    <row r="188" spans="1:21">
      <c r="A188" t="s">
        <v>9816</v>
      </c>
      <c r="B188" t="s">
        <v>4656</v>
      </c>
      <c r="C188" t="s">
        <v>10540</v>
      </c>
      <c r="D188" t="s">
        <v>1468</v>
      </c>
      <c r="E188" t="s">
        <v>41</v>
      </c>
      <c r="F188" t="s">
        <v>3028</v>
      </c>
      <c r="G188" t="s">
        <v>4657</v>
      </c>
      <c r="H188">
        <f t="shared" si="2"/>
        <v>1</v>
      </c>
      <c r="I188" t="s">
        <v>516</v>
      </c>
      <c r="J188" t="s">
        <v>4658</v>
      </c>
      <c r="K188" t="str">
        <f>VLOOKUP(J188,Organisation!$A$2:$C$499,3,FALSE)</f>
        <v>CORG00298</v>
      </c>
      <c r="L188" t="str">
        <f>VLOOKUP(J188,Organisation!$A$2:$E$499,4,FALSE)</f>
        <v>Academic</v>
      </c>
      <c r="M188" t="s">
        <v>692</v>
      </c>
      <c r="N188" t="s">
        <v>4659</v>
      </c>
      <c r="O188" t="s">
        <v>427</v>
      </c>
      <c r="P188" s="3" t="s">
        <v>4660</v>
      </c>
      <c r="Q188" t="s">
        <v>4661</v>
      </c>
      <c r="S188" s="1">
        <v>1</v>
      </c>
      <c r="T188" t="str">
        <f>"Update Collaborator Set Organisation = '"&amp;J188&amp;"' where User_ID = '"&amp;B188&amp;"'; "</f>
        <v xml:space="preserve">Update Collaborator Set Organisation = 'V.N. Karazin Kharkiv National University' where User_ID = 'CU00187'; </v>
      </c>
      <c r="U188" t="str">
        <f>"Update dcollab.collab_user Set Pi = True where User_ID = '"&amp;A188&amp;"'; "</f>
        <v xml:space="preserve">Update dcollab.collab_user Set Pi = True where User_ID = 'CUSR00228'; </v>
      </c>
    </row>
    <row r="189" spans="1:21">
      <c r="A189" t="s">
        <v>9817</v>
      </c>
      <c r="B189" t="s">
        <v>5208</v>
      </c>
      <c r="D189" t="s">
        <v>1468</v>
      </c>
      <c r="E189" t="s">
        <v>60</v>
      </c>
      <c r="F189" t="s">
        <v>5209</v>
      </c>
      <c r="G189" t="s">
        <v>5210</v>
      </c>
      <c r="H189">
        <f t="shared" si="2"/>
        <v>1</v>
      </c>
      <c r="I189" t="s">
        <v>5211</v>
      </c>
      <c r="J189" t="s">
        <v>1471</v>
      </c>
      <c r="K189" t="str">
        <f>VLOOKUP(J189,Organisation!$A$2:$C$499,3,FALSE)</f>
        <v>CORG00139</v>
      </c>
      <c r="L189" t="str">
        <f>VLOOKUP(J189,Organisation!$A$2:$E$499,4,FALSE)</f>
        <v>Academic</v>
      </c>
      <c r="M189" t="s">
        <v>3030</v>
      </c>
      <c r="N189" t="s">
        <v>3031</v>
      </c>
      <c r="O189" t="s">
        <v>427</v>
      </c>
      <c r="P189" s="3" t="s">
        <v>5212</v>
      </c>
      <c r="Q189" t="s">
        <v>5213</v>
      </c>
      <c r="S189" s="1">
        <v>1</v>
      </c>
      <c r="T189" t="str">
        <f>"Update Collaborator Set Organisation = '"&amp;J189&amp;"' where User_ID = '"&amp;B189&amp;"'; "</f>
        <v xml:space="preserve">Update Collaborator Set Organisation = 'National University of Pharmacy' where User_ID = 'CU00188'; </v>
      </c>
    </row>
    <row r="190" spans="1:21">
      <c r="A190" t="s">
        <v>9818</v>
      </c>
      <c r="B190" t="s">
        <v>1467</v>
      </c>
      <c r="D190" t="s">
        <v>1468</v>
      </c>
      <c r="E190" t="s">
        <v>41</v>
      </c>
      <c r="F190" t="s">
        <v>1469</v>
      </c>
      <c r="G190" t="s">
        <v>1470</v>
      </c>
      <c r="H190">
        <f t="shared" si="2"/>
        <v>1</v>
      </c>
      <c r="I190" t="s">
        <v>423</v>
      </c>
      <c r="J190" t="s">
        <v>1471</v>
      </c>
      <c r="K190" t="str">
        <f>VLOOKUP(J190,Organisation!$A$2:$C$499,3,FALSE)</f>
        <v>CORG00139</v>
      </c>
      <c r="L190" t="str">
        <f>VLOOKUP(J190,Organisation!$A$2:$E$499,4,FALSE)</f>
        <v>Academic</v>
      </c>
      <c r="M190" t="s">
        <v>1472</v>
      </c>
      <c r="N190" t="s">
        <v>1473</v>
      </c>
      <c r="O190" t="s">
        <v>427</v>
      </c>
      <c r="P190" s="3" t="s">
        <v>1474</v>
      </c>
      <c r="Q190" t="s">
        <v>1475</v>
      </c>
      <c r="S190" s="1">
        <v>1</v>
      </c>
      <c r="T190" t="str">
        <f>"Update Collaborator Set Organisation = '"&amp;J190&amp;"' where User_ID = '"&amp;B190&amp;"'; "</f>
        <v xml:space="preserve">Update Collaborator Set Organisation = 'National University of Pharmacy' where User_ID = 'CU00189'; </v>
      </c>
    </row>
    <row r="191" spans="1:21">
      <c r="A191" t="s">
        <v>9805</v>
      </c>
      <c r="B191" t="s">
        <v>5176</v>
      </c>
      <c r="D191" t="s">
        <v>468</v>
      </c>
      <c r="E191" t="s">
        <v>7</v>
      </c>
      <c r="F191" t="s">
        <v>5177</v>
      </c>
      <c r="G191" t="s">
        <v>5178</v>
      </c>
      <c r="H191">
        <f t="shared" si="2"/>
        <v>1</v>
      </c>
      <c r="I191" t="s">
        <v>282</v>
      </c>
      <c r="J191" t="s">
        <v>8771</v>
      </c>
      <c r="K191" t="str">
        <f>VLOOKUP(J191,Organisation!$A$2:$C$499,3,FALSE)</f>
        <v>CORG00135</v>
      </c>
      <c r="L191" t="str">
        <f>VLOOKUP(J191,Organisation!$A$2:$E$499,4,FALSE)</f>
        <v>Academic</v>
      </c>
      <c r="M191" t="s">
        <v>5179</v>
      </c>
      <c r="N191" t="s">
        <v>73</v>
      </c>
      <c r="O191" t="s">
        <v>211</v>
      </c>
      <c r="P191" s="3" t="s">
        <v>5180</v>
      </c>
      <c r="Q191" t="s">
        <v>5181</v>
      </c>
      <c r="S191" s="1">
        <v>1</v>
      </c>
      <c r="T191" t="str">
        <f>"Update Collaborator Set Organisation = '"&amp;J191&amp;"' where User_ID = '"&amp;B191&amp;"'; "</f>
        <v xml:space="preserve">Update Collaborator Set Organisation = 'National Institute of Technology Warangal' where User_ID = 'CU00190'; </v>
      </c>
    </row>
    <row r="192" spans="1:21">
      <c r="A192" t="s">
        <v>9820</v>
      </c>
      <c r="B192" t="s">
        <v>3585</v>
      </c>
      <c r="C192" t="s">
        <v>10540</v>
      </c>
      <c r="D192" t="s">
        <v>3586</v>
      </c>
      <c r="E192" t="s">
        <v>60</v>
      </c>
      <c r="F192" t="s">
        <v>3587</v>
      </c>
      <c r="G192" t="s">
        <v>3588</v>
      </c>
      <c r="H192">
        <f t="shared" si="2"/>
        <v>1</v>
      </c>
      <c r="I192" t="s">
        <v>33</v>
      </c>
      <c r="J192" t="s">
        <v>1234</v>
      </c>
      <c r="K192" t="str">
        <f>VLOOKUP(J192,Organisation!$A$2:$C$499,3,FALSE)</f>
        <v>CORG00209</v>
      </c>
      <c r="L192" t="str">
        <f>VLOOKUP(J192,Organisation!$A$2:$E$499,4,FALSE)</f>
        <v>Academic</v>
      </c>
      <c r="M192" t="s">
        <v>712</v>
      </c>
      <c r="N192" t="s">
        <v>3589</v>
      </c>
      <c r="O192" t="s">
        <v>1235</v>
      </c>
      <c r="P192" s="3" t="s">
        <v>3590</v>
      </c>
      <c r="Q192" t="s">
        <v>3591</v>
      </c>
      <c r="S192" s="1">
        <v>1</v>
      </c>
      <c r="T192" t="str">
        <f>"Update Collaborator Set Organisation = '"&amp;J192&amp;"' where User_ID = '"&amp;B192&amp;"'; "</f>
        <v xml:space="preserve">Update Collaborator Set Organisation = 'University College Cork' where User_ID = 'CU00191'; </v>
      </c>
      <c r="U192" t="str">
        <f>"Update dcollab.collab_user Set Pi = True where User_ID = '"&amp;A192&amp;"'; "</f>
        <v xml:space="preserve">Update dcollab.collab_user Set Pi = True where User_ID = 'CUSR00232'; </v>
      </c>
    </row>
    <row r="193" spans="1:21">
      <c r="A193" t="s">
        <v>9821</v>
      </c>
      <c r="B193" t="s">
        <v>3169</v>
      </c>
      <c r="D193" t="s">
        <v>3058</v>
      </c>
      <c r="E193" t="s">
        <v>60</v>
      </c>
      <c r="F193" t="s">
        <v>3170</v>
      </c>
      <c r="G193" t="s">
        <v>3171</v>
      </c>
      <c r="H193">
        <f t="shared" si="2"/>
        <v>1</v>
      </c>
      <c r="I193" t="s">
        <v>2391</v>
      </c>
      <c r="J193" t="s">
        <v>3062</v>
      </c>
      <c r="K193" t="str">
        <f>VLOOKUP(J193,Organisation!$A$2:$C$499,3,FALSE)</f>
        <v>CORG00105</v>
      </c>
      <c r="L193" t="str">
        <f>VLOOKUP(J193,Organisation!$A$2:$E$499,4,FALSE)</f>
        <v>Academic</v>
      </c>
      <c r="M193" t="s">
        <v>3063</v>
      </c>
      <c r="N193" t="s">
        <v>3064</v>
      </c>
      <c r="O193" t="s">
        <v>557</v>
      </c>
      <c r="P193" s="3" t="s">
        <v>3172</v>
      </c>
      <c r="Q193" t="s">
        <v>3173</v>
      </c>
      <c r="S193" s="1">
        <v>0</v>
      </c>
      <c r="T193" t="str">
        <f>"Update Collaborator Set Organisation = '"&amp;J193&amp;"' where User_ID = '"&amp;B193&amp;"'; "</f>
        <v xml:space="preserve">Update Collaborator Set Organisation = 'Leuphana University Lueneburg' where User_ID = 'CU00192'; </v>
      </c>
    </row>
    <row r="194" spans="1:21">
      <c r="A194" t="s">
        <v>9822</v>
      </c>
      <c r="B194" t="s">
        <v>3057</v>
      </c>
      <c r="C194" t="s">
        <v>10540</v>
      </c>
      <c r="D194" t="s">
        <v>3058</v>
      </c>
      <c r="E194" t="s">
        <v>41</v>
      </c>
      <c r="F194" t="s">
        <v>3059</v>
      </c>
      <c r="G194" t="s">
        <v>3060</v>
      </c>
      <c r="H194">
        <f t="shared" ref="H194:H257" si="3">COUNTIF($G$2:$G$900,G194)</f>
        <v>1</v>
      </c>
      <c r="I194" t="s">
        <v>3061</v>
      </c>
      <c r="J194" t="s">
        <v>3062</v>
      </c>
      <c r="K194" t="str">
        <f>VLOOKUP(J194,Organisation!$A$2:$C$499,3,FALSE)</f>
        <v>CORG00105</v>
      </c>
      <c r="L194" t="str">
        <f>VLOOKUP(J194,Organisation!$A$2:$E$499,4,FALSE)</f>
        <v>Academic</v>
      </c>
      <c r="M194" t="s">
        <v>3063</v>
      </c>
      <c r="N194" t="s">
        <v>3064</v>
      </c>
      <c r="O194" t="s">
        <v>557</v>
      </c>
      <c r="P194" s="3" t="s">
        <v>3065</v>
      </c>
      <c r="Q194" t="s">
        <v>3066</v>
      </c>
      <c r="S194" s="1">
        <v>1</v>
      </c>
      <c r="T194" t="str">
        <f>"Update Collaborator Set Organisation = '"&amp;J194&amp;"' where User_ID = '"&amp;B194&amp;"'; "</f>
        <v xml:space="preserve">Update Collaborator Set Organisation = 'Leuphana University Lueneburg' where User_ID = 'CU00193'; </v>
      </c>
      <c r="U194" t="str">
        <f>"Update dcollab.collab_user Set Pi = True where User_ID = '"&amp;A194&amp;"'; "</f>
        <v xml:space="preserve">Update dcollab.collab_user Set Pi = True where User_ID = 'CUSR00234'; </v>
      </c>
    </row>
    <row r="195" spans="1:21">
      <c r="A195" t="s">
        <v>9823</v>
      </c>
      <c r="B195" t="s">
        <v>4280</v>
      </c>
      <c r="D195" t="s">
        <v>3058</v>
      </c>
      <c r="E195" t="s">
        <v>60</v>
      </c>
      <c r="F195" t="s">
        <v>4281</v>
      </c>
      <c r="G195" t="s">
        <v>4282</v>
      </c>
      <c r="H195">
        <f t="shared" si="3"/>
        <v>1</v>
      </c>
      <c r="I195" t="s">
        <v>2166</v>
      </c>
      <c r="J195" t="s">
        <v>3062</v>
      </c>
      <c r="K195" t="str">
        <f>VLOOKUP(J195,Organisation!$A$2:$C$499,3,FALSE)</f>
        <v>CORG00105</v>
      </c>
      <c r="L195" t="str">
        <f>VLOOKUP(J195,Organisation!$A$2:$E$499,4,FALSE)</f>
        <v>Academic</v>
      </c>
      <c r="M195" t="s">
        <v>3063</v>
      </c>
      <c r="N195" t="s">
        <v>3064</v>
      </c>
      <c r="O195" t="s">
        <v>557</v>
      </c>
      <c r="P195" s="3" t="s">
        <v>4283</v>
      </c>
      <c r="Q195" t="s">
        <v>4284</v>
      </c>
      <c r="S195" s="1">
        <v>0</v>
      </c>
      <c r="T195" t="str">
        <f>"Update Collaborator Set Organisation = '"&amp;J195&amp;"' where User_ID = '"&amp;B195&amp;"'; "</f>
        <v xml:space="preserve">Update Collaborator Set Organisation = 'Leuphana University Lueneburg' where User_ID = 'CU00194'; </v>
      </c>
    </row>
    <row r="196" spans="1:21">
      <c r="A196" t="s">
        <v>9825</v>
      </c>
      <c r="B196" t="s">
        <v>1109</v>
      </c>
      <c r="C196" t="s">
        <v>10540</v>
      </c>
      <c r="D196" t="s">
        <v>1110</v>
      </c>
      <c r="E196" t="s">
        <v>60</v>
      </c>
      <c r="F196" t="s">
        <v>1111</v>
      </c>
      <c r="G196" t="s">
        <v>1112</v>
      </c>
      <c r="H196">
        <f t="shared" si="3"/>
        <v>1</v>
      </c>
      <c r="I196" t="s">
        <v>1113</v>
      </c>
      <c r="J196" t="s">
        <v>1114</v>
      </c>
      <c r="K196" t="str">
        <f>VLOOKUP(J196,Organisation!$A$2:$C$499,3,FALSE)</f>
        <v>CORG00106</v>
      </c>
      <c r="L196" t="str">
        <f>VLOOKUP(J196,Organisation!$A$2:$E$499,4,FALSE)</f>
        <v>Academic</v>
      </c>
      <c r="M196" t="s">
        <v>1115</v>
      </c>
      <c r="N196" t="s">
        <v>1116</v>
      </c>
      <c r="O196" t="s">
        <v>14</v>
      </c>
      <c r="P196" s="3" t="s">
        <v>1117</v>
      </c>
      <c r="Q196" t="s">
        <v>1118</v>
      </c>
      <c r="S196" s="1">
        <v>1</v>
      </c>
      <c r="T196" t="str">
        <f>"Update Collaborator Set Organisation = '"&amp;J196&amp;"' where User_ID = '"&amp;B196&amp;"'; "</f>
        <v xml:space="preserve">Update Collaborator Set Organisation = 'Macquarie University' where User_ID = 'CU00195'; </v>
      </c>
      <c r="U196" t="str">
        <f>"Update dcollab.collab_user Set Pi = True where User_ID = '"&amp;A196&amp;"'; "</f>
        <v xml:space="preserve">Update dcollab.collab_user Set Pi = True where User_ID = 'CUSR00237'; </v>
      </c>
    </row>
    <row r="197" spans="1:21">
      <c r="A197" t="s">
        <v>9826</v>
      </c>
      <c r="B197" t="s">
        <v>4823</v>
      </c>
      <c r="C197" t="s">
        <v>10540</v>
      </c>
      <c r="D197" t="s">
        <v>4824</v>
      </c>
      <c r="E197" t="s">
        <v>60</v>
      </c>
      <c r="F197" t="s">
        <v>1848</v>
      </c>
      <c r="G197" t="s">
        <v>4825</v>
      </c>
      <c r="H197">
        <f t="shared" si="3"/>
        <v>1</v>
      </c>
      <c r="I197" t="s">
        <v>4826</v>
      </c>
      <c r="J197" t="s">
        <v>3052</v>
      </c>
      <c r="K197" t="str">
        <f>VLOOKUP(J197,Organisation!$A$2:$C$499,3,FALSE)</f>
        <v>CORG00225</v>
      </c>
      <c r="L197" t="str">
        <f>VLOOKUP(J197,Organisation!$A$2:$E$499,4,FALSE)</f>
        <v>Academic</v>
      </c>
      <c r="M197" t="s">
        <v>4827</v>
      </c>
      <c r="N197" t="s">
        <v>4828</v>
      </c>
      <c r="O197" t="s">
        <v>269</v>
      </c>
      <c r="P197" s="3" t="s">
        <v>4829</v>
      </c>
      <c r="Q197" t="s">
        <v>4830</v>
      </c>
      <c r="S197" s="1">
        <v>1</v>
      </c>
      <c r="T197" t="str">
        <f>"Update Collaborator Set Organisation = '"&amp;J197&amp;"' where User_ID = '"&amp;B197&amp;"'; "</f>
        <v xml:space="preserve">Update Collaborator Set Organisation = 'University of Central Lancashire' where User_ID = 'CU00196'; </v>
      </c>
      <c r="U197" t="str">
        <f>"Update dcollab.collab_user Set Pi = True where User_ID = '"&amp;A197&amp;"'; "</f>
        <v xml:space="preserve">Update dcollab.collab_user Set Pi = True where User_ID = 'CUSR00238'; </v>
      </c>
    </row>
    <row r="198" spans="1:21">
      <c r="A198" t="s">
        <v>9827</v>
      </c>
      <c r="B198" t="s">
        <v>1983</v>
      </c>
      <c r="C198" t="s">
        <v>10540</v>
      </c>
      <c r="D198" t="s">
        <v>1984</v>
      </c>
      <c r="E198" t="s">
        <v>41</v>
      </c>
      <c r="F198" t="s">
        <v>1985</v>
      </c>
      <c r="G198" t="s">
        <v>1986</v>
      </c>
      <c r="H198">
        <f t="shared" si="3"/>
        <v>1</v>
      </c>
      <c r="I198" t="s">
        <v>71</v>
      </c>
      <c r="J198" t="s">
        <v>8153</v>
      </c>
      <c r="K198" t="str">
        <f>VLOOKUP(J198,Organisation!$A$2:$C$499,3,FALSE)</f>
        <v>CORG00205</v>
      </c>
      <c r="L198" t="str">
        <f>VLOOKUP(J198,Organisation!$A$2:$E$499,4,FALSE)</f>
        <v>Academic</v>
      </c>
      <c r="M198" t="s">
        <v>1987</v>
      </c>
      <c r="N198" t="s">
        <v>1988</v>
      </c>
      <c r="O198" t="s">
        <v>704</v>
      </c>
      <c r="P198" s="3" t="s">
        <v>1989</v>
      </c>
      <c r="Q198" t="s">
        <v>1990</v>
      </c>
      <c r="S198" s="1">
        <v>1</v>
      </c>
      <c r="T198" t="str">
        <f>"Update Collaborator Set Organisation = '"&amp;J198&amp;"' where User_ID = '"&amp;B198&amp;"'; "</f>
        <v xml:space="preserve">Update Collaborator Set Organisation = 'Universite du Littoral-Cote Opale' where User_ID = 'CU00197'; </v>
      </c>
      <c r="U198" t="str">
        <f>"Update dcollab.collab_user Set Pi = True where User_ID = '"&amp;A198&amp;"'; "</f>
        <v xml:space="preserve">Update dcollab.collab_user Set Pi = True where User_ID = 'CUSR00239'; </v>
      </c>
    </row>
    <row r="199" spans="1:21">
      <c r="A199" t="s">
        <v>9828</v>
      </c>
      <c r="B199" t="s">
        <v>288</v>
      </c>
      <c r="C199" t="s">
        <v>10540</v>
      </c>
      <c r="D199" t="s">
        <v>289</v>
      </c>
      <c r="E199" t="s">
        <v>60</v>
      </c>
      <c r="F199" t="s">
        <v>290</v>
      </c>
      <c r="G199" t="s">
        <v>281</v>
      </c>
      <c r="H199">
        <f t="shared" si="3"/>
        <v>2</v>
      </c>
      <c r="I199" t="s">
        <v>190</v>
      </c>
      <c r="J199" t="s">
        <v>283</v>
      </c>
      <c r="K199" t="str">
        <f>VLOOKUP(J199,Organisation!$A$2:$C$499,3,FALSE)</f>
        <v>CORG00092</v>
      </c>
      <c r="L199" t="str">
        <f>VLOOKUP(J199,Organisation!$A$2:$E$499,4,FALSE)</f>
        <v>Academic</v>
      </c>
      <c r="M199" t="s">
        <v>53</v>
      </c>
      <c r="N199" t="s">
        <v>291</v>
      </c>
      <c r="O199" t="s">
        <v>211</v>
      </c>
      <c r="P199" s="3" t="s">
        <v>292</v>
      </c>
      <c r="Q199" t="s">
        <v>293</v>
      </c>
      <c r="S199" s="1">
        <v>1</v>
      </c>
      <c r="T199" t="str">
        <f>"Update Collaborator Set Organisation = '"&amp;J199&amp;"' where User_ID = '"&amp;B199&amp;"'; "</f>
        <v xml:space="preserve">Update Collaborator Set Organisation = 'Jamia Hamdard' where User_ID = 'CU00198'; </v>
      </c>
      <c r="U199" t="str">
        <f>"Update dcollab.collab_user Set Pi = True where User_ID = '"&amp;A199&amp;"'; "</f>
        <v xml:space="preserve">Update dcollab.collab_user Set Pi = True where User_ID = 'CUSR00240'; </v>
      </c>
    </row>
    <row r="200" spans="1:21">
      <c r="A200" t="s">
        <v>9829</v>
      </c>
      <c r="B200" t="s">
        <v>3957</v>
      </c>
      <c r="D200" t="s">
        <v>289</v>
      </c>
      <c r="E200" t="s">
        <v>7</v>
      </c>
      <c r="F200" t="s">
        <v>3958</v>
      </c>
      <c r="G200" t="s">
        <v>3959</v>
      </c>
      <c r="H200">
        <f t="shared" si="3"/>
        <v>1</v>
      </c>
      <c r="I200" t="s">
        <v>3960</v>
      </c>
      <c r="J200" t="s">
        <v>283</v>
      </c>
      <c r="K200" t="str">
        <f>VLOOKUP(J200,Organisation!$A$2:$C$499,3,FALSE)</f>
        <v>CORG00092</v>
      </c>
      <c r="L200" t="str">
        <f>VLOOKUP(J200,Organisation!$A$2:$E$499,4,FALSE)</f>
        <v>Academic</v>
      </c>
      <c r="M200" t="s">
        <v>53</v>
      </c>
      <c r="N200" t="s">
        <v>291</v>
      </c>
      <c r="O200" t="s">
        <v>211</v>
      </c>
      <c r="P200" s="3" t="s">
        <v>3961</v>
      </c>
      <c r="Q200" t="s">
        <v>3962</v>
      </c>
      <c r="S200" s="1">
        <v>1</v>
      </c>
      <c r="T200" t="str">
        <f>"Update Collaborator Set Organisation = '"&amp;J200&amp;"' where User_ID = '"&amp;B200&amp;"'; "</f>
        <v xml:space="preserve">Update Collaborator Set Organisation = 'Jamia Hamdard' where User_ID = 'CU00199'; </v>
      </c>
    </row>
    <row r="201" spans="1:21">
      <c r="A201" t="s">
        <v>9831</v>
      </c>
      <c r="B201" t="s">
        <v>214</v>
      </c>
      <c r="C201" t="s">
        <v>10540</v>
      </c>
      <c r="D201" t="s">
        <v>215</v>
      </c>
      <c r="E201" t="s">
        <v>216</v>
      </c>
      <c r="F201" t="s">
        <v>217</v>
      </c>
      <c r="G201" t="s">
        <v>218</v>
      </c>
      <c r="H201">
        <f t="shared" si="3"/>
        <v>1</v>
      </c>
      <c r="I201" t="s">
        <v>219</v>
      </c>
      <c r="J201" t="s">
        <v>220</v>
      </c>
      <c r="K201" t="str">
        <f>VLOOKUP(J201,Organisation!$A$2:$C$499,3,FALSE)</f>
        <v>CORG00300</v>
      </c>
      <c r="L201" t="str">
        <f>VLOOKUP(J201,Organisation!$A$2:$E$499,4,FALSE)</f>
        <v>Academic</v>
      </c>
      <c r="M201" t="s">
        <v>221</v>
      </c>
      <c r="N201" t="s">
        <v>222</v>
      </c>
      <c r="O201" t="s">
        <v>223</v>
      </c>
      <c r="P201" s="3" t="s">
        <v>224</v>
      </c>
      <c r="Q201" t="s">
        <v>225</v>
      </c>
      <c r="S201" s="1">
        <v>1</v>
      </c>
      <c r="T201" t="str">
        <f>"Update Collaborator Set Organisation = '"&amp;J201&amp;"' where User_ID = '"&amp;B201&amp;"'; "</f>
        <v xml:space="preserve">Update Collaborator Set Organisation = 'Victoria University of Wellington' where User_ID = 'CU00200'; </v>
      </c>
      <c r="U201" t="str">
        <f>"Update dcollab.collab_user Set Pi = True where User_ID = '"&amp;A201&amp;"'; "</f>
        <v xml:space="preserve">Update dcollab.collab_user Set Pi = True where User_ID = 'CUSR00243'; </v>
      </c>
    </row>
    <row r="202" spans="1:21">
      <c r="A202" t="s">
        <v>9832</v>
      </c>
      <c r="B202" t="s">
        <v>934</v>
      </c>
      <c r="D202" t="s">
        <v>215</v>
      </c>
      <c r="E202" t="s">
        <v>7</v>
      </c>
      <c r="F202" t="s">
        <v>935</v>
      </c>
      <c r="G202" t="s">
        <v>936</v>
      </c>
      <c r="H202">
        <f t="shared" si="3"/>
        <v>2</v>
      </c>
      <c r="I202" t="s">
        <v>937</v>
      </c>
      <c r="J202" t="s">
        <v>220</v>
      </c>
      <c r="K202" t="str">
        <f>VLOOKUP(J202,Organisation!$A$2:$C$499,3,FALSE)</f>
        <v>CORG00300</v>
      </c>
      <c r="L202" t="str">
        <f>VLOOKUP(J202,Organisation!$A$2:$E$499,4,FALSE)</f>
        <v>Academic</v>
      </c>
      <c r="M202" t="s">
        <v>221</v>
      </c>
      <c r="N202" t="s">
        <v>222</v>
      </c>
      <c r="O202" t="s">
        <v>223</v>
      </c>
      <c r="P202" s="3" t="s">
        <v>938</v>
      </c>
      <c r="Q202" t="s">
        <v>939</v>
      </c>
      <c r="S202" s="1">
        <v>1</v>
      </c>
      <c r="T202" t="str">
        <f>"Update Collaborator Set Organisation = '"&amp;J202&amp;"' where User_ID = '"&amp;B202&amp;"'; "</f>
        <v xml:space="preserve">Update Collaborator Set Organisation = 'Victoria University of Wellington' where User_ID = 'CU00201'; </v>
      </c>
    </row>
    <row r="203" spans="1:21">
      <c r="A203" t="s">
        <v>9833</v>
      </c>
      <c r="B203" t="s">
        <v>4960</v>
      </c>
      <c r="D203" t="s">
        <v>3493</v>
      </c>
      <c r="E203" t="s">
        <v>7</v>
      </c>
      <c r="F203" t="s">
        <v>2638</v>
      </c>
      <c r="G203" t="s">
        <v>4961</v>
      </c>
      <c r="H203">
        <f t="shared" si="3"/>
        <v>1</v>
      </c>
      <c r="I203" t="s">
        <v>241</v>
      </c>
      <c r="J203" t="s">
        <v>8754</v>
      </c>
      <c r="K203" t="str">
        <f>VLOOKUP(J203,Organisation!$A$2:$C$499,3,FALSE)</f>
        <v>CORG00027</v>
      </c>
      <c r="L203" t="str">
        <f>VLOOKUP(J203,Organisation!$A$2:$E$499,4,FALSE)</f>
        <v>Academic</v>
      </c>
      <c r="M203" t="s">
        <v>3497</v>
      </c>
      <c r="N203" t="s">
        <v>3498</v>
      </c>
      <c r="O203" t="s">
        <v>8808</v>
      </c>
      <c r="P203" s="3" t="s">
        <v>4962</v>
      </c>
      <c r="Q203" t="s">
        <v>4963</v>
      </c>
      <c r="S203" s="1">
        <v>1</v>
      </c>
      <c r="T203" t="str">
        <f>"Update Collaborator Set Organisation = '"&amp;J203&amp;"' where User_ID = '"&amp;B203&amp;"'; "</f>
        <v xml:space="preserve">Update Collaborator Set Organisation = 'California Institute of Technology' where User_ID = 'CU00202'; </v>
      </c>
    </row>
    <row r="204" spans="1:21">
      <c r="A204" t="s">
        <v>9834</v>
      </c>
      <c r="B204" t="s">
        <v>4912</v>
      </c>
      <c r="C204" t="s">
        <v>10540</v>
      </c>
      <c r="D204" t="s">
        <v>3493</v>
      </c>
      <c r="E204" t="s">
        <v>60</v>
      </c>
      <c r="F204" t="s">
        <v>1710</v>
      </c>
      <c r="G204" t="s">
        <v>4913</v>
      </c>
      <c r="H204">
        <f t="shared" si="3"/>
        <v>1</v>
      </c>
      <c r="I204" t="s">
        <v>4100</v>
      </c>
      <c r="J204" t="s">
        <v>8754</v>
      </c>
      <c r="K204" t="str">
        <f>VLOOKUP(J204,Organisation!$A$2:$C$499,3,FALSE)</f>
        <v>CORG00027</v>
      </c>
      <c r="L204" t="str">
        <f>VLOOKUP(J204,Organisation!$A$2:$E$499,4,FALSE)</f>
        <v>Academic</v>
      </c>
      <c r="M204" t="s">
        <v>3497</v>
      </c>
      <c r="N204" t="s">
        <v>3498</v>
      </c>
      <c r="O204" t="s">
        <v>8808</v>
      </c>
      <c r="P204" s="3" t="s">
        <v>4914</v>
      </c>
      <c r="Q204" t="s">
        <v>4915</v>
      </c>
      <c r="S204" s="1">
        <v>1</v>
      </c>
      <c r="T204" t="str">
        <f>"Update Collaborator Set Organisation = '"&amp;J204&amp;"' where User_ID = '"&amp;B204&amp;"'; "</f>
        <v xml:space="preserve">Update Collaborator Set Organisation = 'California Institute of Technology' where User_ID = 'CU00203'; </v>
      </c>
      <c r="U204" t="str">
        <f>"Update dcollab.collab_user Set Pi = True where User_ID = '"&amp;A204&amp;"'; "</f>
        <v xml:space="preserve">Update dcollab.collab_user Set Pi = True where User_ID = 'CUSR00246'; </v>
      </c>
    </row>
    <row r="205" spans="1:21">
      <c r="A205" t="s">
        <v>9835</v>
      </c>
      <c r="B205" t="s">
        <v>3492</v>
      </c>
      <c r="D205" t="s">
        <v>3493</v>
      </c>
      <c r="E205" t="s">
        <v>110</v>
      </c>
      <c r="F205" t="s">
        <v>3494</v>
      </c>
      <c r="G205" t="s">
        <v>3495</v>
      </c>
      <c r="H205">
        <f t="shared" si="3"/>
        <v>1</v>
      </c>
      <c r="I205" t="s">
        <v>3273</v>
      </c>
      <c r="J205" t="s">
        <v>8754</v>
      </c>
      <c r="K205" t="str">
        <f>VLOOKUP(J205,Organisation!$A$2:$C$499,3,FALSE)</f>
        <v>CORG00027</v>
      </c>
      <c r="L205" t="str">
        <f>VLOOKUP(J205,Organisation!$A$2:$E$499,4,FALSE)</f>
        <v>Academic</v>
      </c>
      <c r="M205" t="s">
        <v>3497</v>
      </c>
      <c r="N205" t="s">
        <v>3498</v>
      </c>
      <c r="O205" t="s">
        <v>8808</v>
      </c>
      <c r="P205" s="3" t="s">
        <v>3499</v>
      </c>
      <c r="Q205" t="s">
        <v>3500</v>
      </c>
      <c r="S205" s="1">
        <v>1</v>
      </c>
      <c r="T205" t="str">
        <f>"Update Collaborator Set Organisation = '"&amp;J205&amp;"' where User_ID = '"&amp;B205&amp;"'; "</f>
        <v xml:space="preserve">Update Collaborator Set Organisation = 'California Institute of Technology' where User_ID = 'CU00204'; </v>
      </c>
    </row>
    <row r="206" spans="1:21">
      <c r="A206" t="s">
        <v>9836</v>
      </c>
      <c r="B206" t="s">
        <v>1374</v>
      </c>
      <c r="D206" t="s">
        <v>1375</v>
      </c>
      <c r="E206" t="s">
        <v>60</v>
      </c>
      <c r="F206" t="s">
        <v>1376</v>
      </c>
      <c r="G206" t="s">
        <v>1377</v>
      </c>
      <c r="H206">
        <f t="shared" si="3"/>
        <v>1</v>
      </c>
      <c r="I206" t="s">
        <v>71</v>
      </c>
      <c r="J206" t="s">
        <v>1253</v>
      </c>
      <c r="K206" t="str">
        <f>VLOOKUP(J206,Organisation!$A$2:$C$499,3,FALSE)</f>
        <v>CORG00200</v>
      </c>
      <c r="L206" t="str">
        <f>VLOOKUP(J206,Organisation!$A$2:$E$499,4,FALSE)</f>
        <v>Academic</v>
      </c>
      <c r="M206" t="s">
        <v>1378</v>
      </c>
      <c r="N206" t="s">
        <v>1379</v>
      </c>
      <c r="O206" t="s">
        <v>1256</v>
      </c>
      <c r="P206" s="3" t="s">
        <v>1380</v>
      </c>
      <c r="Q206" t="s">
        <v>1381</v>
      </c>
      <c r="S206" s="1">
        <v>1</v>
      </c>
      <c r="T206" t="str">
        <f>"Update Collaborator Set Organisation = '"&amp;J206&amp;"' where User_ID = '"&amp;B206&amp;"'; "</f>
        <v xml:space="preserve">Update Collaborator Set Organisation = 'Universitat de Barcelona' where User_ID = 'CU00205'; </v>
      </c>
    </row>
    <row r="207" spans="1:21">
      <c r="A207" t="s">
        <v>9837</v>
      </c>
      <c r="B207" t="s">
        <v>2232</v>
      </c>
      <c r="C207" t="s">
        <v>10540</v>
      </c>
      <c r="D207" t="s">
        <v>1375</v>
      </c>
      <c r="E207" t="s">
        <v>41</v>
      </c>
      <c r="F207" t="s">
        <v>2233</v>
      </c>
      <c r="G207" t="s">
        <v>2234</v>
      </c>
      <c r="H207">
        <f t="shared" si="3"/>
        <v>1</v>
      </c>
      <c r="I207" t="s">
        <v>2235</v>
      </c>
      <c r="J207" t="s">
        <v>1253</v>
      </c>
      <c r="K207" t="str">
        <f>VLOOKUP(J207,Organisation!$A$2:$C$499,3,FALSE)</f>
        <v>CORG00200</v>
      </c>
      <c r="L207" t="str">
        <f>VLOOKUP(J207,Organisation!$A$2:$E$499,4,FALSE)</f>
        <v>Academic</v>
      </c>
      <c r="M207" t="s">
        <v>1378</v>
      </c>
      <c r="O207" t="s">
        <v>1256</v>
      </c>
      <c r="P207" s="3" t="s">
        <v>1380</v>
      </c>
      <c r="Q207" t="s">
        <v>2236</v>
      </c>
      <c r="S207" s="1">
        <v>1</v>
      </c>
      <c r="T207" t="str">
        <f>"Update Collaborator Set Organisation = '"&amp;J207&amp;"' where User_ID = '"&amp;B207&amp;"'; "</f>
        <v xml:space="preserve">Update Collaborator Set Organisation = 'Universitat de Barcelona' where User_ID = 'CU00206'; </v>
      </c>
      <c r="U207" t="str">
        <f>"Update dcollab.collab_user Set Pi = True where User_ID = '"&amp;A207&amp;"'; "</f>
        <v xml:space="preserve">Update dcollab.collab_user Set Pi = True where User_ID = 'CUSR00249'; </v>
      </c>
    </row>
    <row r="208" spans="1:21">
      <c r="A208" t="s">
        <v>9838</v>
      </c>
      <c r="B208" t="s">
        <v>3392</v>
      </c>
      <c r="C208" t="s">
        <v>10540</v>
      </c>
      <c r="D208" t="s">
        <v>3393</v>
      </c>
      <c r="E208" t="s">
        <v>41</v>
      </c>
      <c r="F208" t="s">
        <v>3394</v>
      </c>
      <c r="G208" t="s">
        <v>3395</v>
      </c>
      <c r="H208">
        <f t="shared" si="3"/>
        <v>1</v>
      </c>
      <c r="I208" t="s">
        <v>190</v>
      </c>
      <c r="J208" t="s">
        <v>3396</v>
      </c>
      <c r="K208" t="str">
        <f>VLOOKUP(J208,Organisation!$A$2:$C$499,3,FALSE)</f>
        <v>CORG00182</v>
      </c>
      <c r="L208" t="str">
        <f>VLOOKUP(J208,Organisation!$A$2:$E$499,4,FALSE)</f>
        <v>Academic</v>
      </c>
      <c r="M208" t="s">
        <v>73</v>
      </c>
      <c r="N208" t="s">
        <v>3397</v>
      </c>
      <c r="O208" t="s">
        <v>211</v>
      </c>
      <c r="P208" s="3" t="s">
        <v>3398</v>
      </c>
      <c r="Q208" t="s">
        <v>3399</v>
      </c>
      <c r="S208" s="1">
        <v>1</v>
      </c>
      <c r="T208" t="str">
        <f>"Update Collaborator Set Organisation = '"&amp;J208&amp;"' where User_ID = '"&amp;B208&amp;"'; "</f>
        <v xml:space="preserve">Update Collaborator Set Organisation = 'Tamluk College' where User_ID = 'CU00207'; </v>
      </c>
      <c r="U208" t="str">
        <f>"Update dcollab.collab_user Set Pi = True where User_ID = '"&amp;A208&amp;"'; "</f>
        <v xml:space="preserve">Update dcollab.collab_user Set Pi = True where User_ID = 'CUSR00250'; </v>
      </c>
    </row>
    <row r="209" spans="1:21">
      <c r="A209" t="s">
        <v>9839</v>
      </c>
      <c r="B209" t="s">
        <v>1864</v>
      </c>
      <c r="D209" t="s">
        <v>776</v>
      </c>
      <c r="E209" t="s">
        <v>7</v>
      </c>
      <c r="F209" t="s">
        <v>1865</v>
      </c>
      <c r="G209" t="s">
        <v>1866</v>
      </c>
      <c r="H209">
        <f t="shared" si="3"/>
        <v>1</v>
      </c>
      <c r="I209" t="s">
        <v>581</v>
      </c>
      <c r="J209" t="s">
        <v>780</v>
      </c>
      <c r="K209" t="str">
        <f>VLOOKUP(J209,Organisation!$A$2:$C$499,3,FALSE)</f>
        <v>CORG00276</v>
      </c>
      <c r="L209" t="str">
        <f>VLOOKUP(J209,Organisation!$A$2:$E$499,4,FALSE)</f>
        <v>Academic</v>
      </c>
      <c r="M209" t="s">
        <v>781</v>
      </c>
      <c r="N209" t="s">
        <v>1867</v>
      </c>
      <c r="O209" t="s">
        <v>782</v>
      </c>
      <c r="P209" s="3" t="s">
        <v>783</v>
      </c>
      <c r="Q209" t="s">
        <v>1868</v>
      </c>
      <c r="S209" s="1">
        <v>1</v>
      </c>
      <c r="T209" t="str">
        <f>"Update Collaborator Set Organisation = '"&amp;J209&amp;"' where User_ID = '"&amp;B209&amp;"'; "</f>
        <v xml:space="preserve">Update Collaborator Set Organisation = 'University of the Philippines-Manila' where User_ID = 'CU00208'; </v>
      </c>
    </row>
    <row r="210" spans="1:21">
      <c r="A210" t="s">
        <v>9840</v>
      </c>
      <c r="B210" t="s">
        <v>775</v>
      </c>
      <c r="C210" t="s">
        <v>10540</v>
      </c>
      <c r="D210" t="s">
        <v>776</v>
      </c>
      <c r="E210" t="s">
        <v>60</v>
      </c>
      <c r="F210" t="s">
        <v>777</v>
      </c>
      <c r="G210" t="s">
        <v>778</v>
      </c>
      <c r="H210">
        <f t="shared" si="3"/>
        <v>1</v>
      </c>
      <c r="I210" t="s">
        <v>779</v>
      </c>
      <c r="J210" t="s">
        <v>780</v>
      </c>
      <c r="K210" t="str">
        <f>VLOOKUP(J210,Organisation!$A$2:$C$499,3,FALSE)</f>
        <v>CORG00276</v>
      </c>
      <c r="L210" t="str">
        <f>VLOOKUP(J210,Organisation!$A$2:$E$499,4,FALSE)</f>
        <v>Academic</v>
      </c>
      <c r="M210" t="s">
        <v>781</v>
      </c>
      <c r="O210" t="s">
        <v>782</v>
      </c>
      <c r="P210" s="3" t="s">
        <v>783</v>
      </c>
      <c r="Q210" t="s">
        <v>784</v>
      </c>
      <c r="S210" s="1">
        <v>1</v>
      </c>
      <c r="T210" t="str">
        <f>"Update Collaborator Set Organisation = '"&amp;J210&amp;"' where User_ID = '"&amp;B210&amp;"'; "</f>
        <v xml:space="preserve">Update Collaborator Set Organisation = 'University of the Philippines-Manila' where User_ID = 'CU00209'; </v>
      </c>
      <c r="U210" t="str">
        <f>"Update dcollab.collab_user Set Pi = True where User_ID = '"&amp;A210&amp;"'; "</f>
        <v xml:space="preserve">Update dcollab.collab_user Set Pi = True where User_ID = 'CUSR00252'; </v>
      </c>
    </row>
    <row r="211" spans="1:21">
      <c r="A211" t="s">
        <v>9841</v>
      </c>
      <c r="B211" t="s">
        <v>3914</v>
      </c>
      <c r="D211" t="s">
        <v>776</v>
      </c>
      <c r="E211" t="s">
        <v>60</v>
      </c>
      <c r="F211" t="s">
        <v>3915</v>
      </c>
      <c r="G211" t="s">
        <v>3916</v>
      </c>
      <c r="H211">
        <f t="shared" si="3"/>
        <v>1</v>
      </c>
      <c r="I211" t="s">
        <v>3917</v>
      </c>
      <c r="J211" t="s">
        <v>780</v>
      </c>
      <c r="K211" t="str">
        <f>VLOOKUP(J211,Organisation!$A$2:$C$499,3,FALSE)</f>
        <v>CORG00276</v>
      </c>
      <c r="L211" t="str">
        <f>VLOOKUP(J211,Organisation!$A$2:$E$499,4,FALSE)</f>
        <v>Academic</v>
      </c>
      <c r="M211" t="s">
        <v>781</v>
      </c>
      <c r="O211" t="s">
        <v>782</v>
      </c>
      <c r="P211" s="3" t="s">
        <v>783</v>
      </c>
      <c r="Q211" t="s">
        <v>3918</v>
      </c>
      <c r="S211" s="1">
        <v>1</v>
      </c>
      <c r="T211" t="str">
        <f>"Update Collaborator Set Organisation = '"&amp;J211&amp;"' where User_ID = '"&amp;B211&amp;"'; "</f>
        <v xml:space="preserve">Update Collaborator Set Organisation = 'University of the Philippines-Manila' where User_ID = 'CU00210'; </v>
      </c>
    </row>
    <row r="212" spans="1:21">
      <c r="A212" t="s">
        <v>9842</v>
      </c>
      <c r="B212" t="s">
        <v>4512</v>
      </c>
      <c r="D212" t="s">
        <v>2080</v>
      </c>
      <c r="E212" t="s">
        <v>60</v>
      </c>
      <c r="F212" t="s">
        <v>4513</v>
      </c>
      <c r="G212" t="s">
        <v>4514</v>
      </c>
      <c r="H212">
        <f t="shared" si="3"/>
        <v>1</v>
      </c>
      <c r="I212" t="s">
        <v>4515</v>
      </c>
      <c r="J212" t="s">
        <v>8148</v>
      </c>
      <c r="K212" t="str">
        <f>VLOOKUP(J212,Organisation!$A$2:$C$499,3,FALSE)</f>
        <v>CORG00079</v>
      </c>
      <c r="L212" t="str">
        <f>VLOOKUP(J212,Organisation!$A$2:$E$499,4,FALSE)</f>
        <v>Academic</v>
      </c>
      <c r="M212" t="s">
        <v>3882</v>
      </c>
      <c r="N212" t="s">
        <v>3883</v>
      </c>
      <c r="O212" t="s">
        <v>8808</v>
      </c>
      <c r="P212" s="3" t="s">
        <v>4516</v>
      </c>
      <c r="Q212" t="s">
        <v>4517</v>
      </c>
      <c r="S212" s="1">
        <v>1</v>
      </c>
      <c r="T212" t="str">
        <f>"Update Collaborator Set Organisation = '"&amp;J212&amp;"' where User_ID = '"&amp;B212&amp;"'; "</f>
        <v xml:space="preserve">Update Collaborator Set Organisation = 'Indiana University' where User_ID = 'CU00211'; </v>
      </c>
    </row>
    <row r="213" spans="1:21">
      <c r="A213" t="s">
        <v>9843</v>
      </c>
      <c r="B213" t="s">
        <v>4637</v>
      </c>
      <c r="C213" t="s">
        <v>10540</v>
      </c>
      <c r="D213" t="s">
        <v>2080</v>
      </c>
      <c r="E213" t="s">
        <v>41</v>
      </c>
      <c r="F213" t="s">
        <v>4638</v>
      </c>
      <c r="G213" t="s">
        <v>4632</v>
      </c>
      <c r="H213">
        <f t="shared" si="3"/>
        <v>2</v>
      </c>
      <c r="I213" t="s">
        <v>4639</v>
      </c>
      <c r="J213" t="s">
        <v>8148</v>
      </c>
      <c r="K213" t="str">
        <f>VLOOKUP(J213,Organisation!$A$2:$C$499,3,FALSE)</f>
        <v>CORG00079</v>
      </c>
      <c r="L213" t="str">
        <f>VLOOKUP(J213,Organisation!$A$2:$E$499,4,FALSE)</f>
        <v>Academic</v>
      </c>
      <c r="M213" t="s">
        <v>3882</v>
      </c>
      <c r="N213" t="s">
        <v>3883</v>
      </c>
      <c r="O213" t="s">
        <v>8808</v>
      </c>
      <c r="P213" s="3" t="s">
        <v>4640</v>
      </c>
      <c r="Q213" t="s">
        <v>4641</v>
      </c>
      <c r="S213" s="1">
        <v>1</v>
      </c>
      <c r="T213" t="str">
        <f>"Update Collaborator Set Organisation = '"&amp;J213&amp;"' where User_ID = '"&amp;B213&amp;"'; "</f>
        <v xml:space="preserve">Update Collaborator Set Organisation = 'Indiana University' where User_ID = 'CU00212'; </v>
      </c>
      <c r="U213" t="str">
        <f>"Update dcollab.collab_user Set Pi = True where User_ID = '"&amp;A213&amp;"'; "</f>
        <v xml:space="preserve">Update dcollab.collab_user Set Pi = True where User_ID = 'CUSR00255'; </v>
      </c>
    </row>
    <row r="214" spans="1:21">
      <c r="A214" t="s">
        <v>9844</v>
      </c>
      <c r="B214" t="s">
        <v>3878</v>
      </c>
      <c r="D214" t="s">
        <v>2080</v>
      </c>
      <c r="E214" t="s">
        <v>60</v>
      </c>
      <c r="F214" t="s">
        <v>3879</v>
      </c>
      <c r="G214" t="s">
        <v>3880</v>
      </c>
      <c r="H214">
        <f t="shared" si="3"/>
        <v>1</v>
      </c>
      <c r="I214" t="s">
        <v>8149</v>
      </c>
      <c r="J214" t="s">
        <v>8148</v>
      </c>
      <c r="K214" t="str">
        <f>VLOOKUP(J214,Organisation!$A$2:$C$499,3,FALSE)</f>
        <v>CORG00079</v>
      </c>
      <c r="L214" t="str">
        <f>VLOOKUP(J214,Organisation!$A$2:$E$499,4,FALSE)</f>
        <v>Academic</v>
      </c>
      <c r="M214" t="s">
        <v>3882</v>
      </c>
      <c r="N214" t="s">
        <v>3883</v>
      </c>
      <c r="O214" t="s">
        <v>8808</v>
      </c>
      <c r="P214" s="3" t="s">
        <v>3884</v>
      </c>
      <c r="Q214" t="s">
        <v>3885</v>
      </c>
      <c r="S214" s="1">
        <v>1</v>
      </c>
      <c r="T214" t="str">
        <f>"Update Collaborator Set Organisation = '"&amp;J214&amp;"' where User_ID = '"&amp;B214&amp;"'; "</f>
        <v xml:space="preserve">Update Collaborator Set Organisation = 'Indiana University' where User_ID = 'CU00213'; </v>
      </c>
    </row>
    <row r="215" spans="1:21">
      <c r="A215" t="s">
        <v>9602</v>
      </c>
      <c r="B215" t="s">
        <v>2490</v>
      </c>
      <c r="D215" t="s">
        <v>448</v>
      </c>
      <c r="E215" t="s">
        <v>7</v>
      </c>
      <c r="F215" t="s">
        <v>983</v>
      </c>
      <c r="G215" t="s">
        <v>2486</v>
      </c>
      <c r="H215">
        <f t="shared" si="3"/>
        <v>2</v>
      </c>
      <c r="I215" t="s">
        <v>207</v>
      </c>
      <c r="J215" t="s">
        <v>362</v>
      </c>
      <c r="K215" t="str">
        <f>VLOOKUP(J215,Organisation!$A$2:$C$499,3,FALSE)</f>
        <v>CORG00001</v>
      </c>
      <c r="L215" t="str">
        <f>VLOOKUP(J215,Organisation!$A$2:$E$499,4,FALSE)</f>
        <v>Academic</v>
      </c>
      <c r="M215" t="s">
        <v>416</v>
      </c>
      <c r="O215" t="s">
        <v>14</v>
      </c>
      <c r="Q215" t="s">
        <v>2491</v>
      </c>
      <c r="S215" s="1">
        <v>1</v>
      </c>
      <c r="T215" t="str">
        <f>"Update Collaborator Set Organisation = '"&amp;J215&amp;"' where User_ID = '"&amp;B215&amp;"'; "</f>
        <v xml:space="preserve">Update Collaborator Set Organisation = 'University of Queensland' where User_ID = 'CU00214'; </v>
      </c>
    </row>
    <row r="216" spans="1:21">
      <c r="A216" t="s">
        <v>9847</v>
      </c>
      <c r="B216" t="s">
        <v>4183</v>
      </c>
      <c r="C216" t="s">
        <v>10540</v>
      </c>
      <c r="D216" t="s">
        <v>3128</v>
      </c>
      <c r="E216" t="s">
        <v>41</v>
      </c>
      <c r="F216" t="s">
        <v>4184</v>
      </c>
      <c r="G216" t="s">
        <v>4185</v>
      </c>
      <c r="H216">
        <f t="shared" si="3"/>
        <v>1</v>
      </c>
      <c r="I216" t="s">
        <v>82</v>
      </c>
      <c r="J216" t="s">
        <v>1327</v>
      </c>
      <c r="K216" t="str">
        <f>VLOOKUP(J216,Organisation!$A$2:$C$499,3,FALSE)</f>
        <v>CORG00067</v>
      </c>
      <c r="L216" t="str">
        <f>VLOOKUP(J216,Organisation!$A$2:$E$499,4,FALSE)</f>
        <v>Academic</v>
      </c>
      <c r="M216" t="s">
        <v>3119</v>
      </c>
      <c r="N216" t="s">
        <v>1329</v>
      </c>
      <c r="O216" t="s">
        <v>14</v>
      </c>
      <c r="P216" s="3" t="s">
        <v>4186</v>
      </c>
      <c r="Q216" t="s">
        <v>4187</v>
      </c>
      <c r="S216" s="1">
        <v>1</v>
      </c>
      <c r="T216" t="str">
        <f>"Update Collaborator Set Organisation = '"&amp;J216&amp;"' where User_ID = '"&amp;B216&amp;"'; "</f>
        <v xml:space="preserve">Update Collaborator Set Organisation = 'Griffith University' where User_ID = 'CU00215'; </v>
      </c>
      <c r="U216" t="str">
        <f>"Update dcollab.collab_user Set Pi = True where User_ID = '"&amp;A216&amp;"'; "</f>
        <v xml:space="preserve">Update dcollab.collab_user Set Pi = True where User_ID = 'CUSR00259'; </v>
      </c>
    </row>
    <row r="217" spans="1:21">
      <c r="A217" t="s">
        <v>9979</v>
      </c>
      <c r="B217" t="s">
        <v>5307</v>
      </c>
      <c r="D217" t="s">
        <v>3004</v>
      </c>
      <c r="E217" t="s">
        <v>60</v>
      </c>
      <c r="F217" t="s">
        <v>950</v>
      </c>
      <c r="G217" t="s">
        <v>5308</v>
      </c>
      <c r="H217">
        <f t="shared" si="3"/>
        <v>1</v>
      </c>
      <c r="I217" t="s">
        <v>33</v>
      </c>
      <c r="J217" t="s">
        <v>389</v>
      </c>
      <c r="K217" t="str">
        <f>VLOOKUP(J217,Organisation!$A$2:$C$499,3,FALSE)</f>
        <v>CORG00271</v>
      </c>
      <c r="L217" t="str">
        <f>VLOOKUP(J217,Organisation!$A$2:$E$499,4,FALSE)</f>
        <v>Academic</v>
      </c>
      <c r="M217" t="s">
        <v>170</v>
      </c>
      <c r="N217" t="s">
        <v>5309</v>
      </c>
      <c r="O217" t="s">
        <v>14</v>
      </c>
      <c r="P217" s="3" t="s">
        <v>5310</v>
      </c>
      <c r="Q217" t="s">
        <v>5311</v>
      </c>
      <c r="S217" s="1">
        <v>1</v>
      </c>
      <c r="T217" t="str">
        <f>"Update Collaborator Set Organisation = '"&amp;J217&amp;"' where User_ID = '"&amp;B217&amp;"'; "</f>
        <v xml:space="preserve">Update Collaborator Set Organisation = 'University of Sydney' where User_ID = 'CU00216'; </v>
      </c>
    </row>
    <row r="218" spans="1:21">
      <c r="A218" t="s">
        <v>9848</v>
      </c>
      <c r="B218" t="s">
        <v>3010</v>
      </c>
      <c r="C218" t="s">
        <v>10540</v>
      </c>
      <c r="D218" t="s">
        <v>3011</v>
      </c>
      <c r="E218" t="s">
        <v>41</v>
      </c>
      <c r="F218" t="s">
        <v>360</v>
      </c>
      <c r="G218" t="s">
        <v>3012</v>
      </c>
      <c r="H218">
        <f t="shared" si="3"/>
        <v>1</v>
      </c>
      <c r="I218" t="s">
        <v>3013</v>
      </c>
      <c r="J218" t="s">
        <v>8746</v>
      </c>
      <c r="K218" t="str">
        <f>VLOOKUP(J218,Organisation!$A$2:$C$499,3,FALSE)</f>
        <v>CORG00250</v>
      </c>
      <c r="L218" t="str">
        <f>VLOOKUP(J218,Organisation!$A$2:$E$499,4,FALSE)</f>
        <v>Academic</v>
      </c>
      <c r="M218" t="s">
        <v>73</v>
      </c>
      <c r="N218" t="s">
        <v>3014</v>
      </c>
      <c r="O218" t="s">
        <v>694</v>
      </c>
      <c r="P218" s="3" t="s">
        <v>3015</v>
      </c>
      <c r="Q218" t="s">
        <v>3016</v>
      </c>
      <c r="S218" s="1">
        <v>1</v>
      </c>
      <c r="T218" t="str">
        <f>"Update Collaborator Set Organisation = '"&amp;J218&amp;"' where User_ID = '"&amp;B218&amp;"'; "</f>
        <v xml:space="preserve">Update Collaborator Set Organisation = 'University of Natural Resources and Life' where User_ID = 'CU00217'; </v>
      </c>
      <c r="U218" t="str">
        <f>"Update dcollab.collab_user Set Pi = True where User_ID = '"&amp;A218&amp;"'; "</f>
        <v xml:space="preserve">Update dcollab.collab_user Set Pi = True where User_ID = 'CUSR00260'; </v>
      </c>
    </row>
    <row r="219" spans="1:21">
      <c r="A219" t="s">
        <v>9849</v>
      </c>
      <c r="B219" t="s">
        <v>2720</v>
      </c>
      <c r="C219" t="s">
        <v>10540</v>
      </c>
      <c r="D219" t="s">
        <v>2560</v>
      </c>
      <c r="E219" t="s">
        <v>18</v>
      </c>
      <c r="F219" t="s">
        <v>2721</v>
      </c>
      <c r="G219" t="s">
        <v>2722</v>
      </c>
      <c r="H219">
        <f t="shared" si="3"/>
        <v>1</v>
      </c>
      <c r="I219" t="s">
        <v>2723</v>
      </c>
      <c r="J219" t="s">
        <v>2564</v>
      </c>
      <c r="K219" t="str">
        <f>VLOOKUP(J219,Organisation!$A$2:$C$499,3,FALSE)</f>
        <v>CORG00293</v>
      </c>
      <c r="L219" t="str">
        <f>VLOOKUP(J219,Organisation!$A$2:$E$499,4,FALSE)</f>
        <v>Academic</v>
      </c>
      <c r="M219" t="s">
        <v>435</v>
      </c>
      <c r="N219" t="s">
        <v>2724</v>
      </c>
      <c r="O219" t="s">
        <v>269</v>
      </c>
      <c r="P219" s="3" t="s">
        <v>2725</v>
      </c>
      <c r="Q219" t="s">
        <v>2726</v>
      </c>
      <c r="S219" s="1">
        <v>0</v>
      </c>
      <c r="T219" t="str">
        <f>"Update Collaborator Set Organisation = '"&amp;J219&amp;"' where User_ID = '"&amp;B219&amp;"'; "</f>
        <v xml:space="preserve">Update Collaborator Set Organisation = 'University of Wolverhampton' where User_ID = 'CU00218'; </v>
      </c>
      <c r="U219" t="str">
        <f>"Update dcollab.collab_user Set Pi = True where User_ID = '"&amp;A219&amp;"'; "</f>
        <v xml:space="preserve">Update dcollab.collab_user Set Pi = True where User_ID = 'CUSR00261'; </v>
      </c>
    </row>
    <row r="220" spans="1:21">
      <c r="A220" t="s">
        <v>9850</v>
      </c>
      <c r="B220" t="s">
        <v>2559</v>
      </c>
      <c r="D220" t="s">
        <v>2560</v>
      </c>
      <c r="E220" t="s">
        <v>18</v>
      </c>
      <c r="F220" t="s">
        <v>2561</v>
      </c>
      <c r="G220" t="s">
        <v>2562</v>
      </c>
      <c r="H220">
        <f t="shared" si="3"/>
        <v>1</v>
      </c>
      <c r="I220" t="s">
        <v>2563</v>
      </c>
      <c r="J220" t="s">
        <v>2564</v>
      </c>
      <c r="K220" t="str">
        <f>VLOOKUP(J220,Organisation!$A$2:$C$499,3,FALSE)</f>
        <v>CORG00293</v>
      </c>
      <c r="L220" t="str">
        <f>VLOOKUP(J220,Organisation!$A$2:$E$499,4,FALSE)</f>
        <v>Academic</v>
      </c>
      <c r="M220" t="s">
        <v>435</v>
      </c>
      <c r="N220" t="s">
        <v>2565</v>
      </c>
      <c r="O220" t="s">
        <v>269</v>
      </c>
      <c r="P220" s="3" t="s">
        <v>2566</v>
      </c>
      <c r="Q220" t="s">
        <v>2567</v>
      </c>
      <c r="S220" s="1">
        <v>0</v>
      </c>
      <c r="T220" t="str">
        <f>"Update Collaborator Set Organisation = '"&amp;J220&amp;"' where User_ID = '"&amp;B220&amp;"'; "</f>
        <v xml:space="preserve">Update Collaborator Set Organisation = 'University of Wolverhampton' where User_ID = 'CU00219'; </v>
      </c>
    </row>
    <row r="221" spans="1:21">
      <c r="A221" t="s">
        <v>9851</v>
      </c>
      <c r="B221" t="s">
        <v>4022</v>
      </c>
      <c r="C221" t="s">
        <v>10540</v>
      </c>
      <c r="D221" t="s">
        <v>4023</v>
      </c>
      <c r="E221" t="s">
        <v>60</v>
      </c>
      <c r="F221" t="s">
        <v>4024</v>
      </c>
      <c r="G221" t="s">
        <v>4016</v>
      </c>
      <c r="H221">
        <f t="shared" si="3"/>
        <v>2</v>
      </c>
      <c r="I221" t="s">
        <v>190</v>
      </c>
      <c r="J221" t="s">
        <v>208</v>
      </c>
      <c r="K221" t="str">
        <f>VLOOKUP(J221,Organisation!$A$2:$C$499,3,FALSE)</f>
        <v>CORG00090</v>
      </c>
      <c r="L221" t="str">
        <f>VLOOKUP(J221,Organisation!$A$2:$E$499,4,FALSE)</f>
        <v>Academic</v>
      </c>
      <c r="M221" t="s">
        <v>1585</v>
      </c>
      <c r="N221" t="s">
        <v>8827</v>
      </c>
      <c r="O221" t="s">
        <v>211</v>
      </c>
      <c r="P221" s="3" t="s">
        <v>4026</v>
      </c>
      <c r="Q221" t="s">
        <v>4027</v>
      </c>
      <c r="S221" s="1">
        <v>1</v>
      </c>
      <c r="T221" t="str">
        <f>"Update Collaborator Set Organisation = '"&amp;J221&amp;"' where User_ID = '"&amp;B221&amp;"'; "</f>
        <v xml:space="preserve">Update Collaborator Set Organisation = 'Jain University' where User_ID = 'CU00220'; </v>
      </c>
      <c r="U221" t="str">
        <f>"Update dcollab.collab_user Set Pi = True where User_ID = '"&amp;A221&amp;"'; "</f>
        <v xml:space="preserve">Update dcollab.collab_user Set Pi = True where User_ID = 'CUSR00263'; </v>
      </c>
    </row>
    <row r="222" spans="1:21">
      <c r="A222" t="s">
        <v>9852</v>
      </c>
      <c r="B222" t="s">
        <v>687</v>
      </c>
      <c r="D222" t="s">
        <v>688</v>
      </c>
      <c r="E222" t="s">
        <v>7</v>
      </c>
      <c r="F222" t="s">
        <v>689</v>
      </c>
      <c r="G222" t="s">
        <v>690</v>
      </c>
      <c r="H222">
        <f t="shared" si="3"/>
        <v>1</v>
      </c>
      <c r="I222" t="s">
        <v>523</v>
      </c>
      <c r="J222" t="s">
        <v>691</v>
      </c>
      <c r="K222" t="str">
        <f>VLOOKUP(J222,Organisation!$A$2:$C$499,3,FALSE)</f>
        <v>CORG00286</v>
      </c>
      <c r="L222" t="str">
        <f>VLOOKUP(J222,Organisation!$A$2:$E$499,4,FALSE)</f>
        <v>Academic</v>
      </c>
      <c r="M222" t="s">
        <v>692</v>
      </c>
      <c r="N222" t="s">
        <v>693</v>
      </c>
      <c r="O222" t="s">
        <v>694</v>
      </c>
      <c r="P222" s="3" t="s">
        <v>695</v>
      </c>
      <c r="Q222" t="s">
        <v>696</v>
      </c>
      <c r="S222" s="1">
        <v>1</v>
      </c>
      <c r="T222" t="str">
        <f>"Update Collaborator Set Organisation = '"&amp;J222&amp;"' where User_ID = '"&amp;B222&amp;"'; "</f>
        <v xml:space="preserve">Update Collaborator Set Organisation = 'University of Vienna' where User_ID = 'CU00221'; </v>
      </c>
    </row>
    <row r="223" spans="1:21">
      <c r="A223" t="s">
        <v>9853</v>
      </c>
      <c r="B223" t="s">
        <v>3543</v>
      </c>
      <c r="C223" t="s">
        <v>10540</v>
      </c>
      <c r="D223" t="s">
        <v>688</v>
      </c>
      <c r="E223" t="s">
        <v>41</v>
      </c>
      <c r="F223" t="s">
        <v>3544</v>
      </c>
      <c r="G223" t="s">
        <v>3545</v>
      </c>
      <c r="H223">
        <f t="shared" si="3"/>
        <v>1</v>
      </c>
      <c r="I223" t="s">
        <v>3546</v>
      </c>
      <c r="J223" t="s">
        <v>691</v>
      </c>
      <c r="K223" t="str">
        <f>VLOOKUP(J223,Organisation!$A$2:$C$499,3,FALSE)</f>
        <v>CORG00286</v>
      </c>
      <c r="L223" t="str">
        <f>VLOOKUP(J223,Organisation!$A$2:$E$499,4,FALSE)</f>
        <v>Academic</v>
      </c>
      <c r="M223" t="s">
        <v>692</v>
      </c>
      <c r="O223" t="s">
        <v>694</v>
      </c>
      <c r="P223" s="3" t="s">
        <v>3547</v>
      </c>
      <c r="Q223" t="s">
        <v>3548</v>
      </c>
      <c r="S223" s="1">
        <v>1</v>
      </c>
      <c r="T223" t="str">
        <f>"Update Collaborator Set Organisation = '"&amp;J223&amp;"' where User_ID = '"&amp;B223&amp;"'; "</f>
        <v xml:space="preserve">Update Collaborator Set Organisation = 'University of Vienna' where User_ID = 'CU00222'; </v>
      </c>
      <c r="U223" t="str">
        <f>"Update dcollab.collab_user Set Pi = True where User_ID = '"&amp;A223&amp;"'; "</f>
        <v xml:space="preserve">Update dcollab.collab_user Set Pi = True where User_ID = 'CUSR00265'; </v>
      </c>
    </row>
    <row r="224" spans="1:21">
      <c r="A224" t="s">
        <v>9854</v>
      </c>
      <c r="B224" t="s">
        <v>1248</v>
      </c>
      <c r="C224" t="s">
        <v>10540</v>
      </c>
      <c r="D224" t="s">
        <v>1249</v>
      </c>
      <c r="E224" t="s">
        <v>60</v>
      </c>
      <c r="F224" t="s">
        <v>1250</v>
      </c>
      <c r="G224" t="s">
        <v>1251</v>
      </c>
      <c r="H224">
        <f t="shared" si="3"/>
        <v>1</v>
      </c>
      <c r="I224" t="s">
        <v>1252</v>
      </c>
      <c r="J224" t="s">
        <v>1253</v>
      </c>
      <c r="K224" t="str">
        <f>VLOOKUP(J224,Organisation!$A$2:$C$499,3,FALSE)</f>
        <v>CORG00200</v>
      </c>
      <c r="L224" t="str">
        <f>VLOOKUP(J224,Organisation!$A$2:$E$499,4,FALSE)</f>
        <v>Academic</v>
      </c>
      <c r="M224" t="s">
        <v>1254</v>
      </c>
      <c r="N224" t="s">
        <v>1255</v>
      </c>
      <c r="O224" t="s">
        <v>1256</v>
      </c>
      <c r="P224" s="3" t="s">
        <v>1257</v>
      </c>
      <c r="Q224" t="s">
        <v>1258</v>
      </c>
      <c r="S224" s="1">
        <v>0</v>
      </c>
      <c r="T224" t="str">
        <f>"Update Collaborator Set Organisation = '"&amp;J224&amp;"' where User_ID = '"&amp;B224&amp;"'; "</f>
        <v xml:space="preserve">Update Collaborator Set Organisation = 'Universitat de Barcelona' where User_ID = 'CU00223'; </v>
      </c>
      <c r="U224" t="str">
        <f>"Update dcollab.collab_user Set Pi = True where User_ID = '"&amp;A224&amp;"'; "</f>
        <v xml:space="preserve">Update dcollab.collab_user Set Pi = True where User_ID = 'CUSR00266'; </v>
      </c>
    </row>
    <row r="225" spans="1:21">
      <c r="A225" t="s">
        <v>9855</v>
      </c>
      <c r="B225" t="s">
        <v>4896</v>
      </c>
      <c r="D225" t="s">
        <v>3188</v>
      </c>
      <c r="E225" t="s">
        <v>60</v>
      </c>
      <c r="F225" t="s">
        <v>4897</v>
      </c>
      <c r="G225" t="s">
        <v>4898</v>
      </c>
      <c r="H225">
        <f t="shared" si="3"/>
        <v>1</v>
      </c>
      <c r="I225" t="s">
        <v>136</v>
      </c>
      <c r="J225" t="s">
        <v>8791</v>
      </c>
      <c r="K225" t="str">
        <f>VLOOKUP(J225,Organisation!$A$2:$C$499,3,FALSE)</f>
        <v>CORG00302</v>
      </c>
      <c r="L225" t="str">
        <f>VLOOKUP(J225,Organisation!$A$2:$E$499,4,FALSE)</f>
        <v>Academic</v>
      </c>
      <c r="M225" t="s">
        <v>3193</v>
      </c>
      <c r="N225" t="s">
        <v>4070</v>
      </c>
      <c r="O225" t="s">
        <v>3194</v>
      </c>
      <c r="P225" s="3" t="s">
        <v>4899</v>
      </c>
      <c r="Q225" t="s">
        <v>4900</v>
      </c>
      <c r="S225" s="1">
        <v>1</v>
      </c>
      <c r="T225" t="str">
        <f>"Update Collaborator Set Organisation = '"&amp;J225&amp;"' where User_ID = '"&amp;B225&amp;"'; "</f>
        <v xml:space="preserve">Update Collaborator Set Organisation = 'Vrije Universiteit Amsterdam' where User_ID = 'CU00224'; </v>
      </c>
    </row>
    <row r="226" spans="1:21">
      <c r="A226" t="s">
        <v>9856</v>
      </c>
      <c r="B226" t="s">
        <v>3187</v>
      </c>
      <c r="C226" t="s">
        <v>10540</v>
      </c>
      <c r="D226" t="s">
        <v>3188</v>
      </c>
      <c r="E226" t="s">
        <v>41</v>
      </c>
      <c r="F226" t="s">
        <v>3189</v>
      </c>
      <c r="G226" t="s">
        <v>3190</v>
      </c>
      <c r="H226">
        <f t="shared" si="3"/>
        <v>1</v>
      </c>
      <c r="I226" t="s">
        <v>3191</v>
      </c>
      <c r="J226" t="s">
        <v>8791</v>
      </c>
      <c r="K226" t="str">
        <f>VLOOKUP(J226,Organisation!$A$2:$C$499,3,FALSE)</f>
        <v>CORG00302</v>
      </c>
      <c r="L226" t="str">
        <f>VLOOKUP(J226,Organisation!$A$2:$E$499,4,FALSE)</f>
        <v>Academic</v>
      </c>
      <c r="M226" t="s">
        <v>3193</v>
      </c>
      <c r="O226" t="s">
        <v>3194</v>
      </c>
      <c r="P226" s="3" t="s">
        <v>3195</v>
      </c>
      <c r="Q226" t="s">
        <v>3196</v>
      </c>
      <c r="S226" s="1">
        <v>1</v>
      </c>
      <c r="T226" t="str">
        <f>"Update Collaborator Set Organisation = '"&amp;J226&amp;"' where User_ID = '"&amp;B226&amp;"'; "</f>
        <v xml:space="preserve">Update Collaborator Set Organisation = 'Vrije Universiteit Amsterdam' where User_ID = 'CU00225'; </v>
      </c>
      <c r="U226" t="str">
        <f>"Update dcollab.collab_user Set Pi = True where User_ID = '"&amp;A226&amp;"'; "</f>
        <v xml:space="preserve">Update dcollab.collab_user Set Pi = True where User_ID = 'CUSR00268'; </v>
      </c>
    </row>
    <row r="227" spans="1:21">
      <c r="A227" t="s">
        <v>9857</v>
      </c>
      <c r="B227" t="s">
        <v>1299</v>
      </c>
      <c r="C227" t="s">
        <v>10540</v>
      </c>
      <c r="D227" t="s">
        <v>1300</v>
      </c>
      <c r="E227" t="s">
        <v>41</v>
      </c>
      <c r="F227" t="s">
        <v>1301</v>
      </c>
      <c r="G227" t="s">
        <v>1285</v>
      </c>
      <c r="H227">
        <f t="shared" si="3"/>
        <v>3</v>
      </c>
      <c r="I227" t="s">
        <v>1302</v>
      </c>
      <c r="J227" t="s">
        <v>8772</v>
      </c>
      <c r="K227" t="str">
        <f>VLOOKUP(J227,Organisation!$A$2:$C$499,3,FALSE)</f>
        <v>CORG00143</v>
      </c>
      <c r="L227" t="str">
        <f>VLOOKUP(J227,Organisation!$A$2:$E$499,4,FALSE)</f>
        <v>Academic</v>
      </c>
      <c r="M227" t="s">
        <v>640</v>
      </c>
      <c r="N227" t="s">
        <v>1304</v>
      </c>
      <c r="O227" t="s">
        <v>8808</v>
      </c>
      <c r="P227" s="3" t="s">
        <v>1305</v>
      </c>
      <c r="Q227" t="s">
        <v>1306</v>
      </c>
      <c r="S227" s="1">
        <v>1</v>
      </c>
      <c r="T227" t="str">
        <f>"Update Collaborator Set Organisation = '"&amp;J227&amp;"' where User_ID = '"&amp;B227&amp;"'; "</f>
        <v xml:space="preserve">Update Collaborator Set Organisation = 'North Dakota State University' where User_ID = 'CU00226'; </v>
      </c>
      <c r="U227" t="str">
        <f>"Update dcollab.collab_user Set Pi = True where User_ID = '"&amp;A227&amp;"'; "</f>
        <v xml:space="preserve">Update dcollab.collab_user Set Pi = True where User_ID = 'CUSR00269'; </v>
      </c>
    </row>
    <row r="228" spans="1:21">
      <c r="A228" t="s">
        <v>9858</v>
      </c>
      <c r="B228" t="s">
        <v>3076</v>
      </c>
      <c r="D228" t="s">
        <v>1300</v>
      </c>
      <c r="E228" t="s">
        <v>60</v>
      </c>
      <c r="F228" t="s">
        <v>1583</v>
      </c>
      <c r="G228" t="s">
        <v>3077</v>
      </c>
      <c r="H228">
        <f t="shared" si="3"/>
        <v>2</v>
      </c>
      <c r="I228" t="s">
        <v>3078</v>
      </c>
      <c r="J228" t="s">
        <v>8772</v>
      </c>
      <c r="K228" t="str">
        <f>VLOOKUP(J228,Organisation!$A$2:$C$499,3,FALSE)</f>
        <v>CORG00143</v>
      </c>
      <c r="L228" t="str">
        <f>VLOOKUP(J228,Organisation!$A$2:$E$499,4,FALSE)</f>
        <v>Academic</v>
      </c>
      <c r="M228" t="s">
        <v>640</v>
      </c>
      <c r="N228" t="s">
        <v>1304</v>
      </c>
      <c r="O228" t="s">
        <v>8808</v>
      </c>
      <c r="P228" s="3" t="s">
        <v>3079</v>
      </c>
      <c r="Q228" t="s">
        <v>3080</v>
      </c>
      <c r="S228" s="1">
        <v>1</v>
      </c>
      <c r="T228" t="str">
        <f>"Update Collaborator Set Organisation = '"&amp;J228&amp;"' where User_ID = '"&amp;B228&amp;"'; "</f>
        <v xml:space="preserve">Update Collaborator Set Organisation = 'North Dakota State University' where User_ID = 'CU00227'; </v>
      </c>
    </row>
    <row r="229" spans="1:21">
      <c r="A229" t="s">
        <v>9859</v>
      </c>
      <c r="B229" t="s">
        <v>1291</v>
      </c>
      <c r="C229" t="s">
        <v>10540</v>
      </c>
      <c r="D229" t="s">
        <v>1292</v>
      </c>
      <c r="E229" t="s">
        <v>41</v>
      </c>
      <c r="F229" t="s">
        <v>1293</v>
      </c>
      <c r="G229" t="s">
        <v>1285</v>
      </c>
      <c r="H229">
        <f t="shared" si="3"/>
        <v>3</v>
      </c>
      <c r="I229" t="s">
        <v>127</v>
      </c>
      <c r="J229" t="s">
        <v>1294</v>
      </c>
      <c r="K229" t="str">
        <f>VLOOKUP(J229,Organisation!$A$2:$C$499,3,FALSE)</f>
        <v>CORG00260</v>
      </c>
      <c r="L229" t="str">
        <f>VLOOKUP(J229,Organisation!$A$2:$E$499,4,FALSE)</f>
        <v>Academic</v>
      </c>
      <c r="M229" t="s">
        <v>8820</v>
      </c>
      <c r="N229" t="s">
        <v>1296</v>
      </c>
      <c r="O229" t="s">
        <v>223</v>
      </c>
      <c r="P229" s="3" t="s">
        <v>1297</v>
      </c>
      <c r="Q229" t="s">
        <v>1298</v>
      </c>
      <c r="S229" s="1">
        <v>1</v>
      </c>
      <c r="T229" t="str">
        <f>"Update Collaborator Set Organisation = '"&amp;J229&amp;"' where User_ID = '"&amp;B229&amp;"'; "</f>
        <v xml:space="preserve">Update Collaborator Set Organisation = 'University of Otago' where User_ID = 'CU00228'; </v>
      </c>
      <c r="U229" t="str">
        <f>"Update dcollab.collab_user Set Pi = True where User_ID = '"&amp;A229&amp;"'; "</f>
        <v xml:space="preserve">Update dcollab.collab_user Set Pi = True where User_ID = 'CUSR00271'; </v>
      </c>
    </row>
    <row r="230" spans="1:21">
      <c r="A230" t="s">
        <v>9860</v>
      </c>
      <c r="B230" t="s">
        <v>1675</v>
      </c>
      <c r="D230" t="s">
        <v>1292</v>
      </c>
      <c r="E230" t="s">
        <v>60</v>
      </c>
      <c r="F230" t="s">
        <v>1676</v>
      </c>
      <c r="G230" t="s">
        <v>1677</v>
      </c>
      <c r="H230">
        <f t="shared" si="3"/>
        <v>1</v>
      </c>
      <c r="I230" t="s">
        <v>1412</v>
      </c>
      <c r="J230" t="s">
        <v>1294</v>
      </c>
      <c r="K230" t="str">
        <f>VLOOKUP(J230,Organisation!$A$2:$C$499,3,FALSE)</f>
        <v>CORG00260</v>
      </c>
      <c r="L230" t="str">
        <f>VLOOKUP(J230,Organisation!$A$2:$E$499,4,FALSE)</f>
        <v>Academic</v>
      </c>
      <c r="M230" t="s">
        <v>8820</v>
      </c>
      <c r="N230" t="s">
        <v>1296</v>
      </c>
      <c r="O230" t="s">
        <v>223</v>
      </c>
      <c r="P230" s="3" t="s">
        <v>1678</v>
      </c>
      <c r="Q230" t="s">
        <v>1679</v>
      </c>
      <c r="S230" s="1">
        <v>1</v>
      </c>
      <c r="T230" t="str">
        <f>"Update Collaborator Set Organisation = '"&amp;J230&amp;"' where User_ID = '"&amp;B230&amp;"'; "</f>
        <v xml:space="preserve">Update Collaborator Set Organisation = 'University of Otago' where User_ID = 'CU00229'; </v>
      </c>
    </row>
    <row r="231" spans="1:21">
      <c r="A231" t="s">
        <v>9861</v>
      </c>
      <c r="B231" t="s">
        <v>5325</v>
      </c>
      <c r="D231" t="s">
        <v>1284</v>
      </c>
      <c r="E231" t="s">
        <v>7</v>
      </c>
      <c r="F231" t="s">
        <v>496</v>
      </c>
      <c r="G231" t="s">
        <v>5326</v>
      </c>
      <c r="H231">
        <f t="shared" si="3"/>
        <v>1</v>
      </c>
      <c r="I231" t="s">
        <v>1412</v>
      </c>
      <c r="J231" t="s">
        <v>1287</v>
      </c>
      <c r="K231" t="str">
        <f>VLOOKUP(J231,Organisation!$A$2:$C$499,3,FALSE)</f>
        <v>CORG00297</v>
      </c>
      <c r="L231" t="str">
        <f>VLOOKUP(J231,Organisation!$A$2:$E$499,4,FALSE)</f>
        <v>Academic</v>
      </c>
      <c r="M231" t="s">
        <v>1288</v>
      </c>
      <c r="N231" t="s">
        <v>5327</v>
      </c>
      <c r="O231" t="s">
        <v>8808</v>
      </c>
      <c r="P231" s="3" t="s">
        <v>5328</v>
      </c>
      <c r="Q231" t="s">
        <v>5329</v>
      </c>
      <c r="S231" s="1">
        <v>0</v>
      </c>
      <c r="T231" t="str">
        <f>"Update Collaborator Set Organisation = '"&amp;J231&amp;"' where User_ID = '"&amp;B231&amp;"'; "</f>
        <v xml:space="preserve">Update Collaborator Set Organisation = 'UW-Milwaukee' where User_ID = 'CU00230'; </v>
      </c>
    </row>
    <row r="232" spans="1:21">
      <c r="A232" t="s">
        <v>9862</v>
      </c>
      <c r="B232" t="s">
        <v>1283</v>
      </c>
      <c r="C232" t="s">
        <v>10540</v>
      </c>
      <c r="D232" t="s">
        <v>1284</v>
      </c>
      <c r="E232" t="s">
        <v>60</v>
      </c>
      <c r="F232" t="s">
        <v>983</v>
      </c>
      <c r="G232" t="s">
        <v>1285</v>
      </c>
      <c r="H232">
        <f t="shared" si="3"/>
        <v>3</v>
      </c>
      <c r="I232" t="s">
        <v>1286</v>
      </c>
      <c r="J232" t="s">
        <v>1287</v>
      </c>
      <c r="K232" t="str">
        <f>VLOOKUP(J232,Organisation!$A$2:$C$499,3,FALSE)</f>
        <v>CORG00297</v>
      </c>
      <c r="L232" t="str">
        <f>VLOOKUP(J232,Organisation!$A$2:$E$499,4,FALSE)</f>
        <v>Academic</v>
      </c>
      <c r="M232" t="s">
        <v>1288</v>
      </c>
      <c r="O232" t="s">
        <v>8808</v>
      </c>
      <c r="P232" s="3" t="s">
        <v>1289</v>
      </c>
      <c r="Q232" t="s">
        <v>1290</v>
      </c>
      <c r="S232" s="1">
        <v>1</v>
      </c>
      <c r="T232" t="str">
        <f>"Update Collaborator Set Organisation = '"&amp;J232&amp;"' where User_ID = '"&amp;B232&amp;"'; "</f>
        <v xml:space="preserve">Update Collaborator Set Organisation = 'UW-Milwaukee' where User_ID = 'CU00231'; </v>
      </c>
      <c r="U232" t="str">
        <f>"Update dcollab.collab_user Set Pi = True where User_ID = '"&amp;A232&amp;"'; "</f>
        <v xml:space="preserve">Update dcollab.collab_user Set Pi = True where User_ID = 'CUSR00274'; </v>
      </c>
    </row>
    <row r="233" spans="1:21">
      <c r="A233" t="s">
        <v>9863</v>
      </c>
      <c r="B233" t="s">
        <v>3947</v>
      </c>
      <c r="D233" t="s">
        <v>3701</v>
      </c>
      <c r="E233" t="s">
        <v>110</v>
      </c>
      <c r="F233" t="s">
        <v>2751</v>
      </c>
      <c r="G233" t="s">
        <v>3948</v>
      </c>
      <c r="H233">
        <f t="shared" si="3"/>
        <v>1</v>
      </c>
      <c r="I233" t="s">
        <v>136</v>
      </c>
      <c r="J233" t="s">
        <v>3704</v>
      </c>
      <c r="K233" t="str">
        <f>VLOOKUP(J233,Organisation!$A$2:$C$499,3,FALSE)</f>
        <v>CORG00257</v>
      </c>
      <c r="L233" t="str">
        <f>VLOOKUP(J233,Organisation!$A$2:$E$499,4,FALSE)</f>
        <v>Academic</v>
      </c>
      <c r="M233" t="s">
        <v>640</v>
      </c>
      <c r="N233" t="s">
        <v>3949</v>
      </c>
      <c r="O233" t="s">
        <v>8808</v>
      </c>
      <c r="P233" s="3" t="s">
        <v>3950</v>
      </c>
      <c r="Q233" t="s">
        <v>3951</v>
      </c>
      <c r="S233" s="1">
        <v>0</v>
      </c>
      <c r="T233" t="str">
        <f>"Update Collaborator Set Organisation = '"&amp;J233&amp;"' where User_ID = '"&amp;B233&amp;"'; "</f>
        <v xml:space="preserve">Update Collaborator Set Organisation = 'University of North Carolina Wilmington' where User_ID = 'CU00232'; </v>
      </c>
    </row>
    <row r="234" spans="1:21">
      <c r="A234" t="s">
        <v>9864</v>
      </c>
      <c r="B234" t="s">
        <v>3700</v>
      </c>
      <c r="C234" t="s">
        <v>10540</v>
      </c>
      <c r="D234" t="s">
        <v>3701</v>
      </c>
      <c r="E234" t="s">
        <v>60</v>
      </c>
      <c r="F234" t="s">
        <v>3702</v>
      </c>
      <c r="G234" t="s">
        <v>3703</v>
      </c>
      <c r="H234">
        <f t="shared" si="3"/>
        <v>1</v>
      </c>
      <c r="I234" t="s">
        <v>1976</v>
      </c>
      <c r="J234" t="s">
        <v>3704</v>
      </c>
      <c r="K234" t="str">
        <f>VLOOKUP(J234,Organisation!$A$2:$C$499,3,FALSE)</f>
        <v>CORG00257</v>
      </c>
      <c r="L234" t="str">
        <f>VLOOKUP(J234,Organisation!$A$2:$E$499,4,FALSE)</f>
        <v>Academic</v>
      </c>
      <c r="M234" t="s">
        <v>640</v>
      </c>
      <c r="O234" t="s">
        <v>8808</v>
      </c>
      <c r="P234" s="3" t="s">
        <v>3705</v>
      </c>
      <c r="Q234" t="s">
        <v>3706</v>
      </c>
      <c r="S234" s="1">
        <v>1</v>
      </c>
      <c r="T234" t="str">
        <f>"Update Collaborator Set Organisation = '"&amp;J234&amp;"' where User_ID = '"&amp;B234&amp;"'; "</f>
        <v xml:space="preserve">Update Collaborator Set Organisation = 'University of North Carolina Wilmington' where User_ID = 'CU00233'; </v>
      </c>
      <c r="U234" t="str">
        <f>"Update dcollab.collab_user Set Pi = True where User_ID = '"&amp;A234&amp;"'; "</f>
        <v xml:space="preserve">Update dcollab.collab_user Set Pi = True where User_ID = 'CUSR00276'; </v>
      </c>
    </row>
    <row r="235" spans="1:21">
      <c r="A235" t="s">
        <v>9865</v>
      </c>
      <c r="B235" t="s">
        <v>668</v>
      </c>
      <c r="C235" t="s">
        <v>10540</v>
      </c>
      <c r="D235" t="s">
        <v>669</v>
      </c>
      <c r="E235" t="s">
        <v>60</v>
      </c>
      <c r="F235" t="s">
        <v>670</v>
      </c>
      <c r="G235" t="s">
        <v>671</v>
      </c>
      <c r="H235">
        <f t="shared" si="3"/>
        <v>1</v>
      </c>
      <c r="I235" t="s">
        <v>672</v>
      </c>
      <c r="J235" t="s">
        <v>169</v>
      </c>
      <c r="K235" t="str">
        <f>VLOOKUP(J235,Organisation!$A$2:$C$499,3,FALSE)</f>
        <v>CORG00212</v>
      </c>
      <c r="L235" t="str">
        <f>VLOOKUP(J235,Organisation!$A$2:$E$499,4,FALSE)</f>
        <v>Academic</v>
      </c>
      <c r="M235" t="s">
        <v>673</v>
      </c>
      <c r="N235" t="s">
        <v>674</v>
      </c>
      <c r="O235" t="s">
        <v>14</v>
      </c>
      <c r="P235" s="3" t="s">
        <v>675</v>
      </c>
      <c r="Q235" t="s">
        <v>676</v>
      </c>
      <c r="S235" s="1">
        <v>1</v>
      </c>
      <c r="T235" t="str">
        <f>"Update Collaborator Set Organisation = '"&amp;J235&amp;"' where User_ID = '"&amp;B235&amp;"'; "</f>
        <v xml:space="preserve">Update Collaborator Set Organisation = 'University of Adelaide' where User_ID = 'CU00234'; </v>
      </c>
      <c r="U235" t="str">
        <f>"Update dcollab.collab_user Set Pi = True where User_ID = '"&amp;A235&amp;"'; "</f>
        <v xml:space="preserve">Update dcollab.collab_user Set Pi = True where User_ID = 'CUSR00277'; </v>
      </c>
    </row>
    <row r="236" spans="1:21">
      <c r="A236" t="s">
        <v>9866</v>
      </c>
      <c r="B236" t="s">
        <v>677</v>
      </c>
      <c r="D236" t="s">
        <v>678</v>
      </c>
      <c r="E236" t="s">
        <v>41</v>
      </c>
      <c r="F236" t="s">
        <v>679</v>
      </c>
      <c r="G236" t="s">
        <v>680</v>
      </c>
      <c r="H236">
        <f t="shared" si="3"/>
        <v>1</v>
      </c>
      <c r="I236" t="s">
        <v>681</v>
      </c>
      <c r="J236" t="s">
        <v>8753</v>
      </c>
      <c r="K236" t="str">
        <f>VLOOKUP(J236,Organisation!$A$2:$C$499,3,FALSE)</f>
        <v>CORG00019</v>
      </c>
      <c r="L236" t="str">
        <f>VLOOKUP(J236,Organisation!$A$2:$E$499,4,FALSE)</f>
        <v>Academic</v>
      </c>
      <c r="N236" t="s">
        <v>683</v>
      </c>
      <c r="O236" t="s">
        <v>684</v>
      </c>
      <c r="P236" s="3" t="s">
        <v>685</v>
      </c>
      <c r="Q236" t="s">
        <v>686</v>
      </c>
      <c r="S236" s="1">
        <v>1</v>
      </c>
      <c r="T236" t="str">
        <f>"Update Collaborator Set Organisation = '"&amp;J236&amp;"' where User_ID = '"&amp;B236&amp;"'; "</f>
        <v xml:space="preserve">Update Collaborator Set Organisation = 'Biotechnology Research Centre' where User_ID = 'CU00235'; </v>
      </c>
    </row>
    <row r="237" spans="1:21">
      <c r="A237" t="s">
        <v>9867</v>
      </c>
      <c r="B237" t="s">
        <v>5395</v>
      </c>
      <c r="C237" t="s">
        <v>10540</v>
      </c>
      <c r="D237" t="s">
        <v>678</v>
      </c>
      <c r="E237" t="s">
        <v>7</v>
      </c>
      <c r="F237" t="s">
        <v>273</v>
      </c>
      <c r="G237" t="s">
        <v>5396</v>
      </c>
      <c r="H237">
        <f t="shared" si="3"/>
        <v>1</v>
      </c>
      <c r="I237" t="s">
        <v>5397</v>
      </c>
      <c r="J237" t="s">
        <v>8753</v>
      </c>
      <c r="K237" t="str">
        <f>VLOOKUP(J237,Organisation!$A$2:$C$499,3,FALSE)</f>
        <v>CORG00019</v>
      </c>
      <c r="L237" t="str">
        <f>VLOOKUP(J237,Organisation!$A$2:$E$499,4,FALSE)</f>
        <v>Academic</v>
      </c>
      <c r="M237" t="s">
        <v>682</v>
      </c>
      <c r="N237" t="s">
        <v>683</v>
      </c>
      <c r="O237" t="s">
        <v>684</v>
      </c>
      <c r="P237" s="3" t="s">
        <v>5398</v>
      </c>
      <c r="Q237" t="s">
        <v>5399</v>
      </c>
      <c r="S237" s="1">
        <v>1</v>
      </c>
      <c r="T237" t="str">
        <f>"Update Collaborator Set Organisation = '"&amp;J237&amp;"' where User_ID = '"&amp;B237&amp;"'; "</f>
        <v xml:space="preserve">Update Collaborator Set Organisation = 'Biotechnology Research Centre' where User_ID = 'CU00236'; </v>
      </c>
      <c r="U237" t="str">
        <f>"Update dcollab.collab_user Set Pi = True where User_ID = '"&amp;A237&amp;"'; "</f>
        <v xml:space="preserve">Update dcollab.collab_user Set Pi = True where User_ID = 'CUSR00279'; </v>
      </c>
    </row>
    <row r="238" spans="1:21">
      <c r="A238" t="s">
        <v>9868</v>
      </c>
      <c r="B238" t="s">
        <v>3716</v>
      </c>
      <c r="D238" t="s">
        <v>678</v>
      </c>
      <c r="E238" t="s">
        <v>41</v>
      </c>
      <c r="F238" t="s">
        <v>3717</v>
      </c>
      <c r="G238" t="s">
        <v>3718</v>
      </c>
      <c r="H238">
        <f t="shared" si="3"/>
        <v>1</v>
      </c>
      <c r="I238" t="s">
        <v>3719</v>
      </c>
      <c r="J238" t="s">
        <v>1253</v>
      </c>
      <c r="K238" t="str">
        <f>VLOOKUP(J238,Organisation!$A$2:$C$499,3,FALSE)</f>
        <v>CORG00200</v>
      </c>
      <c r="L238" t="str">
        <f>VLOOKUP(J238,Organisation!$A$2:$E$499,4,FALSE)</f>
        <v>Academic</v>
      </c>
      <c r="M238" t="s">
        <v>3720</v>
      </c>
      <c r="N238" t="s">
        <v>3721</v>
      </c>
      <c r="O238" t="s">
        <v>1256</v>
      </c>
      <c r="P238" s="3" t="s">
        <v>3722</v>
      </c>
      <c r="Q238" t="s">
        <v>3723</v>
      </c>
      <c r="S238" s="1">
        <v>1</v>
      </c>
      <c r="T238" t="str">
        <f>"Update Collaborator Set Organisation = '"&amp;J238&amp;"' where User_ID = '"&amp;B238&amp;"'; "</f>
        <v xml:space="preserve">Update Collaborator Set Organisation = 'Universitat de Barcelona' where User_ID = 'CU00237'; </v>
      </c>
    </row>
    <row r="239" spans="1:21">
      <c r="A239" t="s">
        <v>9870</v>
      </c>
      <c r="B239" t="s">
        <v>2326</v>
      </c>
      <c r="C239" t="s">
        <v>10540</v>
      </c>
      <c r="D239" t="s">
        <v>2327</v>
      </c>
      <c r="E239" t="s">
        <v>60</v>
      </c>
      <c r="F239" t="s">
        <v>2328</v>
      </c>
      <c r="G239" t="s">
        <v>2329</v>
      </c>
      <c r="H239">
        <f t="shared" si="3"/>
        <v>1</v>
      </c>
      <c r="I239" t="s">
        <v>190</v>
      </c>
      <c r="J239" t="s">
        <v>2330</v>
      </c>
      <c r="K239" t="str">
        <f>VLOOKUP(J239,Organisation!$A$2:$C$499,3,FALSE)</f>
        <v>CORG00195</v>
      </c>
      <c r="L239" t="str">
        <f>VLOOKUP(J239,Organisation!$A$2:$E$499,4,FALSE)</f>
        <v>Academic</v>
      </c>
      <c r="M239" t="s">
        <v>2331</v>
      </c>
      <c r="N239" t="s">
        <v>2332</v>
      </c>
      <c r="O239" t="s">
        <v>2333</v>
      </c>
      <c r="P239" s="3" t="s">
        <v>2334</v>
      </c>
      <c r="Q239" t="s">
        <v>2335</v>
      </c>
      <c r="S239" s="1">
        <v>0</v>
      </c>
      <c r="T239" t="str">
        <f>"Update Collaborator Set Organisation = '"&amp;J239&amp;"' where User_ID = '"&amp;B239&amp;"'; "</f>
        <v xml:space="preserve">Update Collaborator Set Organisation = 'Universidad del Norte' where User_ID = 'CU00238'; </v>
      </c>
      <c r="U239" t="str">
        <f>"Update dcollab.collab_user Set Pi = True where User_ID = '"&amp;A239&amp;"'; "</f>
        <v xml:space="preserve">Update dcollab.collab_user Set Pi = True where User_ID = 'CUSR00282'; </v>
      </c>
    </row>
    <row r="240" spans="1:21">
      <c r="A240" t="s">
        <v>10073</v>
      </c>
      <c r="B240" t="s">
        <v>1318</v>
      </c>
      <c r="D240" t="s">
        <v>520</v>
      </c>
      <c r="E240" t="s">
        <v>7</v>
      </c>
      <c r="F240" t="s">
        <v>1319</v>
      </c>
      <c r="G240" t="s">
        <v>1320</v>
      </c>
      <c r="H240">
        <f t="shared" si="3"/>
        <v>1</v>
      </c>
      <c r="I240" t="s">
        <v>241</v>
      </c>
      <c r="J240" t="s">
        <v>524</v>
      </c>
      <c r="K240" t="str">
        <f>VLOOKUP(J240,Organisation!$A$2:$C$499,3,FALSE)</f>
        <v>CORG00255</v>
      </c>
      <c r="L240" t="str">
        <f>VLOOKUP(J240,Organisation!$A$2:$E$499,4,FALSE)</f>
        <v>Academic</v>
      </c>
      <c r="M240" t="s">
        <v>1321</v>
      </c>
      <c r="O240" t="s">
        <v>14</v>
      </c>
      <c r="P240" s="3" t="s">
        <v>1322</v>
      </c>
      <c r="Q240" t="s">
        <v>1323</v>
      </c>
      <c r="S240" s="1">
        <v>1</v>
      </c>
      <c r="T240" t="str">
        <f>"Update Collaborator Set Organisation = '"&amp;J240&amp;"' where User_ID = '"&amp;B240&amp;"'; "</f>
        <v xml:space="preserve">Update Collaborator Set Organisation = 'University of Newcastle' where User_ID = 'CU00239'; </v>
      </c>
    </row>
    <row r="241" spans="1:21">
      <c r="A241" t="s">
        <v>9871</v>
      </c>
      <c r="B241" t="s">
        <v>4194</v>
      </c>
      <c r="C241" t="s">
        <v>10540</v>
      </c>
      <c r="D241" t="s">
        <v>1973</v>
      </c>
      <c r="E241" t="s">
        <v>60</v>
      </c>
      <c r="F241" t="s">
        <v>4195</v>
      </c>
      <c r="G241" t="s">
        <v>4196</v>
      </c>
      <c r="H241">
        <f t="shared" si="3"/>
        <v>1</v>
      </c>
      <c r="I241" t="s">
        <v>4197</v>
      </c>
      <c r="J241" t="s">
        <v>1977</v>
      </c>
      <c r="K241" t="str">
        <f>VLOOKUP(J241,Organisation!$A$2:$C$499,3,FALSE)</f>
        <v>CORG00034</v>
      </c>
      <c r="L241" t="str">
        <f>VLOOKUP(J241,Organisation!$A$2:$E$499,4,FALSE)</f>
        <v>Academic</v>
      </c>
      <c r="M241" t="s">
        <v>1978</v>
      </c>
      <c r="N241" t="s">
        <v>1979</v>
      </c>
      <c r="O241" t="s">
        <v>1980</v>
      </c>
      <c r="P241" s="3" t="s">
        <v>4198</v>
      </c>
      <c r="Q241" t="s">
        <v>4199</v>
      </c>
      <c r="S241" s="1">
        <v>1</v>
      </c>
      <c r="T241" t="str">
        <f>"Update Collaborator Set Organisation = '"&amp;J241&amp;"' where User_ID = '"&amp;B241&amp;"'; "</f>
        <v xml:space="preserve">Update Collaborator Set Organisation = 'Ciatej AC, Conacyt' where User_ID = 'CU00240'; </v>
      </c>
      <c r="U241" t="str">
        <f>"Update dcollab.collab_user Set Pi = True where User_ID = '"&amp;A241&amp;"'; "</f>
        <v xml:space="preserve">Update dcollab.collab_user Set Pi = True where User_ID = 'CUSR00283'; </v>
      </c>
    </row>
    <row r="242" spans="1:21">
      <c r="A242" t="s">
        <v>9872</v>
      </c>
      <c r="B242" t="s">
        <v>1972</v>
      </c>
      <c r="D242" t="s">
        <v>1973</v>
      </c>
      <c r="E242" t="s">
        <v>60</v>
      </c>
      <c r="F242" t="s">
        <v>1974</v>
      </c>
      <c r="G242" t="s">
        <v>1975</v>
      </c>
      <c r="H242">
        <f t="shared" si="3"/>
        <v>1</v>
      </c>
      <c r="I242" t="s">
        <v>1976</v>
      </c>
      <c r="J242" t="s">
        <v>1977</v>
      </c>
      <c r="K242" t="str">
        <f>VLOOKUP(J242,Organisation!$A$2:$C$499,3,FALSE)</f>
        <v>CORG00034</v>
      </c>
      <c r="L242" t="str">
        <f>VLOOKUP(J242,Organisation!$A$2:$E$499,4,FALSE)</f>
        <v>Academic</v>
      </c>
      <c r="M242" t="s">
        <v>1978</v>
      </c>
      <c r="N242" t="s">
        <v>1979</v>
      </c>
      <c r="O242" t="s">
        <v>1980</v>
      </c>
      <c r="P242" s="3" t="s">
        <v>1981</v>
      </c>
      <c r="Q242" t="s">
        <v>1982</v>
      </c>
      <c r="S242" s="1">
        <v>1</v>
      </c>
      <c r="T242" t="str">
        <f>"Update Collaborator Set Organisation = '"&amp;J242&amp;"' where User_ID = '"&amp;B242&amp;"'; "</f>
        <v xml:space="preserve">Update Collaborator Set Organisation = 'Ciatej AC, Conacyt' where User_ID = 'CU00241'; </v>
      </c>
    </row>
    <row r="243" spans="1:21">
      <c r="A243" t="s">
        <v>9873</v>
      </c>
      <c r="B243" t="s">
        <v>3276</v>
      </c>
      <c r="C243" t="s">
        <v>10540</v>
      </c>
      <c r="D243" t="s">
        <v>3277</v>
      </c>
      <c r="E243" t="s">
        <v>60</v>
      </c>
      <c r="F243" t="s">
        <v>3278</v>
      </c>
      <c r="G243" t="s">
        <v>3279</v>
      </c>
      <c r="H243">
        <f t="shared" si="3"/>
        <v>1</v>
      </c>
      <c r="I243" t="s">
        <v>3280</v>
      </c>
      <c r="J243" t="s">
        <v>3281</v>
      </c>
      <c r="K243" t="str">
        <f>VLOOKUP(J243,Organisation!$A$2:$C$499,3,FALSE)</f>
        <v>CORG00033</v>
      </c>
      <c r="L243" t="str">
        <f>VLOOKUP(J243,Organisation!$A$2:$E$499,4,FALSE)</f>
        <v>Academic</v>
      </c>
      <c r="M243" t="s">
        <v>3282</v>
      </c>
      <c r="N243" t="s">
        <v>3283</v>
      </c>
      <c r="O243" t="s">
        <v>3284</v>
      </c>
      <c r="P243" s="3" t="s">
        <v>3285</v>
      </c>
      <c r="Q243" t="s">
        <v>3286</v>
      </c>
      <c r="S243" s="1">
        <v>1</v>
      </c>
      <c r="T243" t="str">
        <f>"Update Collaborator Set Organisation = '"&amp;J243&amp;"' where User_ID = '"&amp;B243&amp;"'; "</f>
        <v xml:space="preserve">Update Collaborator Set Organisation = 'Chulalongkorn University' where User_ID = 'CU00242'; </v>
      </c>
      <c r="U243" t="str">
        <f>"Update dcollab.collab_user Set Pi = True where User_ID = '"&amp;A243&amp;"'; "</f>
        <v xml:space="preserve">Update dcollab.collab_user Set Pi = True where User_ID = 'CUSR00285'; </v>
      </c>
    </row>
    <row r="244" spans="1:21">
      <c r="A244" t="s">
        <v>9874</v>
      </c>
      <c r="B244" t="s">
        <v>5287</v>
      </c>
      <c r="D244" t="s">
        <v>1340</v>
      </c>
      <c r="E244" t="s">
        <v>7</v>
      </c>
      <c r="F244" t="s">
        <v>5288</v>
      </c>
      <c r="G244" t="s">
        <v>5289</v>
      </c>
      <c r="H244">
        <f t="shared" si="3"/>
        <v>1</v>
      </c>
      <c r="I244" t="s">
        <v>5290</v>
      </c>
      <c r="J244" t="s">
        <v>1343</v>
      </c>
      <c r="K244" t="str">
        <f>VLOOKUP(J244,Organisation!$A$2:$C$499,3,FALSE)</f>
        <v>CORG00021</v>
      </c>
      <c r="L244" t="str">
        <f>VLOOKUP(J244,Organisation!$A$2:$E$499,4,FALSE)</f>
        <v>Academic</v>
      </c>
      <c r="M244" t="s">
        <v>35</v>
      </c>
      <c r="N244" t="s">
        <v>5291</v>
      </c>
      <c r="O244" t="s">
        <v>211</v>
      </c>
      <c r="P244" s="3" t="s">
        <v>5292</v>
      </c>
      <c r="Q244" t="s">
        <v>5293</v>
      </c>
      <c r="S244" s="1">
        <v>1</v>
      </c>
      <c r="T244" t="str">
        <f>"Update Collaborator Set Organisation = '"&amp;J244&amp;"' where User_ID = '"&amp;B244&amp;"'; "</f>
        <v xml:space="preserve">Update Collaborator Set Organisation = 'Bombay College of Pharmacy' where User_ID = 'CU00243'; </v>
      </c>
    </row>
    <row r="245" spans="1:21">
      <c r="A245" t="s">
        <v>9875</v>
      </c>
      <c r="B245" t="s">
        <v>1339</v>
      </c>
      <c r="C245" t="s">
        <v>10540</v>
      </c>
      <c r="D245" t="s">
        <v>1340</v>
      </c>
      <c r="E245" t="s">
        <v>60</v>
      </c>
      <c r="F245" t="s">
        <v>1341</v>
      </c>
      <c r="G245" t="s">
        <v>1342</v>
      </c>
      <c r="H245">
        <f t="shared" si="3"/>
        <v>1</v>
      </c>
      <c r="I245" t="s">
        <v>71</v>
      </c>
      <c r="J245" t="s">
        <v>1343</v>
      </c>
      <c r="K245" t="str">
        <f>VLOOKUP(J245,Organisation!$A$2:$C$499,3,FALSE)</f>
        <v>CORG00021</v>
      </c>
      <c r="L245" t="str">
        <f>VLOOKUP(J245,Organisation!$A$2:$E$499,4,FALSE)</f>
        <v>Academic</v>
      </c>
      <c r="M245" t="s">
        <v>35</v>
      </c>
      <c r="N245" t="s">
        <v>1344</v>
      </c>
      <c r="O245" t="s">
        <v>211</v>
      </c>
      <c r="P245" s="3" t="s">
        <v>1346</v>
      </c>
      <c r="Q245" t="s">
        <v>1347</v>
      </c>
      <c r="R245" t="s">
        <v>1345</v>
      </c>
      <c r="S245" s="1">
        <v>0</v>
      </c>
      <c r="T245" t="str">
        <f>"Update Collaborator Set Organisation = '"&amp;J245&amp;"' where User_ID = '"&amp;B245&amp;"'; "</f>
        <v xml:space="preserve">Update Collaborator Set Organisation = 'Bombay College of Pharmacy' where User_ID = 'CU00244'; </v>
      </c>
      <c r="U245" t="str">
        <f>"Update dcollab.collab_user Set Pi = True where User_ID = '"&amp;A245&amp;"'; "</f>
        <v xml:space="preserve">Update dcollab.collab_user Set Pi = True where User_ID = 'CUSR00287'; </v>
      </c>
    </row>
    <row r="246" spans="1:21">
      <c r="A246" t="s">
        <v>9806</v>
      </c>
      <c r="B246" t="s">
        <v>467</v>
      </c>
      <c r="D246" t="s">
        <v>468</v>
      </c>
      <c r="E246" t="s">
        <v>7</v>
      </c>
      <c r="F246" t="s">
        <v>469</v>
      </c>
      <c r="G246" t="s">
        <v>470</v>
      </c>
      <c r="H246">
        <f t="shared" si="3"/>
        <v>1</v>
      </c>
      <c r="I246" t="s">
        <v>471</v>
      </c>
      <c r="J246" t="s">
        <v>8771</v>
      </c>
      <c r="K246" t="str">
        <f>VLOOKUP(J246,Organisation!$A$2:$C$499,3,FALSE)</f>
        <v>CORG00135</v>
      </c>
      <c r="L246" t="str">
        <f>VLOOKUP(J246,Organisation!$A$2:$E$499,4,FALSE)</f>
        <v>Academic</v>
      </c>
      <c r="M246" t="s">
        <v>73</v>
      </c>
      <c r="N246" t="s">
        <v>473</v>
      </c>
      <c r="O246" t="s">
        <v>211</v>
      </c>
      <c r="P246" s="3" t="s">
        <v>474</v>
      </c>
      <c r="Q246" t="s">
        <v>475</v>
      </c>
      <c r="S246" s="1">
        <v>1</v>
      </c>
      <c r="T246" t="str">
        <f>"Update Collaborator Set Organisation = '"&amp;J246&amp;"' where User_ID = '"&amp;B246&amp;"'; "</f>
        <v xml:space="preserve">Update Collaborator Set Organisation = 'National Institute of Technology Warangal' where User_ID = 'CU00245'; </v>
      </c>
    </row>
    <row r="247" spans="1:21">
      <c r="A247" t="s">
        <v>9703</v>
      </c>
      <c r="B247" t="s">
        <v>5020</v>
      </c>
      <c r="D247" t="s">
        <v>3372</v>
      </c>
      <c r="E247" t="s">
        <v>60</v>
      </c>
      <c r="F247" t="s">
        <v>167</v>
      </c>
      <c r="G247" t="s">
        <v>5021</v>
      </c>
      <c r="H247">
        <f t="shared" si="3"/>
        <v>1</v>
      </c>
      <c r="I247" t="s">
        <v>581</v>
      </c>
      <c r="J247" t="s">
        <v>1422</v>
      </c>
      <c r="K247" t="str">
        <f>VLOOKUP(J247,Organisation!$A$2:$C$499,3,FALSE)</f>
        <v>CORG00292</v>
      </c>
      <c r="L247" t="str">
        <f>VLOOKUP(J247,Organisation!$A$2:$E$499,4,FALSE)</f>
        <v>Academic</v>
      </c>
      <c r="M247" t="s">
        <v>170</v>
      </c>
      <c r="N247" t="s">
        <v>5022</v>
      </c>
      <c r="O247" t="s">
        <v>14</v>
      </c>
      <c r="P247" s="3" t="s">
        <v>5023</v>
      </c>
      <c r="Q247" t="s">
        <v>5024</v>
      </c>
      <c r="S247" s="1">
        <v>1</v>
      </c>
      <c r="T247" t="str">
        <f>"Update Collaborator Set Organisation = '"&amp;J247&amp;"' where User_ID = '"&amp;B247&amp;"'; "</f>
        <v xml:space="preserve">Update Collaborator Set Organisation = 'University of Wollongong' where User_ID = 'CU00246'; </v>
      </c>
    </row>
    <row r="248" spans="1:21">
      <c r="A248" t="s">
        <v>9878</v>
      </c>
      <c r="B248" t="s">
        <v>4477</v>
      </c>
      <c r="D248" t="s">
        <v>2939</v>
      </c>
      <c r="E248" t="s">
        <v>7</v>
      </c>
      <c r="F248" t="s">
        <v>4478</v>
      </c>
      <c r="G248" t="s">
        <v>4479</v>
      </c>
      <c r="H248">
        <f t="shared" si="3"/>
        <v>1</v>
      </c>
      <c r="I248" t="s">
        <v>152</v>
      </c>
      <c r="J248" t="s">
        <v>2942</v>
      </c>
      <c r="K248" t="str">
        <f>VLOOKUP(J248,Organisation!$A$2:$C$499,3,FALSE)</f>
        <v>CORG00142</v>
      </c>
      <c r="L248" t="str">
        <f>VLOOKUP(J248,Organisation!$A$2:$E$499,4,FALSE)</f>
        <v>Academic</v>
      </c>
      <c r="M248" t="s">
        <v>35</v>
      </c>
      <c r="N248" t="s">
        <v>2943</v>
      </c>
      <c r="O248" t="s">
        <v>211</v>
      </c>
      <c r="P248" s="3" t="s">
        <v>4480</v>
      </c>
      <c r="Q248" t="s">
        <v>4481</v>
      </c>
      <c r="S248" s="1">
        <v>0</v>
      </c>
      <c r="T248" t="str">
        <f>"Update Collaborator Set Organisation = '"&amp;J248&amp;"' where User_ID = '"&amp;B248&amp;"'; "</f>
        <v xml:space="preserve">Update Collaborator Set Organisation = 'NMIMS' where User_ID = 'CU00247'; </v>
      </c>
    </row>
    <row r="249" spans="1:21">
      <c r="A249" t="s">
        <v>9879</v>
      </c>
      <c r="B249" t="s">
        <v>2938</v>
      </c>
      <c r="C249" t="s">
        <v>10540</v>
      </c>
      <c r="D249" t="s">
        <v>2939</v>
      </c>
      <c r="E249" t="s">
        <v>60</v>
      </c>
      <c r="F249" t="s">
        <v>2940</v>
      </c>
      <c r="G249" t="s">
        <v>2941</v>
      </c>
      <c r="H249">
        <f t="shared" si="3"/>
        <v>1</v>
      </c>
      <c r="I249" t="s">
        <v>82</v>
      </c>
      <c r="J249" t="s">
        <v>2942</v>
      </c>
      <c r="K249" t="str">
        <f>VLOOKUP(J249,Organisation!$A$2:$C$499,3,FALSE)</f>
        <v>CORG00142</v>
      </c>
      <c r="L249" t="str">
        <f>VLOOKUP(J249,Organisation!$A$2:$E$499,4,FALSE)</f>
        <v>Academic</v>
      </c>
      <c r="M249" t="s">
        <v>35</v>
      </c>
      <c r="N249" t="s">
        <v>2943</v>
      </c>
      <c r="O249" t="s">
        <v>211</v>
      </c>
      <c r="P249" s="3" t="s">
        <v>2944</v>
      </c>
      <c r="Q249" t="s">
        <v>2945</v>
      </c>
      <c r="S249" s="1">
        <v>1</v>
      </c>
      <c r="T249" t="str">
        <f>"Update Collaborator Set Organisation = '"&amp;J249&amp;"' where User_ID = '"&amp;B249&amp;"'; "</f>
        <v xml:space="preserve">Update Collaborator Set Organisation = 'NMIMS' where User_ID = 'CU00248'; </v>
      </c>
      <c r="U249" t="str">
        <f>"Update dcollab.collab_user Set Pi = True where User_ID = '"&amp;A249&amp;"'; "</f>
        <v xml:space="preserve">Update dcollab.collab_user Set Pi = True where User_ID = 'CUSR00291'; </v>
      </c>
    </row>
    <row r="250" spans="1:21">
      <c r="A250" t="s">
        <v>9880</v>
      </c>
      <c r="B250" t="s">
        <v>4669</v>
      </c>
      <c r="D250" t="s">
        <v>2939</v>
      </c>
      <c r="E250" t="s">
        <v>7</v>
      </c>
      <c r="F250" t="s">
        <v>4670</v>
      </c>
      <c r="G250" t="s">
        <v>4671</v>
      </c>
      <c r="H250">
        <f t="shared" si="3"/>
        <v>1</v>
      </c>
      <c r="I250" t="s">
        <v>152</v>
      </c>
      <c r="J250" t="s">
        <v>2942</v>
      </c>
      <c r="K250" t="str">
        <f>VLOOKUP(J250,Organisation!$A$2:$C$499,3,FALSE)</f>
        <v>CORG00142</v>
      </c>
      <c r="L250" t="str">
        <f>VLOOKUP(J250,Organisation!$A$2:$E$499,4,FALSE)</f>
        <v>Academic</v>
      </c>
      <c r="M250" t="s">
        <v>35</v>
      </c>
      <c r="N250" t="s">
        <v>2943</v>
      </c>
      <c r="O250" t="s">
        <v>211</v>
      </c>
      <c r="Q250" t="s">
        <v>4672</v>
      </c>
      <c r="S250" s="1">
        <v>1</v>
      </c>
      <c r="T250" t="str">
        <f>"Update Collaborator Set Organisation = '"&amp;J250&amp;"' where User_ID = '"&amp;B250&amp;"'; "</f>
        <v xml:space="preserve">Update Collaborator Set Organisation = 'NMIMS' where User_ID = 'CU00249'; </v>
      </c>
    </row>
    <row r="251" spans="1:21">
      <c r="A251" t="s">
        <v>9881</v>
      </c>
      <c r="B251" t="s">
        <v>2851</v>
      </c>
      <c r="D251" t="s">
        <v>1231</v>
      </c>
      <c r="E251" t="s">
        <v>60</v>
      </c>
      <c r="F251" t="s">
        <v>2852</v>
      </c>
      <c r="G251" t="s">
        <v>2853</v>
      </c>
      <c r="H251">
        <f t="shared" si="3"/>
        <v>1</v>
      </c>
      <c r="I251" t="s">
        <v>2854</v>
      </c>
      <c r="J251" t="s">
        <v>1234</v>
      </c>
      <c r="K251" t="str">
        <f>VLOOKUP(J251,Organisation!$A$2:$C$499,3,FALSE)</f>
        <v>CORG00209</v>
      </c>
      <c r="L251" t="str">
        <f>VLOOKUP(J251,Organisation!$A$2:$E$499,4,FALSE)</f>
        <v>Academic</v>
      </c>
      <c r="M251" t="s">
        <v>1712</v>
      </c>
      <c r="N251" t="s">
        <v>2855</v>
      </c>
      <c r="O251" t="s">
        <v>1235</v>
      </c>
      <c r="P251" s="3" t="s">
        <v>2856</v>
      </c>
      <c r="Q251" t="s">
        <v>2857</v>
      </c>
      <c r="S251" s="1">
        <v>1</v>
      </c>
      <c r="T251" t="str">
        <f>"Update Collaborator Set Organisation = '"&amp;J251&amp;"' where User_ID = '"&amp;B251&amp;"'; "</f>
        <v xml:space="preserve">Update Collaborator Set Organisation = 'University College Cork' where User_ID = 'CU00250'; </v>
      </c>
    </row>
    <row r="252" spans="1:21">
      <c r="A252" t="s">
        <v>9882</v>
      </c>
      <c r="B252" t="s">
        <v>1230</v>
      </c>
      <c r="C252" t="s">
        <v>10540</v>
      </c>
      <c r="D252" t="s">
        <v>1231</v>
      </c>
      <c r="E252" t="s">
        <v>60</v>
      </c>
      <c r="F252" t="s">
        <v>1232</v>
      </c>
      <c r="G252" t="s">
        <v>1223</v>
      </c>
      <c r="H252">
        <f t="shared" si="3"/>
        <v>2</v>
      </c>
      <c r="I252" t="s">
        <v>1233</v>
      </c>
      <c r="J252" t="s">
        <v>1234</v>
      </c>
      <c r="K252" t="str">
        <f>VLOOKUP(J252,Organisation!$A$2:$C$499,3,FALSE)</f>
        <v>CORG00209</v>
      </c>
      <c r="L252" t="str">
        <f>VLOOKUP(J252,Organisation!$A$2:$E$499,4,FALSE)</f>
        <v>Academic</v>
      </c>
      <c r="M252" t="s">
        <v>84</v>
      </c>
      <c r="O252" t="s">
        <v>1235</v>
      </c>
      <c r="P252" s="3" t="s">
        <v>1236</v>
      </c>
      <c r="Q252" t="s">
        <v>1237</v>
      </c>
      <c r="S252" s="1">
        <v>1</v>
      </c>
      <c r="T252" t="str">
        <f>"Update Collaborator Set Organisation = '"&amp;J252&amp;"' where User_ID = '"&amp;B252&amp;"'; "</f>
        <v xml:space="preserve">Update Collaborator Set Organisation = 'University College Cork' where User_ID = 'CU00251'; </v>
      </c>
      <c r="U252" t="str">
        <f>"Update dcollab.collab_user Set Pi = True where User_ID = '"&amp;A252&amp;"'; "</f>
        <v xml:space="preserve">Update dcollab.collab_user Set Pi = True where User_ID = 'CUSR00294'; </v>
      </c>
    </row>
    <row r="253" spans="1:21">
      <c r="A253" t="s">
        <v>9885</v>
      </c>
      <c r="B253" t="s">
        <v>1732</v>
      </c>
      <c r="D253" t="s">
        <v>1733</v>
      </c>
      <c r="E253" t="s">
        <v>7</v>
      </c>
      <c r="F253" t="s">
        <v>1277</v>
      </c>
      <c r="G253" t="s">
        <v>1734</v>
      </c>
      <c r="H253">
        <f t="shared" si="3"/>
        <v>1</v>
      </c>
      <c r="I253" t="s">
        <v>1735</v>
      </c>
      <c r="J253" t="s">
        <v>1056</v>
      </c>
      <c r="K253" t="str">
        <f>VLOOKUP(J253,Organisation!$A$2:$C$499,3,FALSE)</f>
        <v>CORG00056</v>
      </c>
      <c r="L253" t="str">
        <f>VLOOKUP(J253,Organisation!$A$2:$E$499,4,FALSE)</f>
        <v>For-Profit</v>
      </c>
      <c r="M253" t="s">
        <v>1736</v>
      </c>
      <c r="N253" t="s">
        <v>1737</v>
      </c>
      <c r="O253" t="s">
        <v>8808</v>
      </c>
      <c r="P253" s="3" t="s">
        <v>1738</v>
      </c>
      <c r="Q253" t="s">
        <v>1739</v>
      </c>
      <c r="S253" s="1">
        <v>0</v>
      </c>
      <c r="T253" t="str">
        <f>"Update Collaborator Set Organisation = '"&amp;J253&amp;"' where User_ID = '"&amp;B253&amp;"'; "</f>
        <v xml:space="preserve">Update Collaborator Set Organisation = 'Evotec USA' where User_ID = 'CU00252'; </v>
      </c>
    </row>
    <row r="254" spans="1:21">
      <c r="A254" t="s">
        <v>9886</v>
      </c>
      <c r="B254" t="s">
        <v>4440</v>
      </c>
      <c r="D254" t="s">
        <v>3348</v>
      </c>
      <c r="E254" t="s">
        <v>7</v>
      </c>
      <c r="F254" t="s">
        <v>4441</v>
      </c>
      <c r="G254" t="s">
        <v>4442</v>
      </c>
      <c r="H254">
        <f t="shared" si="3"/>
        <v>1</v>
      </c>
      <c r="I254" t="s">
        <v>282</v>
      </c>
      <c r="J254" t="s">
        <v>3351</v>
      </c>
      <c r="K254" t="str">
        <f>VLOOKUP(J254,Organisation!$A$2:$C$499,3,FALSE)</f>
        <v>CORG00190</v>
      </c>
      <c r="L254" t="str">
        <f>VLOOKUP(J254,Organisation!$A$2:$E$499,4,FALSE)</f>
        <v>Academic</v>
      </c>
      <c r="M254" t="s">
        <v>84</v>
      </c>
      <c r="N254" t="s">
        <v>4443</v>
      </c>
      <c r="O254" t="s">
        <v>211</v>
      </c>
      <c r="P254" s="3" t="s">
        <v>4444</v>
      </c>
      <c r="Q254" t="s">
        <v>4445</v>
      </c>
      <c r="S254" s="1">
        <v>1</v>
      </c>
      <c r="T254" t="str">
        <f>"Update Collaborator Set Organisation = '"&amp;J254&amp;"' where User_ID = '"&amp;B254&amp;"'; "</f>
        <v xml:space="preserve">Update Collaborator Set Organisation = 'Tumkur University' where User_ID = 'CU00253'; </v>
      </c>
    </row>
    <row r="255" spans="1:21">
      <c r="A255" t="s">
        <v>9887</v>
      </c>
      <c r="B255" t="s">
        <v>3347</v>
      </c>
      <c r="C255" t="s">
        <v>10540</v>
      </c>
      <c r="D255" t="s">
        <v>3348</v>
      </c>
      <c r="E255" t="s">
        <v>60</v>
      </c>
      <c r="F255" t="s">
        <v>3349</v>
      </c>
      <c r="G255" t="s">
        <v>3350</v>
      </c>
      <c r="H255">
        <f t="shared" si="3"/>
        <v>1</v>
      </c>
      <c r="I255" t="s">
        <v>190</v>
      </c>
      <c r="J255" t="s">
        <v>3351</v>
      </c>
      <c r="K255" t="str">
        <f>VLOOKUP(J255,Organisation!$A$2:$C$499,3,FALSE)</f>
        <v>CORG00190</v>
      </c>
      <c r="L255" t="str">
        <f>VLOOKUP(J255,Organisation!$A$2:$E$499,4,FALSE)</f>
        <v>Academic</v>
      </c>
      <c r="M255" t="s">
        <v>84</v>
      </c>
      <c r="O255" t="s">
        <v>211</v>
      </c>
      <c r="P255" s="3" t="s">
        <v>3352</v>
      </c>
      <c r="Q255" t="s">
        <v>3353</v>
      </c>
      <c r="S255" s="1">
        <v>1</v>
      </c>
      <c r="T255" t="str">
        <f>"Update Collaborator Set Organisation = '"&amp;J255&amp;"' where User_ID = '"&amp;B255&amp;"'; "</f>
        <v xml:space="preserve">Update Collaborator Set Organisation = 'Tumkur University' where User_ID = 'CU00254'; </v>
      </c>
      <c r="U255" t="str">
        <f>"Update dcollab.collab_user Set Pi = True where User_ID = '"&amp;A255&amp;"'; "</f>
        <v xml:space="preserve">Update dcollab.collab_user Set Pi = True where User_ID = 'CUSR00299'; </v>
      </c>
    </row>
    <row r="256" spans="1:21">
      <c r="A256" t="s">
        <v>9692</v>
      </c>
      <c r="B256" t="s">
        <v>5118</v>
      </c>
      <c r="D256" t="s">
        <v>1566</v>
      </c>
      <c r="E256" t="s">
        <v>60</v>
      </c>
      <c r="F256" t="s">
        <v>5119</v>
      </c>
      <c r="G256" t="s">
        <v>5120</v>
      </c>
      <c r="H256">
        <f t="shared" si="3"/>
        <v>1</v>
      </c>
      <c r="I256" t="s">
        <v>516</v>
      </c>
      <c r="J256" t="s">
        <v>5769</v>
      </c>
      <c r="K256" t="str">
        <f>VLOOKUP(J256,Organisation!$A$2:$C$499,3,FALSE)</f>
        <v>CORG00030</v>
      </c>
      <c r="L256" t="str">
        <f>VLOOKUP(J256,Organisation!$A$2:$E$499,4,FALSE)</f>
        <v>Academic</v>
      </c>
      <c r="M256" t="s">
        <v>5121</v>
      </c>
      <c r="N256" t="s">
        <v>5122</v>
      </c>
      <c r="O256" t="s">
        <v>704</v>
      </c>
      <c r="P256" s="3" t="s">
        <v>5123</v>
      </c>
      <c r="Q256" t="s">
        <v>5124</v>
      </c>
      <c r="S256" s="1">
        <v>1</v>
      </c>
      <c r="T256" t="str">
        <f>"Update Collaborator Set Organisation = '"&amp;J256&amp;"' where User_ID = '"&amp;B256&amp;"'; "</f>
        <v xml:space="preserve">Update Collaborator Set Organisation = 'Centre national de la recherche scientifique' where User_ID = 'CU00255'; </v>
      </c>
    </row>
    <row r="257" spans="1:21">
      <c r="A257" t="s">
        <v>9888</v>
      </c>
      <c r="B257" t="s">
        <v>4801</v>
      </c>
      <c r="D257" t="s">
        <v>1196</v>
      </c>
      <c r="E257" t="s">
        <v>110</v>
      </c>
      <c r="F257" t="s">
        <v>4802</v>
      </c>
      <c r="G257" t="s">
        <v>4803</v>
      </c>
      <c r="H257">
        <f t="shared" si="3"/>
        <v>2</v>
      </c>
      <c r="I257" t="s">
        <v>343</v>
      </c>
      <c r="J257" t="s">
        <v>362</v>
      </c>
      <c r="K257" t="str">
        <f>VLOOKUP(J257,Organisation!$A$2:$C$499,3,FALSE)</f>
        <v>CORG00001</v>
      </c>
      <c r="L257" t="str">
        <f>VLOOKUP(J257,Organisation!$A$2:$E$499,4,FALSE)</f>
        <v>Academic</v>
      </c>
      <c r="M257" t="s">
        <v>1199</v>
      </c>
      <c r="N257" t="s">
        <v>4804</v>
      </c>
      <c r="O257" t="s">
        <v>14</v>
      </c>
      <c r="P257" s="3" t="s">
        <v>4805</v>
      </c>
      <c r="Q257" t="s">
        <v>4806</v>
      </c>
      <c r="S257" s="1">
        <v>0</v>
      </c>
      <c r="T257" t="str">
        <f>"Update Collaborator Set Organisation = '"&amp;J257&amp;"' where User_ID = '"&amp;B257&amp;"'; "</f>
        <v xml:space="preserve">Update Collaborator Set Organisation = 'University of Queensland' where User_ID = 'CU00256'; </v>
      </c>
    </row>
    <row r="258" spans="1:21">
      <c r="A258" t="s">
        <v>9889</v>
      </c>
      <c r="B258" t="s">
        <v>1195</v>
      </c>
      <c r="C258" t="s">
        <v>10540</v>
      </c>
      <c r="D258" t="s">
        <v>1196</v>
      </c>
      <c r="E258" t="s">
        <v>60</v>
      </c>
      <c r="F258" t="s">
        <v>463</v>
      </c>
      <c r="G258" t="s">
        <v>1197</v>
      </c>
      <c r="H258">
        <f t="shared" ref="H258:H321" si="4">COUNTIF($G$2:$G$900,G258)</f>
        <v>1</v>
      </c>
      <c r="I258" t="s">
        <v>1198</v>
      </c>
      <c r="J258" t="s">
        <v>362</v>
      </c>
      <c r="K258" t="str">
        <f>VLOOKUP(J258,Organisation!$A$2:$C$499,3,FALSE)</f>
        <v>CORG00001</v>
      </c>
      <c r="L258" t="str">
        <f>VLOOKUP(J258,Organisation!$A$2:$E$499,4,FALSE)</f>
        <v>Academic</v>
      </c>
      <c r="M258" t="s">
        <v>1199</v>
      </c>
      <c r="O258" t="s">
        <v>14</v>
      </c>
      <c r="P258" s="3" t="s">
        <v>1200</v>
      </c>
      <c r="Q258" t="s">
        <v>1201</v>
      </c>
      <c r="S258" s="1">
        <v>1</v>
      </c>
      <c r="T258" t="str">
        <f>"Update Collaborator Set Organisation = '"&amp;J258&amp;"' where User_ID = '"&amp;B258&amp;"'; "</f>
        <v xml:space="preserve">Update Collaborator Set Organisation = 'University of Queensland' where User_ID = 'CU00257'; </v>
      </c>
      <c r="U258" t="str">
        <f>"Update dcollab.collab_user Set Pi = True where User_ID = '"&amp;A258&amp;"'; "</f>
        <v xml:space="preserve">Update dcollab.collab_user Set Pi = True where User_ID = 'CUSR00301'; </v>
      </c>
    </row>
    <row r="259" spans="1:21">
      <c r="A259" t="s">
        <v>9906</v>
      </c>
      <c r="B259" t="s">
        <v>924</v>
      </c>
      <c r="D259" t="s">
        <v>925</v>
      </c>
      <c r="E259" t="s">
        <v>60</v>
      </c>
      <c r="F259" t="s">
        <v>926</v>
      </c>
      <c r="G259" t="s">
        <v>927</v>
      </c>
      <c r="H259">
        <f t="shared" si="4"/>
        <v>1</v>
      </c>
      <c r="I259" t="s">
        <v>928</v>
      </c>
      <c r="J259" t="s">
        <v>929</v>
      </c>
      <c r="K259" t="str">
        <f>VLOOKUP(J259,Organisation!$A$2:$C$499,3,FALSE)</f>
        <v>CORG00160</v>
      </c>
      <c r="L259" t="str">
        <f>VLOOKUP(J259,Organisation!$A$2:$E$499,4,FALSE)</f>
        <v>Academic</v>
      </c>
      <c r="M259" t="s">
        <v>930</v>
      </c>
      <c r="N259" t="s">
        <v>931</v>
      </c>
      <c r="O259" t="s">
        <v>14</v>
      </c>
      <c r="P259" s="3" t="s">
        <v>932</v>
      </c>
      <c r="Q259" t="s">
        <v>933</v>
      </c>
      <c r="S259" s="1">
        <v>1</v>
      </c>
      <c r="T259" t="str">
        <f>"Update Collaborator Set Organisation = '"&amp;J259&amp;"' where User_ID = '"&amp;B259&amp;"'; "</f>
        <v xml:space="preserve">Update Collaborator Set Organisation = 'RMIT University' where User_ID = 'CU00258'; </v>
      </c>
    </row>
    <row r="260" spans="1:21">
      <c r="A260" t="s">
        <v>9890</v>
      </c>
      <c r="B260" t="s">
        <v>4039</v>
      </c>
      <c r="D260" t="s">
        <v>1392</v>
      </c>
      <c r="E260" t="s">
        <v>60</v>
      </c>
      <c r="F260" t="s">
        <v>4040</v>
      </c>
      <c r="G260" t="s">
        <v>4041</v>
      </c>
      <c r="H260">
        <f t="shared" si="4"/>
        <v>1</v>
      </c>
      <c r="I260" t="s">
        <v>415</v>
      </c>
      <c r="J260" t="s">
        <v>1394</v>
      </c>
      <c r="K260" t="str">
        <f>VLOOKUP(J260,Organisation!$A$2:$C$499,3,FALSE)</f>
        <v>CORG00215</v>
      </c>
      <c r="L260" t="str">
        <f>VLOOKUP(J260,Organisation!$A$2:$E$499,4,FALSE)</f>
        <v>Academic</v>
      </c>
      <c r="M260" t="s">
        <v>1263</v>
      </c>
      <c r="N260" t="s">
        <v>4042</v>
      </c>
      <c r="O260" t="s">
        <v>8808</v>
      </c>
      <c r="P260" s="3" t="s">
        <v>4043</v>
      </c>
      <c r="Q260" t="s">
        <v>4044</v>
      </c>
      <c r="S260" s="1">
        <v>1</v>
      </c>
      <c r="T260" t="str">
        <f>"Update Collaborator Set Organisation = '"&amp;J260&amp;"' where User_ID = '"&amp;B260&amp;"'; "</f>
        <v xml:space="preserve">Update Collaborator Set Organisation = 'University of Arkansas For Medical Sciences' where User_ID = 'CU00259'; </v>
      </c>
    </row>
    <row r="261" spans="1:21">
      <c r="A261" t="s">
        <v>9891</v>
      </c>
      <c r="B261" t="s">
        <v>1391</v>
      </c>
      <c r="C261" t="s">
        <v>10540</v>
      </c>
      <c r="D261" t="s">
        <v>1392</v>
      </c>
      <c r="E261" t="s">
        <v>41</v>
      </c>
      <c r="F261" t="s">
        <v>1319</v>
      </c>
      <c r="G261" t="s">
        <v>1393</v>
      </c>
      <c r="H261">
        <f t="shared" si="4"/>
        <v>1</v>
      </c>
      <c r="I261" t="s">
        <v>516</v>
      </c>
      <c r="J261" t="s">
        <v>1394</v>
      </c>
      <c r="K261" t="str">
        <f>VLOOKUP(J261,Organisation!$A$2:$C$499,3,FALSE)</f>
        <v>CORG00215</v>
      </c>
      <c r="L261" t="str">
        <f>VLOOKUP(J261,Organisation!$A$2:$E$499,4,FALSE)</f>
        <v>Academic</v>
      </c>
      <c r="M261" t="s">
        <v>1263</v>
      </c>
      <c r="O261" t="s">
        <v>8808</v>
      </c>
      <c r="P261" s="3" t="s">
        <v>1395</v>
      </c>
      <c r="Q261" t="s">
        <v>1396</v>
      </c>
      <c r="S261" s="1">
        <v>1</v>
      </c>
      <c r="T261" t="str">
        <f>"Update Collaborator Set Organisation = '"&amp;J261&amp;"' where User_ID = '"&amp;B261&amp;"'; "</f>
        <v xml:space="preserve">Update Collaborator Set Organisation = 'University of Arkansas For Medical Sciences' where User_ID = 'CU00260'; </v>
      </c>
      <c r="U261" t="str">
        <f>"Update dcollab.collab_user Set Pi = True where User_ID = '"&amp;A261&amp;"'; "</f>
        <v xml:space="preserve">Update dcollab.collab_user Set Pi = True where User_ID = 'CUSR00303'; </v>
      </c>
    </row>
    <row r="262" spans="1:21">
      <c r="A262" t="s">
        <v>9892</v>
      </c>
      <c r="B262" t="s">
        <v>3425</v>
      </c>
      <c r="D262" t="s">
        <v>3426</v>
      </c>
      <c r="E262" t="s">
        <v>7</v>
      </c>
      <c r="F262" t="s">
        <v>3427</v>
      </c>
      <c r="G262" t="s">
        <v>3428</v>
      </c>
      <c r="H262">
        <f t="shared" si="4"/>
        <v>1</v>
      </c>
      <c r="I262" t="s">
        <v>3429</v>
      </c>
      <c r="J262" t="s">
        <v>3430</v>
      </c>
      <c r="K262" t="str">
        <f>VLOOKUP(J262,Organisation!$A$2:$C$499,3,FALSE)</f>
        <v>CORG00122</v>
      </c>
      <c r="L262" t="str">
        <f>VLOOKUP(J262,Organisation!$A$2:$E$499,4,FALSE)</f>
        <v>For-Profit</v>
      </c>
      <c r="M262" t="s">
        <v>3431</v>
      </c>
      <c r="N262" t="s">
        <v>3432</v>
      </c>
      <c r="O262" t="s">
        <v>211</v>
      </c>
      <c r="P262" s="3" t="s">
        <v>3433</v>
      </c>
      <c r="Q262" t="s">
        <v>3434</v>
      </c>
      <c r="S262" s="1">
        <v>1</v>
      </c>
      <c r="T262" t="str">
        <f>"Update Collaborator Set Organisation = '"&amp;J262&amp;"' where User_ID = '"&amp;B262&amp;"'; "</f>
        <v xml:space="preserve">Update Collaborator Set Organisation = 'Micro Labs Ltd' where User_ID = 'CU00261'; </v>
      </c>
    </row>
    <row r="263" spans="1:21">
      <c r="A263" t="s">
        <v>9893</v>
      </c>
      <c r="B263" t="s">
        <v>4200</v>
      </c>
      <c r="C263" t="s">
        <v>10540</v>
      </c>
      <c r="D263" t="s">
        <v>3426</v>
      </c>
      <c r="E263" t="s">
        <v>60</v>
      </c>
      <c r="F263" t="s">
        <v>4201</v>
      </c>
      <c r="G263" t="s">
        <v>4202</v>
      </c>
      <c r="H263">
        <f t="shared" si="4"/>
        <v>1</v>
      </c>
      <c r="I263" t="s">
        <v>4203</v>
      </c>
      <c r="J263" t="s">
        <v>4204</v>
      </c>
      <c r="K263" t="str">
        <f>VLOOKUP(J263,Organisation!$A$2:$C$499,3,FALSE)</f>
        <v>CORG00094</v>
      </c>
      <c r="L263" t="str">
        <f>VLOOKUP(J263,Organisation!$A$2:$E$499,4,FALSE)</f>
        <v>Academic</v>
      </c>
      <c r="M263" t="s">
        <v>4205</v>
      </c>
      <c r="N263" t="s">
        <v>4206</v>
      </c>
      <c r="O263" t="s">
        <v>211</v>
      </c>
      <c r="P263" s="3" t="s">
        <v>3433</v>
      </c>
      <c r="Q263" t="s">
        <v>4207</v>
      </c>
      <c r="S263" s="1">
        <v>1</v>
      </c>
      <c r="T263" t="str">
        <f>"Update Collaborator Set Organisation = '"&amp;J263&amp;"' where User_ID = '"&amp;B263&amp;"'; "</f>
        <v xml:space="preserve">Update Collaborator Set Organisation = 'K L University' where User_ID = 'CU00262'; </v>
      </c>
      <c r="U263" t="str">
        <f>"Update dcollab.collab_user Set Pi = True where User_ID = '"&amp;A263&amp;"'; "</f>
        <v xml:space="preserve">Update dcollab.collab_user Set Pi = True where User_ID = 'CUSR00305'; </v>
      </c>
    </row>
    <row r="264" spans="1:21">
      <c r="A264" t="s">
        <v>9894</v>
      </c>
      <c r="B264" t="s">
        <v>4724</v>
      </c>
      <c r="C264" t="s">
        <v>10540</v>
      </c>
      <c r="D264" t="s">
        <v>4725</v>
      </c>
      <c r="E264" t="s">
        <v>386</v>
      </c>
      <c r="F264" t="s">
        <v>4726</v>
      </c>
      <c r="G264" t="s">
        <v>2493</v>
      </c>
      <c r="H264">
        <f t="shared" si="4"/>
        <v>1</v>
      </c>
      <c r="I264" t="s">
        <v>190</v>
      </c>
      <c r="J264" t="s">
        <v>4727</v>
      </c>
      <c r="K264" t="str">
        <f>VLOOKUP(J264,Organisation!$A$2:$C$499,3,FALSE)</f>
        <v>CORG00110</v>
      </c>
      <c r="L264" t="str">
        <f>VLOOKUP(J264,Organisation!$A$2:$E$499,4,FALSE)</f>
        <v>Academic</v>
      </c>
      <c r="M264" t="s">
        <v>73</v>
      </c>
      <c r="N264" t="s">
        <v>4728</v>
      </c>
      <c r="O264" t="s">
        <v>211</v>
      </c>
      <c r="P264" s="3" t="s">
        <v>4729</v>
      </c>
      <c r="Q264" t="s">
        <v>4730</v>
      </c>
      <c r="S264" s="1">
        <v>1</v>
      </c>
      <c r="T264" t="str">
        <f>"Update Collaborator Set Organisation = '"&amp;J264&amp;"' where User_ID = '"&amp;B264&amp;"'; "</f>
        <v xml:space="preserve">Update Collaborator Set Organisation = 'Manipal' where User_ID = 'CU00263'; </v>
      </c>
      <c r="U264" t="str">
        <f>"Update dcollab.collab_user Set Pi = True where User_ID = '"&amp;A264&amp;"'; "</f>
        <v xml:space="preserve">Update dcollab.collab_user Set Pi = True where User_ID = 'CUSR00306'; </v>
      </c>
    </row>
    <row r="265" spans="1:21">
      <c r="A265" t="s">
        <v>9895</v>
      </c>
      <c r="B265" t="s">
        <v>2858</v>
      </c>
      <c r="D265" t="s">
        <v>2859</v>
      </c>
      <c r="E265" t="s">
        <v>110</v>
      </c>
      <c r="F265" t="s">
        <v>2860</v>
      </c>
      <c r="G265" t="s">
        <v>2861</v>
      </c>
      <c r="H265">
        <f t="shared" si="4"/>
        <v>1</v>
      </c>
      <c r="I265" t="s">
        <v>343</v>
      </c>
      <c r="J265" t="s">
        <v>2862</v>
      </c>
      <c r="K265" t="str">
        <f>VLOOKUP(J265,Organisation!$A$2:$C$499,3,FALSE)</f>
        <v>CORG00230</v>
      </c>
      <c r="L265" t="str">
        <f>VLOOKUP(J265,Organisation!$A$2:$E$499,4,FALSE)</f>
        <v>Academic</v>
      </c>
      <c r="M265" t="s">
        <v>73</v>
      </c>
      <c r="N265" t="s">
        <v>2863</v>
      </c>
      <c r="O265" t="s">
        <v>269</v>
      </c>
      <c r="P265" s="3" t="s">
        <v>2864</v>
      </c>
      <c r="Q265" t="s">
        <v>2865</v>
      </c>
      <c r="S265" s="1">
        <v>1</v>
      </c>
      <c r="T265" t="str">
        <f>"Update Collaborator Set Organisation = '"&amp;J265&amp;"' where User_ID = '"&amp;B265&amp;"'; "</f>
        <v xml:space="preserve">Update Collaborator Set Organisation = 'University of Edinburgh' where User_ID = 'CU00264'; </v>
      </c>
    </row>
    <row r="266" spans="1:21">
      <c r="A266" t="s">
        <v>9896</v>
      </c>
      <c r="B266" t="s">
        <v>4694</v>
      </c>
      <c r="C266" t="s">
        <v>10540</v>
      </c>
      <c r="D266" t="s">
        <v>2859</v>
      </c>
      <c r="E266" t="s">
        <v>60</v>
      </c>
      <c r="F266" t="s">
        <v>1639</v>
      </c>
      <c r="G266" t="s">
        <v>4695</v>
      </c>
      <c r="H266">
        <f t="shared" si="4"/>
        <v>1</v>
      </c>
      <c r="I266" t="s">
        <v>4696</v>
      </c>
      <c r="J266" t="s">
        <v>2862</v>
      </c>
      <c r="K266" t="str">
        <f>VLOOKUP(J266,Organisation!$A$2:$C$499,3,FALSE)</f>
        <v>CORG00230</v>
      </c>
      <c r="L266" t="str">
        <f>VLOOKUP(J266,Organisation!$A$2:$E$499,4,FALSE)</f>
        <v>Academic</v>
      </c>
      <c r="M266" t="s">
        <v>73</v>
      </c>
      <c r="O266" t="s">
        <v>269</v>
      </c>
      <c r="P266" s="3" t="s">
        <v>4697</v>
      </c>
      <c r="Q266" t="s">
        <v>4698</v>
      </c>
      <c r="S266" s="1">
        <v>0</v>
      </c>
      <c r="T266" t="str">
        <f>"Update Collaborator Set Organisation = '"&amp;J266&amp;"' where User_ID = '"&amp;B266&amp;"'; "</f>
        <v xml:space="preserve">Update Collaborator Set Organisation = 'University of Edinburgh' where User_ID = 'CU00265'; </v>
      </c>
      <c r="U266" t="str">
        <f>"Update dcollab.collab_user Set Pi = True where User_ID = '"&amp;A266&amp;"'; "</f>
        <v xml:space="preserve">Update dcollab.collab_user Set Pi = True where User_ID = 'CUSR00308'; </v>
      </c>
    </row>
    <row r="267" spans="1:21">
      <c r="A267" t="s">
        <v>9897</v>
      </c>
      <c r="B267" t="s">
        <v>2986</v>
      </c>
      <c r="D267" t="s">
        <v>1581</v>
      </c>
      <c r="E267" t="s">
        <v>110</v>
      </c>
      <c r="F267" t="s">
        <v>2987</v>
      </c>
      <c r="G267" t="s">
        <v>2988</v>
      </c>
      <c r="H267">
        <f t="shared" si="4"/>
        <v>1</v>
      </c>
      <c r="I267" t="s">
        <v>2989</v>
      </c>
      <c r="J267" t="s">
        <v>208</v>
      </c>
      <c r="K267" t="str">
        <f>VLOOKUP(J267,Organisation!$A$2:$C$499,3,FALSE)</f>
        <v>CORG00090</v>
      </c>
      <c r="L267" t="str">
        <f>VLOOKUP(J267,Organisation!$A$2:$E$499,4,FALSE)</f>
        <v>Academic</v>
      </c>
      <c r="M267" t="s">
        <v>1585</v>
      </c>
      <c r="N267" t="s">
        <v>2990</v>
      </c>
      <c r="O267" t="s">
        <v>211</v>
      </c>
      <c r="P267" s="3" t="s">
        <v>2991</v>
      </c>
      <c r="Q267" t="s">
        <v>2992</v>
      </c>
      <c r="S267" s="1">
        <v>1</v>
      </c>
      <c r="T267" t="str">
        <f>"Update Collaborator Set Organisation = '"&amp;J267&amp;"' where User_ID = '"&amp;B267&amp;"'; "</f>
        <v xml:space="preserve">Update Collaborator Set Organisation = 'Jain University' where User_ID = 'CU00266'; </v>
      </c>
    </row>
    <row r="268" spans="1:21">
      <c r="A268" t="s">
        <v>9898</v>
      </c>
      <c r="B268" t="s">
        <v>5153</v>
      </c>
      <c r="C268" t="s">
        <v>10540</v>
      </c>
      <c r="D268" t="s">
        <v>1581</v>
      </c>
      <c r="E268" t="s">
        <v>60</v>
      </c>
      <c r="F268" t="s">
        <v>5154</v>
      </c>
      <c r="G268" t="s">
        <v>5155</v>
      </c>
      <c r="H268">
        <f t="shared" si="4"/>
        <v>1</v>
      </c>
      <c r="I268" t="s">
        <v>82</v>
      </c>
      <c r="J268" t="s">
        <v>208</v>
      </c>
      <c r="K268" t="str">
        <f>VLOOKUP(J268,Organisation!$A$2:$C$499,3,FALSE)</f>
        <v>CORG00090</v>
      </c>
      <c r="L268" t="str">
        <f>VLOOKUP(J268,Organisation!$A$2:$E$499,4,FALSE)</f>
        <v>Academic</v>
      </c>
      <c r="M268" t="s">
        <v>1585</v>
      </c>
      <c r="N268" t="s">
        <v>2990</v>
      </c>
      <c r="O268" t="s">
        <v>211</v>
      </c>
      <c r="P268" s="3" t="s">
        <v>5156</v>
      </c>
      <c r="Q268" t="s">
        <v>5157</v>
      </c>
      <c r="S268" s="1">
        <v>1</v>
      </c>
      <c r="T268" t="str">
        <f>"Update Collaborator Set Organisation = '"&amp;J268&amp;"' where User_ID = '"&amp;B268&amp;"'; "</f>
        <v xml:space="preserve">Update Collaborator Set Organisation = 'Jain University' where User_ID = 'CU00267'; </v>
      </c>
      <c r="U268" t="str">
        <f>"Update dcollab.collab_user Set Pi = True where User_ID = '"&amp;A268&amp;"'; "</f>
        <v xml:space="preserve">Update dcollab.collab_user Set Pi = True where User_ID = 'CUSR00310'; </v>
      </c>
    </row>
    <row r="269" spans="1:21">
      <c r="A269" t="s">
        <v>9900</v>
      </c>
      <c r="B269" t="s">
        <v>586</v>
      </c>
      <c r="C269" t="s">
        <v>10540</v>
      </c>
      <c r="D269" t="s">
        <v>311</v>
      </c>
      <c r="E269" t="s">
        <v>60</v>
      </c>
      <c r="F269" t="s">
        <v>19</v>
      </c>
      <c r="G269" t="s">
        <v>587</v>
      </c>
      <c r="H269">
        <f t="shared" si="4"/>
        <v>1</v>
      </c>
      <c r="I269" t="s">
        <v>588</v>
      </c>
      <c r="J269" t="s">
        <v>315</v>
      </c>
      <c r="K269" t="str">
        <f>VLOOKUP(J269,Organisation!$A$2:$C$499,3,FALSE)</f>
        <v>CORG00097</v>
      </c>
      <c r="L269" t="str">
        <f>VLOOKUP(J269,Organisation!$A$2:$E$499,4,FALSE)</f>
        <v>Academic</v>
      </c>
      <c r="M269" t="s">
        <v>589</v>
      </c>
      <c r="N269" t="s">
        <v>590</v>
      </c>
      <c r="O269" t="s">
        <v>318</v>
      </c>
      <c r="P269" s="3" t="s">
        <v>591</v>
      </c>
      <c r="Q269" t="s">
        <v>592</v>
      </c>
      <c r="S269" s="1">
        <v>1</v>
      </c>
      <c r="T269" t="str">
        <f>"Update Collaborator Set Organisation = '"&amp;J269&amp;"' where User_ID = '"&amp;B269&amp;"'; "</f>
        <v xml:space="preserve">Update Collaborator Set Organisation = 'King Saud University' where User_ID = 'CU00268'; </v>
      </c>
      <c r="U269" t="str">
        <f>"Update dcollab.collab_user Set Pi = True where User_ID = '"&amp;A269&amp;"'; "</f>
        <v xml:space="preserve">Update dcollab.collab_user Set Pi = True where User_ID = 'CUSR00312'; </v>
      </c>
    </row>
    <row r="270" spans="1:21">
      <c r="A270" t="s">
        <v>9901</v>
      </c>
      <c r="B270" t="s">
        <v>5004</v>
      </c>
      <c r="D270" t="s">
        <v>311</v>
      </c>
      <c r="E270" t="s">
        <v>60</v>
      </c>
      <c r="F270" t="s">
        <v>5005</v>
      </c>
      <c r="G270" t="s">
        <v>5006</v>
      </c>
      <c r="H270">
        <f t="shared" si="4"/>
        <v>1</v>
      </c>
      <c r="I270" t="s">
        <v>5007</v>
      </c>
      <c r="J270" t="s">
        <v>315</v>
      </c>
      <c r="K270" t="str">
        <f>VLOOKUP(J270,Organisation!$A$2:$C$499,3,FALSE)</f>
        <v>CORG00097</v>
      </c>
      <c r="L270" t="str">
        <f>VLOOKUP(J270,Organisation!$A$2:$E$499,4,FALSE)</f>
        <v>Academic</v>
      </c>
      <c r="M270" t="s">
        <v>589</v>
      </c>
      <c r="N270" t="s">
        <v>590</v>
      </c>
      <c r="O270" t="s">
        <v>318</v>
      </c>
      <c r="P270" s="3" t="s">
        <v>5008</v>
      </c>
      <c r="Q270" t="s">
        <v>5009</v>
      </c>
      <c r="S270" s="1">
        <v>1</v>
      </c>
      <c r="T270" t="str">
        <f>"Update Collaborator Set Organisation = '"&amp;J270&amp;"' where User_ID = '"&amp;B270&amp;"'; "</f>
        <v xml:space="preserve">Update Collaborator Set Organisation = 'King Saud University' where User_ID = 'CU00269'; </v>
      </c>
    </row>
    <row r="271" spans="1:21">
      <c r="A271" t="s">
        <v>9903</v>
      </c>
      <c r="B271" t="s">
        <v>4072</v>
      </c>
      <c r="C271" t="s">
        <v>10540</v>
      </c>
      <c r="D271" t="s">
        <v>4073</v>
      </c>
      <c r="E271" t="s">
        <v>216</v>
      </c>
      <c r="F271" t="s">
        <v>4074</v>
      </c>
      <c r="G271" t="s">
        <v>4075</v>
      </c>
      <c r="H271">
        <f t="shared" si="4"/>
        <v>1</v>
      </c>
      <c r="I271" t="s">
        <v>4076</v>
      </c>
      <c r="J271" t="s">
        <v>4077</v>
      </c>
      <c r="K271" t="str">
        <f>VLOOKUP(J271,Organisation!$A$2:$C$499,3,FALSE)</f>
        <v>CORG00038</v>
      </c>
      <c r="L271" t="str">
        <f>VLOOKUP(J271,Organisation!$A$2:$E$499,4,FALSE)</f>
        <v>Academic</v>
      </c>
      <c r="M271" t="s">
        <v>4078</v>
      </c>
      <c r="N271" t="s">
        <v>4079</v>
      </c>
      <c r="O271" t="s">
        <v>8808</v>
      </c>
      <c r="P271" s="3" t="s">
        <v>4080</v>
      </c>
      <c r="Q271" t="s">
        <v>4081</v>
      </c>
      <c r="S271" s="1">
        <v>1</v>
      </c>
      <c r="T271" t="str">
        <f>"Update Collaborator Set Organisation = '"&amp;J271&amp;"' where User_ID = '"&amp;B271&amp;"'; "</f>
        <v xml:space="preserve">Update Collaborator Set Organisation = 'Columbia University' where User_ID = 'CU00270'; </v>
      </c>
      <c r="U271" t="str">
        <f>"Update dcollab.collab_user Set Pi = True where User_ID = '"&amp;A271&amp;"'; "</f>
        <v xml:space="preserve">Update dcollab.collab_user Set Pi = True where User_ID = 'CUSR00315'; </v>
      </c>
    </row>
    <row r="272" spans="1:21">
      <c r="A272" t="s">
        <v>9904</v>
      </c>
      <c r="B272" t="s">
        <v>4542</v>
      </c>
      <c r="D272" t="s">
        <v>1709</v>
      </c>
      <c r="E272" t="s">
        <v>60</v>
      </c>
      <c r="F272" t="s">
        <v>4543</v>
      </c>
      <c r="G272" t="s">
        <v>4544</v>
      </c>
      <c r="H272">
        <f t="shared" si="4"/>
        <v>1</v>
      </c>
      <c r="I272" t="s">
        <v>564</v>
      </c>
      <c r="J272" t="s">
        <v>457</v>
      </c>
      <c r="K272" t="str">
        <f>VLOOKUP(J272,Organisation!$A$2:$C$499,3,FALSE)</f>
        <v>CORG00140</v>
      </c>
      <c r="L272" t="str">
        <f>VLOOKUP(J272,Organisation!$A$2:$E$499,4,FALSE)</f>
        <v>Academic</v>
      </c>
      <c r="M272" t="s">
        <v>1712</v>
      </c>
      <c r="N272" t="s">
        <v>1713</v>
      </c>
      <c r="O272" t="s">
        <v>459</v>
      </c>
      <c r="P272" s="3" t="s">
        <v>4545</v>
      </c>
      <c r="Q272" t="s">
        <v>4546</v>
      </c>
      <c r="S272" s="1">
        <v>0</v>
      </c>
      <c r="T272" t="str">
        <f>"Update Collaborator Set Organisation = '"&amp;J272&amp;"' where User_ID = '"&amp;B272&amp;"'; "</f>
        <v xml:space="preserve">Update Collaborator Set Organisation = 'National University of Singapore' where User_ID = 'CU00271'; </v>
      </c>
    </row>
    <row r="273" spans="1:21">
      <c r="A273" t="s">
        <v>9905</v>
      </c>
      <c r="B273" t="s">
        <v>1708</v>
      </c>
      <c r="C273" t="s">
        <v>10540</v>
      </c>
      <c r="D273" t="s">
        <v>1709</v>
      </c>
      <c r="E273" t="s">
        <v>216</v>
      </c>
      <c r="F273" t="s">
        <v>1710</v>
      </c>
      <c r="G273" t="s">
        <v>1711</v>
      </c>
      <c r="H273">
        <f t="shared" si="4"/>
        <v>1</v>
      </c>
      <c r="J273" t="s">
        <v>457</v>
      </c>
      <c r="K273" t="str">
        <f>VLOOKUP(J273,Organisation!$A$2:$C$499,3,FALSE)</f>
        <v>CORG00140</v>
      </c>
      <c r="L273" t="str">
        <f>VLOOKUP(J273,Organisation!$A$2:$E$499,4,FALSE)</f>
        <v>Academic</v>
      </c>
      <c r="M273" t="s">
        <v>1712</v>
      </c>
      <c r="N273" t="s">
        <v>1713</v>
      </c>
      <c r="O273" t="s">
        <v>459</v>
      </c>
      <c r="P273" s="3" t="s">
        <v>1714</v>
      </c>
      <c r="Q273" t="s">
        <v>1715</v>
      </c>
      <c r="S273" s="1">
        <v>0</v>
      </c>
      <c r="T273" t="str">
        <f>"Update Collaborator Set Organisation = '"&amp;J273&amp;"' where User_ID = '"&amp;B273&amp;"'; "</f>
        <v xml:space="preserve">Update Collaborator Set Organisation = 'National University of Singapore' where User_ID = 'CU00272'; </v>
      </c>
      <c r="U273" t="str">
        <f>"Update dcollab.collab_user Set Pi = True where User_ID = '"&amp;A273&amp;"'; "</f>
        <v xml:space="preserve">Update dcollab.collab_user Set Pi = True where User_ID = 'CUSR00317'; </v>
      </c>
    </row>
    <row r="274" spans="1:21">
      <c r="A274" t="s">
        <v>9907</v>
      </c>
      <c r="B274" t="s">
        <v>5171</v>
      </c>
      <c r="C274" t="s">
        <v>10540</v>
      </c>
      <c r="D274" t="s">
        <v>925</v>
      </c>
      <c r="E274" t="s">
        <v>60</v>
      </c>
      <c r="F274" t="s">
        <v>5172</v>
      </c>
      <c r="G274" t="s">
        <v>5173</v>
      </c>
      <c r="H274">
        <f t="shared" si="4"/>
        <v>1</v>
      </c>
      <c r="I274" t="s">
        <v>1491</v>
      </c>
      <c r="J274" t="s">
        <v>929</v>
      </c>
      <c r="K274" t="str">
        <f>VLOOKUP(J274,Organisation!$A$2:$C$499,3,FALSE)</f>
        <v>CORG00160</v>
      </c>
      <c r="L274" t="str">
        <f>VLOOKUP(J274,Organisation!$A$2:$E$499,4,FALSE)</f>
        <v>Academic</v>
      </c>
      <c r="M274" t="s">
        <v>930</v>
      </c>
      <c r="N274" t="s">
        <v>931</v>
      </c>
      <c r="O274" t="s">
        <v>14</v>
      </c>
      <c r="P274" s="3" t="s">
        <v>5174</v>
      </c>
      <c r="Q274" t="s">
        <v>5175</v>
      </c>
      <c r="S274" s="1">
        <v>1</v>
      </c>
      <c r="T274" t="str">
        <f>"Update Collaborator Set Organisation = '"&amp;J274&amp;"' where User_ID = '"&amp;B274&amp;"'; "</f>
        <v xml:space="preserve">Update Collaborator Set Organisation = 'RMIT University' where User_ID = 'CU00273'; </v>
      </c>
      <c r="U274" t="str">
        <f>"Update dcollab.collab_user Set Pi = True where User_ID = '"&amp;A274&amp;"'; "</f>
        <v xml:space="preserve">Update dcollab.collab_user Set Pi = True where User_ID = 'CUSR00319'; </v>
      </c>
    </row>
    <row r="275" spans="1:21">
      <c r="A275" t="s">
        <v>9910</v>
      </c>
      <c r="B275" t="s">
        <v>3659</v>
      </c>
      <c r="C275" t="s">
        <v>10540</v>
      </c>
      <c r="D275" t="s">
        <v>3660</v>
      </c>
      <c r="E275" t="s">
        <v>41</v>
      </c>
      <c r="F275" t="s">
        <v>368</v>
      </c>
      <c r="G275" t="s">
        <v>3661</v>
      </c>
      <c r="H275">
        <f t="shared" si="4"/>
        <v>1</v>
      </c>
      <c r="I275" t="s">
        <v>3662</v>
      </c>
      <c r="J275" t="s">
        <v>3663</v>
      </c>
      <c r="K275" t="str">
        <f>VLOOKUP(J275,Organisation!$A$2:$C$499,3,FALSE)</f>
        <v>CORG00261</v>
      </c>
      <c r="L275" t="str">
        <f>VLOOKUP(J275,Organisation!$A$2:$E$499,4,FALSE)</f>
        <v>Academic</v>
      </c>
      <c r="M275" t="s">
        <v>73</v>
      </c>
      <c r="N275" t="s">
        <v>3664</v>
      </c>
      <c r="O275" t="s">
        <v>269</v>
      </c>
      <c r="P275" s="3" t="s">
        <v>3665</v>
      </c>
      <c r="Q275" t="s">
        <v>3666</v>
      </c>
      <c r="S275" s="1">
        <v>1</v>
      </c>
      <c r="T275" t="str">
        <f>"Update Collaborator Set Organisation = '"&amp;J275&amp;"' where User_ID = '"&amp;B275&amp;"'; "</f>
        <v xml:space="preserve">Update Collaborator Set Organisation = 'University of Oxford' where User_ID = 'CU00274'; </v>
      </c>
      <c r="U275" t="str">
        <f>"Update dcollab.collab_user Set Pi = True where User_ID = '"&amp;A275&amp;"'; "</f>
        <v xml:space="preserve">Update dcollab.collab_user Set Pi = True where User_ID = 'CUSR00322'; </v>
      </c>
    </row>
    <row r="276" spans="1:21">
      <c r="A276" t="s">
        <v>9911</v>
      </c>
      <c r="B276" t="s">
        <v>3849</v>
      </c>
      <c r="D276" t="s">
        <v>3850</v>
      </c>
      <c r="E276" t="s">
        <v>7</v>
      </c>
      <c r="F276" t="s">
        <v>1308</v>
      </c>
      <c r="G276" t="s">
        <v>3851</v>
      </c>
      <c r="H276">
        <f t="shared" si="4"/>
        <v>1</v>
      </c>
      <c r="I276" t="s">
        <v>3852</v>
      </c>
      <c r="J276" t="s">
        <v>362</v>
      </c>
      <c r="K276" t="str">
        <f>VLOOKUP(J276,Organisation!$A$2:$C$499,3,FALSE)</f>
        <v>CORG00001</v>
      </c>
      <c r="L276" t="str">
        <f>VLOOKUP(J276,Organisation!$A$2:$E$499,4,FALSE)</f>
        <v>Academic</v>
      </c>
      <c r="M276" t="s">
        <v>416</v>
      </c>
      <c r="N276" t="s">
        <v>3853</v>
      </c>
      <c r="O276" t="s">
        <v>14</v>
      </c>
      <c r="P276" s="3" t="s">
        <v>3854</v>
      </c>
      <c r="Q276" t="s">
        <v>3855</v>
      </c>
      <c r="S276" s="1">
        <v>0</v>
      </c>
      <c r="T276" t="str">
        <f>"Update Collaborator Set Organisation = '"&amp;J276&amp;"' where User_ID = '"&amp;B276&amp;"'; "</f>
        <v xml:space="preserve">Update Collaborator Set Organisation = 'University of Queensland' where User_ID = 'CU00275'; </v>
      </c>
    </row>
    <row r="277" spans="1:21">
      <c r="A277" t="s">
        <v>9912</v>
      </c>
      <c r="B277" t="s">
        <v>4066</v>
      </c>
      <c r="C277" t="s">
        <v>10540</v>
      </c>
      <c r="D277" t="s">
        <v>3850</v>
      </c>
      <c r="E277" t="s">
        <v>60</v>
      </c>
      <c r="F277" t="s">
        <v>1639</v>
      </c>
      <c r="G277" t="s">
        <v>4067</v>
      </c>
      <c r="H277">
        <f t="shared" si="4"/>
        <v>1</v>
      </c>
      <c r="I277" t="s">
        <v>1356</v>
      </c>
      <c r="J277" t="s">
        <v>4068</v>
      </c>
      <c r="K277" t="str">
        <f>VLOOKUP(J277,Organisation!$A$2:$C$499,3,FALSE)</f>
        <v>CORG00060</v>
      </c>
      <c r="L277" t="str">
        <f>VLOOKUP(J277,Organisation!$A$2:$E$499,4,FALSE)</f>
        <v>Academic</v>
      </c>
      <c r="M277" t="s">
        <v>4069</v>
      </c>
      <c r="N277" t="s">
        <v>4070</v>
      </c>
      <c r="O277" t="s">
        <v>14</v>
      </c>
      <c r="Q277" t="s">
        <v>4071</v>
      </c>
      <c r="S277" s="1">
        <v>1</v>
      </c>
      <c r="T277" t="str">
        <f>"Update Collaborator Set Organisation = '"&amp;J277&amp;"' where User_ID = '"&amp;B277&amp;"'; "</f>
        <v xml:space="preserve">Update Collaborator Set Organisation = 'Flinders University' where User_ID = 'CU00276'; </v>
      </c>
      <c r="U277" t="str">
        <f>"Update dcollab.collab_user Set Pi = True where User_ID = '"&amp;A277&amp;"'; "</f>
        <v xml:space="preserve">Update dcollab.collab_user Set Pi = True where User_ID = 'CUSR00324'; </v>
      </c>
    </row>
    <row r="278" spans="1:21">
      <c r="A278" t="s">
        <v>9913</v>
      </c>
      <c r="B278" t="s">
        <v>5456</v>
      </c>
      <c r="C278" t="s">
        <v>10540</v>
      </c>
      <c r="D278" t="s">
        <v>5457</v>
      </c>
      <c r="E278" t="s">
        <v>60</v>
      </c>
      <c r="F278" t="s">
        <v>2721</v>
      </c>
      <c r="G278" t="s">
        <v>5458</v>
      </c>
      <c r="H278">
        <f t="shared" si="4"/>
        <v>1</v>
      </c>
      <c r="I278" t="s">
        <v>190</v>
      </c>
      <c r="J278" t="s">
        <v>5459</v>
      </c>
      <c r="K278" t="str">
        <f>VLOOKUP(J278,Organisation!$A$2:$C$499,3,FALSE)</f>
        <v>CORG00010</v>
      </c>
      <c r="L278" t="str">
        <f>VLOOKUP(J278,Organisation!$A$2:$E$499,4,FALSE)</f>
        <v>Academic</v>
      </c>
      <c r="M278" t="s">
        <v>8816</v>
      </c>
      <c r="N278" t="s">
        <v>5460</v>
      </c>
      <c r="O278" t="s">
        <v>8808</v>
      </c>
      <c r="P278" s="3" t="s">
        <v>5461</v>
      </c>
      <c r="Q278" t="s">
        <v>5462</v>
      </c>
      <c r="S278" s="1">
        <v>1</v>
      </c>
      <c r="T278" t="str">
        <f>"Update Collaborator Set Organisation = '"&amp;J278&amp;"' where User_ID = '"&amp;B278&amp;"'; "</f>
        <v xml:space="preserve">Update Collaborator Set Organisation = 'Armstrong State University' where User_ID = 'CU00277'; </v>
      </c>
      <c r="U278" t="str">
        <f>"Update dcollab.collab_user Set Pi = True where User_ID = '"&amp;A278&amp;"'; "</f>
        <v xml:space="preserve">Update dcollab.collab_user Set Pi = True where User_ID = 'CUSR00325'; </v>
      </c>
    </row>
    <row r="279" spans="1:21">
      <c r="A279" t="s">
        <v>9914</v>
      </c>
      <c r="B279" t="s">
        <v>2150</v>
      </c>
      <c r="D279" t="s">
        <v>1077</v>
      </c>
      <c r="E279" t="s">
        <v>228</v>
      </c>
      <c r="F279" t="s">
        <v>2151</v>
      </c>
      <c r="G279" t="s">
        <v>2152</v>
      </c>
      <c r="H279">
        <f t="shared" si="4"/>
        <v>1</v>
      </c>
      <c r="I279" t="s">
        <v>343</v>
      </c>
      <c r="J279" t="s">
        <v>1080</v>
      </c>
      <c r="K279" t="str">
        <f>VLOOKUP(J279,Organisation!$A$2:$C$499,3,FALSE)</f>
        <v>CORG00237</v>
      </c>
      <c r="L279" t="str">
        <f>VLOOKUP(J279,Organisation!$A$2:$E$499,4,FALSE)</f>
        <v>Academic</v>
      </c>
      <c r="M279" t="s">
        <v>73</v>
      </c>
      <c r="N279" t="s">
        <v>1081</v>
      </c>
      <c r="O279" t="s">
        <v>8808</v>
      </c>
      <c r="P279" s="3" t="s">
        <v>2153</v>
      </c>
      <c r="Q279" t="s">
        <v>2154</v>
      </c>
      <c r="S279" s="1">
        <v>0</v>
      </c>
      <c r="T279" t="str">
        <f>"Update Collaborator Set Organisation = '"&amp;J279&amp;"' where User_ID = '"&amp;B279&amp;"'; "</f>
        <v xml:space="preserve">Update Collaborator Set Organisation = 'University of Leeds' where User_ID = 'CU00278'; </v>
      </c>
    </row>
    <row r="280" spans="1:21">
      <c r="A280" t="s">
        <v>9915</v>
      </c>
      <c r="B280" t="s">
        <v>3598</v>
      </c>
      <c r="C280" t="s">
        <v>10540</v>
      </c>
      <c r="D280" t="s">
        <v>1077</v>
      </c>
      <c r="E280" t="s">
        <v>18</v>
      </c>
      <c r="F280" t="s">
        <v>3599</v>
      </c>
      <c r="G280" t="s">
        <v>3594</v>
      </c>
      <c r="H280">
        <f t="shared" si="4"/>
        <v>2</v>
      </c>
      <c r="I280" t="s">
        <v>1209</v>
      </c>
      <c r="J280" t="s">
        <v>1080</v>
      </c>
      <c r="K280" t="str">
        <f>VLOOKUP(J280,Organisation!$A$2:$C$499,3,FALSE)</f>
        <v>CORG00237</v>
      </c>
      <c r="L280" t="str">
        <f>VLOOKUP(J280,Organisation!$A$2:$E$499,4,FALSE)</f>
        <v>Academic</v>
      </c>
      <c r="M280" t="s">
        <v>73</v>
      </c>
      <c r="N280" t="s">
        <v>1081</v>
      </c>
      <c r="O280" t="s">
        <v>269</v>
      </c>
      <c r="P280" s="3" t="s">
        <v>3600</v>
      </c>
      <c r="Q280" t="s">
        <v>3601</v>
      </c>
      <c r="S280" s="1">
        <v>1</v>
      </c>
      <c r="T280" t="str">
        <f>"Update Collaborator Set Organisation = '"&amp;J280&amp;"' where User_ID = '"&amp;B280&amp;"'; "</f>
        <v xml:space="preserve">Update Collaborator Set Organisation = 'University of Leeds' where User_ID = 'CU00279'; </v>
      </c>
      <c r="U280" t="str">
        <f>"Update dcollab.collab_user Set Pi = True where User_ID = '"&amp;A280&amp;"'; "</f>
        <v xml:space="preserve">Update dcollab.collab_user Set Pi = True where User_ID = 'CUSR00327'; </v>
      </c>
    </row>
    <row r="281" spans="1:21">
      <c r="A281" t="s">
        <v>9918</v>
      </c>
      <c r="B281" t="s">
        <v>4921</v>
      </c>
      <c r="C281" t="s">
        <v>10540</v>
      </c>
      <c r="D281" t="s">
        <v>602</v>
      </c>
      <c r="E281" t="s">
        <v>41</v>
      </c>
      <c r="F281" t="s">
        <v>4922</v>
      </c>
      <c r="G281" t="s">
        <v>4923</v>
      </c>
      <c r="H281">
        <f t="shared" si="4"/>
        <v>1</v>
      </c>
      <c r="I281" t="s">
        <v>4411</v>
      </c>
      <c r="J281" t="s">
        <v>606</v>
      </c>
      <c r="K281" t="str">
        <f>VLOOKUP(J281,Organisation!$A$2:$C$499,3,FALSE)</f>
        <v>CORG00179</v>
      </c>
      <c r="L281" t="str">
        <f>VLOOKUP(J281,Organisation!$A$2:$E$499,4,FALSE)</f>
        <v>Academic</v>
      </c>
      <c r="M281" t="s">
        <v>607</v>
      </c>
      <c r="N281" t="s">
        <v>608</v>
      </c>
      <c r="O281" t="s">
        <v>609</v>
      </c>
      <c r="P281" s="3" t="s">
        <v>4924</v>
      </c>
      <c r="Q281" t="s">
        <v>4925</v>
      </c>
      <c r="S281" s="1">
        <v>1</v>
      </c>
      <c r="T281" t="str">
        <f>"Update Collaborator Set Organisation = '"&amp;J281&amp;"' where User_ID = '"&amp;B281&amp;"'; "</f>
        <v xml:space="preserve">Update Collaborator Set Organisation = 'Stellenbosch University' where User_ID = 'CU00280'; </v>
      </c>
      <c r="U281" t="str">
        <f>"Update dcollab.collab_user Set Pi = True where User_ID = '"&amp;A281&amp;"'; "</f>
        <v xml:space="preserve">Update dcollab.collab_user Set Pi = True where User_ID = 'CUSR00330'; </v>
      </c>
    </row>
    <row r="282" spans="1:21">
      <c r="A282" t="s">
        <v>9919</v>
      </c>
      <c r="B282" t="s">
        <v>601</v>
      </c>
      <c r="D282" t="s">
        <v>602</v>
      </c>
      <c r="E282" t="s">
        <v>60</v>
      </c>
      <c r="F282" t="s">
        <v>603</v>
      </c>
      <c r="G282" t="s">
        <v>604</v>
      </c>
      <c r="H282">
        <f t="shared" si="4"/>
        <v>1</v>
      </c>
      <c r="I282" t="s">
        <v>605</v>
      </c>
      <c r="J282" t="s">
        <v>606</v>
      </c>
      <c r="K282" t="str">
        <f>VLOOKUP(J282,Organisation!$A$2:$C$499,3,FALSE)</f>
        <v>CORG00179</v>
      </c>
      <c r="L282" t="str">
        <f>VLOOKUP(J282,Organisation!$A$2:$E$499,4,FALSE)</f>
        <v>Academic</v>
      </c>
      <c r="M282" t="s">
        <v>607</v>
      </c>
      <c r="N282" t="s">
        <v>608</v>
      </c>
      <c r="O282" t="s">
        <v>609</v>
      </c>
      <c r="P282" s="3" t="s">
        <v>610</v>
      </c>
      <c r="Q282" t="s">
        <v>611</v>
      </c>
      <c r="S282" s="1">
        <v>1</v>
      </c>
      <c r="T282" t="str">
        <f>"Update Collaborator Set Organisation = '"&amp;J282&amp;"' where User_ID = '"&amp;B282&amp;"'; "</f>
        <v xml:space="preserve">Update Collaborator Set Organisation = 'Stellenbosch University' where User_ID = 'CU00281'; </v>
      </c>
    </row>
    <row r="283" spans="1:21">
      <c r="A283" t="s">
        <v>9920</v>
      </c>
      <c r="B283" t="s">
        <v>1052</v>
      </c>
      <c r="D283" t="s">
        <v>247</v>
      </c>
      <c r="E283" t="s">
        <v>386</v>
      </c>
      <c r="F283" t="s">
        <v>1053</v>
      </c>
      <c r="G283" t="s">
        <v>1054</v>
      </c>
      <c r="H283">
        <f t="shared" si="4"/>
        <v>1</v>
      </c>
      <c r="I283" t="s">
        <v>1055</v>
      </c>
      <c r="J283" t="s">
        <v>1056</v>
      </c>
      <c r="K283" t="str">
        <f>VLOOKUP(J283,Organisation!$A$2:$C$499,3,FALSE)</f>
        <v>CORG00056</v>
      </c>
      <c r="L283" t="str">
        <f>VLOOKUP(J283,Organisation!$A$2:$E$499,4,FALSE)</f>
        <v>For-Profit</v>
      </c>
      <c r="M283" t="s">
        <v>1057</v>
      </c>
      <c r="N283" t="s">
        <v>1058</v>
      </c>
      <c r="O283" t="s">
        <v>8808</v>
      </c>
      <c r="P283" s="3" t="s">
        <v>1059</v>
      </c>
      <c r="Q283" t="s">
        <v>1060</v>
      </c>
      <c r="S283" s="1">
        <v>0</v>
      </c>
      <c r="T283" t="str">
        <f>"Update Collaborator Set Organisation = '"&amp;J283&amp;"' where User_ID = '"&amp;B283&amp;"'; "</f>
        <v xml:space="preserve">Update Collaborator Set Organisation = 'Evotec USA' where User_ID = 'CU00282'; </v>
      </c>
    </row>
    <row r="284" spans="1:21">
      <c r="A284" t="s">
        <v>9921</v>
      </c>
      <c r="B284" t="s">
        <v>1630</v>
      </c>
      <c r="C284" t="s">
        <v>10540</v>
      </c>
      <c r="D284" t="s">
        <v>247</v>
      </c>
      <c r="E284" t="s">
        <v>60</v>
      </c>
      <c r="F284" t="s">
        <v>1631</v>
      </c>
      <c r="G284" t="s">
        <v>1632</v>
      </c>
      <c r="H284">
        <f t="shared" si="4"/>
        <v>1</v>
      </c>
      <c r="I284" t="s">
        <v>1633</v>
      </c>
      <c r="J284" t="s">
        <v>8766</v>
      </c>
      <c r="K284" t="str">
        <f>VLOOKUP(J284,Organisation!$A$2:$C$499,3,FALSE)</f>
        <v>CORG00118</v>
      </c>
      <c r="L284" t="str">
        <f>VLOOKUP(J284,Organisation!$A$2:$E$499,4,FALSE)</f>
        <v>Not-for-Profit</v>
      </c>
      <c r="M284" t="s">
        <v>251</v>
      </c>
      <c r="N284" t="s">
        <v>633</v>
      </c>
      <c r="O284" t="s">
        <v>253</v>
      </c>
      <c r="P284" s="3" t="s">
        <v>1635</v>
      </c>
      <c r="Q284" t="s">
        <v>1636</v>
      </c>
      <c r="R284" t="s">
        <v>1634</v>
      </c>
      <c r="S284" s="1">
        <v>1</v>
      </c>
      <c r="T284" t="str">
        <f>"Update Collaborator Set Organisation = '"&amp;J284&amp;"' where User_ID = '"&amp;B284&amp;"'; "</f>
        <v xml:space="preserve">Update Collaborator Set Organisation = 'Medicines for Malaria Venture' where User_ID = 'CU00283'; </v>
      </c>
      <c r="U284" t="str">
        <f>"Update dcollab.collab_user Set Pi = True where User_ID = '"&amp;A284&amp;"'; "</f>
        <v xml:space="preserve">Update dcollab.collab_user Set Pi = True where User_ID = 'CUSR00333'; </v>
      </c>
    </row>
    <row r="285" spans="1:21">
      <c r="A285" t="s">
        <v>9931</v>
      </c>
      <c r="B285" t="s">
        <v>2993</v>
      </c>
      <c r="D285" t="s">
        <v>2994</v>
      </c>
      <c r="E285" t="s">
        <v>60</v>
      </c>
      <c r="F285" t="s">
        <v>2995</v>
      </c>
      <c r="G285" t="s">
        <v>2996</v>
      </c>
      <c r="H285">
        <f t="shared" si="4"/>
        <v>1</v>
      </c>
      <c r="I285" t="s">
        <v>2997</v>
      </c>
      <c r="J285" t="s">
        <v>2998</v>
      </c>
      <c r="K285" t="str">
        <f>VLOOKUP(J285,Organisation!$A$2:$C$499,3,FALSE)</f>
        <v>CORG00099</v>
      </c>
      <c r="L285" t="str">
        <f>VLOOKUP(J285,Organisation!$A$2:$E$499,4,FALSE)</f>
        <v>For-Profit</v>
      </c>
      <c r="M285" t="s">
        <v>2999</v>
      </c>
      <c r="N285" t="s">
        <v>3000</v>
      </c>
      <c r="O285" t="s">
        <v>8808</v>
      </c>
      <c r="P285" s="3" t="s">
        <v>3001</v>
      </c>
      <c r="Q285" t="s">
        <v>3002</v>
      </c>
      <c r="S285" s="1">
        <v>1</v>
      </c>
      <c r="T285" t="str">
        <f>"Update Collaborator Set Organisation = '"&amp;J285&amp;"' where User_ID = '"&amp;B285&amp;"'; "</f>
        <v xml:space="preserve">Update Collaborator Set Organisation = 'Konradi Molecular' where User_ID = 'CU00284'; </v>
      </c>
    </row>
    <row r="286" spans="1:21">
      <c r="A286" t="s">
        <v>9932</v>
      </c>
      <c r="B286" t="s">
        <v>3103</v>
      </c>
      <c r="C286" t="s">
        <v>10540</v>
      </c>
      <c r="D286" t="s">
        <v>2994</v>
      </c>
      <c r="E286" t="s">
        <v>60</v>
      </c>
      <c r="F286" t="s">
        <v>3104</v>
      </c>
      <c r="G286" t="s">
        <v>3105</v>
      </c>
      <c r="H286">
        <f t="shared" si="4"/>
        <v>1</v>
      </c>
      <c r="I286" t="s">
        <v>33</v>
      </c>
      <c r="J286" t="s">
        <v>3106</v>
      </c>
      <c r="K286" t="str">
        <f>VLOOKUP(J286,Organisation!$A$2:$C$499,3,FALSE)</f>
        <v>CORG00037</v>
      </c>
      <c r="L286" t="str">
        <f>VLOOKUP(J286,Organisation!$A$2:$E$499,4,FALSE)</f>
        <v>Academic</v>
      </c>
      <c r="M286" t="s">
        <v>3107</v>
      </c>
      <c r="N286" t="s">
        <v>3108</v>
      </c>
      <c r="O286" t="s">
        <v>8808</v>
      </c>
      <c r="P286" s="3" t="s">
        <v>3109</v>
      </c>
      <c r="Q286" t="s">
        <v>3110</v>
      </c>
      <c r="S286" s="1">
        <v>1</v>
      </c>
      <c r="T286" t="str">
        <f>"Update Collaborator Set Organisation = '"&amp;J286&amp;"' where User_ID = '"&amp;B286&amp;"'; "</f>
        <v xml:space="preserve">Update Collaborator Set Organisation = 'College of San Mateo' where User_ID = 'CU00285'; </v>
      </c>
      <c r="U286" t="str">
        <f>"Update dcollab.collab_user Set Pi = True where User_ID = '"&amp;A286&amp;"'; "</f>
        <v xml:space="preserve">Update dcollab.collab_user Set Pi = True where User_ID = 'CUSR00344'; </v>
      </c>
    </row>
    <row r="287" spans="1:21">
      <c r="A287" t="s">
        <v>9933</v>
      </c>
      <c r="B287" t="s">
        <v>3213</v>
      </c>
      <c r="D287" t="s">
        <v>2994</v>
      </c>
      <c r="E287" t="s">
        <v>110</v>
      </c>
      <c r="F287" t="s">
        <v>3214</v>
      </c>
      <c r="G287" t="s">
        <v>3215</v>
      </c>
      <c r="H287">
        <f t="shared" si="4"/>
        <v>1</v>
      </c>
      <c r="J287" t="s">
        <v>2998</v>
      </c>
      <c r="K287" t="str">
        <f>VLOOKUP(J287,Organisation!$A$2:$C$499,3,FALSE)</f>
        <v>CORG00099</v>
      </c>
      <c r="L287" t="str">
        <f>VLOOKUP(J287,Organisation!$A$2:$E$499,4,FALSE)</f>
        <v>For-Profit</v>
      </c>
      <c r="M287" t="s">
        <v>2999</v>
      </c>
      <c r="N287" t="s">
        <v>3000</v>
      </c>
      <c r="O287" t="s">
        <v>8808</v>
      </c>
      <c r="P287" s="3" t="s">
        <v>3216</v>
      </c>
      <c r="Q287" t="s">
        <v>3217</v>
      </c>
      <c r="S287" s="1">
        <v>1</v>
      </c>
      <c r="T287" t="str">
        <f>"Update Collaborator Set Organisation = '"&amp;J287&amp;"' where User_ID = '"&amp;B287&amp;"'; "</f>
        <v xml:space="preserve">Update Collaborator Set Organisation = 'Konradi Molecular' where User_ID = 'CU00286'; </v>
      </c>
    </row>
    <row r="288" spans="1:21">
      <c r="A288" t="s">
        <v>9934</v>
      </c>
      <c r="B288" t="s">
        <v>4028</v>
      </c>
      <c r="C288" t="s">
        <v>10540</v>
      </c>
      <c r="D288" t="s">
        <v>4001</v>
      </c>
      <c r="E288" t="s">
        <v>60</v>
      </c>
      <c r="F288" t="s">
        <v>4029</v>
      </c>
      <c r="G288" t="s">
        <v>4030</v>
      </c>
      <c r="H288">
        <f t="shared" si="4"/>
        <v>1</v>
      </c>
      <c r="J288" t="s">
        <v>4004</v>
      </c>
      <c r="K288" t="str">
        <f>VLOOKUP(J288,Organisation!$A$2:$C$499,3,FALSE)</f>
        <v>CORG00049</v>
      </c>
      <c r="L288" t="str">
        <f>VLOOKUP(J288,Organisation!$A$2:$E$499,4,FALSE)</f>
        <v>Academic</v>
      </c>
      <c r="M288" t="s">
        <v>73</v>
      </c>
      <c r="N288" t="s">
        <v>4005</v>
      </c>
      <c r="O288" t="s">
        <v>211</v>
      </c>
      <c r="P288" s="3" t="s">
        <v>4031</v>
      </c>
      <c r="Q288" t="s">
        <v>4032</v>
      </c>
      <c r="S288" s="1">
        <v>1</v>
      </c>
      <c r="T288" t="str">
        <f>"Update Collaborator Set Organisation = '"&amp;J288&amp;"' where User_ID = '"&amp;B288&amp;"'; "</f>
        <v xml:space="preserve">Update Collaborator Set Organisation = 'Deogiri College' where User_ID = 'CU00287'; </v>
      </c>
      <c r="U288" t="str">
        <f>"Update dcollab.collab_user Set Pi = True where User_ID = '"&amp;A288&amp;"'; "</f>
        <v xml:space="preserve">Update dcollab.collab_user Set Pi = True where User_ID = 'CUSR00346'; </v>
      </c>
    </row>
    <row r="289" spans="1:21">
      <c r="A289" t="s">
        <v>9935</v>
      </c>
      <c r="B289" t="s">
        <v>4000</v>
      </c>
      <c r="D289" t="s">
        <v>4001</v>
      </c>
      <c r="E289" t="s">
        <v>7</v>
      </c>
      <c r="F289" t="s">
        <v>4002</v>
      </c>
      <c r="G289" t="s">
        <v>4003</v>
      </c>
      <c r="H289">
        <f t="shared" si="4"/>
        <v>1</v>
      </c>
      <c r="I289" t="s">
        <v>207</v>
      </c>
      <c r="J289" t="s">
        <v>4004</v>
      </c>
      <c r="K289" t="str">
        <f>VLOOKUP(J289,Organisation!$A$2:$C$499,3,FALSE)</f>
        <v>CORG00049</v>
      </c>
      <c r="L289" t="str">
        <f>VLOOKUP(J289,Organisation!$A$2:$E$499,4,FALSE)</f>
        <v>Academic</v>
      </c>
      <c r="M289" t="s">
        <v>84</v>
      </c>
      <c r="N289" t="s">
        <v>4005</v>
      </c>
      <c r="O289" t="s">
        <v>211</v>
      </c>
      <c r="P289" s="3" t="s">
        <v>4006</v>
      </c>
      <c r="Q289" t="s">
        <v>4007</v>
      </c>
      <c r="S289" s="1">
        <v>1</v>
      </c>
      <c r="T289" t="str">
        <f>"Update Collaborator Set Organisation = '"&amp;J289&amp;"' where User_ID = '"&amp;B289&amp;"'; "</f>
        <v xml:space="preserve">Update Collaborator Set Organisation = 'Deogiri College' where User_ID = 'CU00288'; </v>
      </c>
    </row>
    <row r="290" spans="1:21">
      <c r="A290" t="s">
        <v>9677</v>
      </c>
      <c r="B290" t="s">
        <v>4362</v>
      </c>
      <c r="D290" t="s">
        <v>2886</v>
      </c>
      <c r="E290" t="s">
        <v>60</v>
      </c>
      <c r="F290" t="s">
        <v>4363</v>
      </c>
      <c r="G290" t="s">
        <v>4364</v>
      </c>
      <c r="H290">
        <f t="shared" si="4"/>
        <v>1</v>
      </c>
      <c r="I290" t="s">
        <v>4365</v>
      </c>
      <c r="J290" t="s">
        <v>1422</v>
      </c>
      <c r="K290" t="str">
        <f>VLOOKUP(J290,Organisation!$A$2:$C$499,3,FALSE)</f>
        <v>CORG00292</v>
      </c>
      <c r="L290" t="str">
        <f>VLOOKUP(J290,Organisation!$A$2:$E$499,4,FALSE)</f>
        <v>Academic</v>
      </c>
      <c r="M290" t="s">
        <v>170</v>
      </c>
      <c r="O290" t="s">
        <v>14</v>
      </c>
      <c r="P290" s="3" t="s">
        <v>4366</v>
      </c>
      <c r="Q290" t="s">
        <v>4367</v>
      </c>
      <c r="S290" s="1">
        <v>1</v>
      </c>
      <c r="T290" t="str">
        <f>"Update Collaborator Set Organisation = '"&amp;J290&amp;"' where User_ID = '"&amp;B290&amp;"'; "</f>
        <v xml:space="preserve">Update Collaborator Set Organisation = 'University of Wollongong' where User_ID = 'CU00289'; </v>
      </c>
    </row>
    <row r="291" spans="1:21">
      <c r="A291" t="s">
        <v>9936</v>
      </c>
      <c r="B291" t="s">
        <v>2301</v>
      </c>
      <c r="C291" t="s">
        <v>10540</v>
      </c>
      <c r="D291" t="s">
        <v>2302</v>
      </c>
      <c r="E291" t="s">
        <v>60</v>
      </c>
      <c r="F291" t="s">
        <v>2303</v>
      </c>
      <c r="G291" t="s">
        <v>2304</v>
      </c>
      <c r="H291">
        <f t="shared" si="4"/>
        <v>1</v>
      </c>
      <c r="I291" t="s">
        <v>588</v>
      </c>
      <c r="J291" t="s">
        <v>2305</v>
      </c>
      <c r="K291" t="str">
        <f>VLOOKUP(J291,Organisation!$A$2:$C$499,3,FALSE)</f>
        <v>CORG00129</v>
      </c>
      <c r="L291" t="str">
        <f>VLOOKUP(J291,Organisation!$A$2:$E$499,4,FALSE)</f>
        <v>Academic</v>
      </c>
      <c r="M291" t="s">
        <v>712</v>
      </c>
      <c r="N291" t="s">
        <v>2306</v>
      </c>
      <c r="O291" t="s">
        <v>211</v>
      </c>
      <c r="P291" s="3" t="s">
        <v>2307</v>
      </c>
      <c r="Q291" t="s">
        <v>2308</v>
      </c>
      <c r="S291" s="1">
        <v>1</v>
      </c>
      <c r="T291" t="str">
        <f>"Update Collaborator Set Organisation = '"&amp;J291&amp;"' where User_ID = '"&amp;B291&amp;"'; "</f>
        <v xml:space="preserve">Update Collaborator Set Organisation = 'Nanakram Bhagwandas Science College' where User_ID = 'CU00290'; </v>
      </c>
      <c r="U291" t="str">
        <f>"Update dcollab.collab_user Set Pi = True where User_ID = '"&amp;A291&amp;"'; "</f>
        <v xml:space="preserve">Update dcollab.collab_user Set Pi = True where User_ID = 'CUSR00348'; </v>
      </c>
    </row>
    <row r="292" spans="1:21">
      <c r="A292" t="s">
        <v>9937</v>
      </c>
      <c r="B292" t="s">
        <v>2336</v>
      </c>
      <c r="D292" t="s">
        <v>1152</v>
      </c>
      <c r="E292" t="s">
        <v>60</v>
      </c>
      <c r="F292" t="s">
        <v>2337</v>
      </c>
      <c r="G292" t="s">
        <v>2338</v>
      </c>
      <c r="H292">
        <f t="shared" si="4"/>
        <v>1</v>
      </c>
      <c r="I292" t="s">
        <v>2339</v>
      </c>
      <c r="J292" t="s">
        <v>1154</v>
      </c>
      <c r="K292" t="str">
        <f>VLOOKUP(J292,Organisation!$A$2:$C$499,3,FALSE)</f>
        <v>CORG00288</v>
      </c>
      <c r="L292" t="str">
        <f>VLOOKUP(J292,Organisation!$A$2:$E$499,4,FALSE)</f>
        <v>Academic</v>
      </c>
      <c r="M292" t="s">
        <v>73</v>
      </c>
      <c r="N292" t="s">
        <v>1155</v>
      </c>
      <c r="O292" t="s">
        <v>269</v>
      </c>
      <c r="P292" s="3" t="s">
        <v>2340</v>
      </c>
      <c r="Q292" t="s">
        <v>2341</v>
      </c>
      <c r="S292" s="1">
        <v>1</v>
      </c>
      <c r="T292" t="str">
        <f>"Update Collaborator Set Organisation = '"&amp;J292&amp;"' where User_ID = '"&amp;B292&amp;"'; "</f>
        <v xml:space="preserve">Update Collaborator Set Organisation = 'University of Warwick' where User_ID = 'CU00291'; </v>
      </c>
    </row>
    <row r="293" spans="1:21">
      <c r="A293" t="s">
        <v>9938</v>
      </c>
      <c r="B293" t="s">
        <v>4452</v>
      </c>
      <c r="C293" t="s">
        <v>10540</v>
      </c>
      <c r="D293" t="s">
        <v>1152</v>
      </c>
      <c r="E293" t="s">
        <v>41</v>
      </c>
      <c r="F293" t="s">
        <v>1319</v>
      </c>
      <c r="G293" t="s">
        <v>4453</v>
      </c>
      <c r="H293">
        <f t="shared" si="4"/>
        <v>1</v>
      </c>
      <c r="I293" t="s">
        <v>4454</v>
      </c>
      <c r="J293" t="s">
        <v>1154</v>
      </c>
      <c r="K293" t="str">
        <f>VLOOKUP(J293,Organisation!$A$2:$C$499,3,FALSE)</f>
        <v>CORG00288</v>
      </c>
      <c r="L293" t="str">
        <f>VLOOKUP(J293,Organisation!$A$2:$E$499,4,FALSE)</f>
        <v>Academic</v>
      </c>
      <c r="M293" t="s">
        <v>73</v>
      </c>
      <c r="N293" t="s">
        <v>1155</v>
      </c>
      <c r="O293" t="s">
        <v>269</v>
      </c>
      <c r="P293" s="3" t="s">
        <v>4455</v>
      </c>
      <c r="Q293" t="s">
        <v>4456</v>
      </c>
      <c r="S293" s="1">
        <v>1</v>
      </c>
      <c r="T293" t="str">
        <f>"Update Collaborator Set Organisation = '"&amp;J293&amp;"' where User_ID = '"&amp;B293&amp;"'; "</f>
        <v xml:space="preserve">Update Collaborator Set Organisation = 'University of Warwick' where User_ID = 'CU00292'; </v>
      </c>
      <c r="U293" t="str">
        <f>"Update dcollab.collab_user Set Pi = True where User_ID = '"&amp;A293&amp;"'; "</f>
        <v xml:space="preserve">Update dcollab.collab_user Set Pi = True where User_ID = 'CUSR00350'; </v>
      </c>
    </row>
    <row r="294" spans="1:21">
      <c r="A294" t="s">
        <v>9939</v>
      </c>
      <c r="B294" t="s">
        <v>1151</v>
      </c>
      <c r="D294" t="s">
        <v>1152</v>
      </c>
      <c r="E294" t="s">
        <v>7</v>
      </c>
      <c r="F294" t="s">
        <v>1153</v>
      </c>
      <c r="G294" t="s">
        <v>1144</v>
      </c>
      <c r="H294">
        <f t="shared" si="4"/>
        <v>4</v>
      </c>
      <c r="I294" t="s">
        <v>343</v>
      </c>
      <c r="J294" t="s">
        <v>1154</v>
      </c>
      <c r="K294" t="str">
        <f>VLOOKUP(J294,Organisation!$A$2:$C$499,3,FALSE)</f>
        <v>CORG00288</v>
      </c>
      <c r="L294" t="str">
        <f>VLOOKUP(J294,Organisation!$A$2:$E$499,4,FALSE)</f>
        <v>Academic</v>
      </c>
      <c r="M294" t="s">
        <v>73</v>
      </c>
      <c r="N294" t="s">
        <v>1155</v>
      </c>
      <c r="O294" t="s">
        <v>8808</v>
      </c>
      <c r="Q294" t="s">
        <v>1156</v>
      </c>
      <c r="S294" s="1">
        <v>0</v>
      </c>
      <c r="T294" t="str">
        <f>"Update Collaborator Set Organisation = '"&amp;J294&amp;"' where User_ID = '"&amp;B294&amp;"'; "</f>
        <v xml:space="preserve">Update Collaborator Set Organisation = 'University of Warwick' where User_ID = 'CU00293'; </v>
      </c>
    </row>
    <row r="295" spans="1:21">
      <c r="A295" t="s">
        <v>9942</v>
      </c>
      <c r="B295" t="s">
        <v>4013</v>
      </c>
      <c r="C295" t="s">
        <v>10540</v>
      </c>
      <c r="D295" t="s">
        <v>4014</v>
      </c>
      <c r="E295" t="s">
        <v>60</v>
      </c>
      <c r="F295" t="s">
        <v>4015</v>
      </c>
      <c r="G295" t="s">
        <v>4016</v>
      </c>
      <c r="H295">
        <f t="shared" si="4"/>
        <v>2</v>
      </c>
      <c r="I295" t="s">
        <v>82</v>
      </c>
      <c r="J295" t="s">
        <v>4017</v>
      </c>
      <c r="K295" t="str">
        <f>VLOOKUP(J295,Organisation!$A$2:$C$499,3,FALSE)</f>
        <v>CORG00161</v>
      </c>
      <c r="L295" t="str">
        <f>VLOOKUP(J295,Organisation!$A$2:$E$499,4,FALSE)</f>
        <v>Academic</v>
      </c>
      <c r="M295" t="s">
        <v>4018</v>
      </c>
      <c r="N295" t="s">
        <v>4019</v>
      </c>
      <c r="O295" t="s">
        <v>8808</v>
      </c>
      <c r="P295" s="3" t="s">
        <v>4020</v>
      </c>
      <c r="Q295" t="s">
        <v>4021</v>
      </c>
      <c r="S295" s="1">
        <v>1</v>
      </c>
      <c r="T295" t="str">
        <f>"Update Collaborator Set Organisation = '"&amp;J295&amp;"' where User_ID = '"&amp;B295&amp;"'; "</f>
        <v xml:space="preserve">Update Collaborator Set Organisation = 'Rosalind Franklin University of Medicine and Science' where User_ID = 'CU00294'; </v>
      </c>
      <c r="U295" t="str">
        <f>"Update dcollab.collab_user Set Pi = True where User_ID = '"&amp;A295&amp;"'; "</f>
        <v xml:space="preserve">Update dcollab.collab_user Set Pi = True where User_ID = 'CUSR00354'; </v>
      </c>
    </row>
    <row r="296" spans="1:21">
      <c r="A296" t="s">
        <v>9943</v>
      </c>
      <c r="B296" t="s">
        <v>2763</v>
      </c>
      <c r="D296" t="s">
        <v>2225</v>
      </c>
      <c r="E296" t="s">
        <v>60</v>
      </c>
      <c r="F296" t="s">
        <v>2764</v>
      </c>
      <c r="G296" t="s">
        <v>2765</v>
      </c>
      <c r="H296">
        <f t="shared" si="4"/>
        <v>1</v>
      </c>
      <c r="I296" t="s">
        <v>1073</v>
      </c>
      <c r="J296" t="s">
        <v>2228</v>
      </c>
      <c r="K296" t="str">
        <f>VLOOKUP(J296,Organisation!$A$2:$C$499,3,FALSE)</f>
        <v>CORG00235</v>
      </c>
      <c r="L296" t="str">
        <f>VLOOKUP(J296,Organisation!$A$2:$E$499,4,FALSE)</f>
        <v>Academic</v>
      </c>
      <c r="M296" t="s">
        <v>2229</v>
      </c>
      <c r="N296" t="s">
        <v>2766</v>
      </c>
      <c r="O296" t="s">
        <v>609</v>
      </c>
      <c r="P296" s="3" t="s">
        <v>2230</v>
      </c>
      <c r="Q296" t="s">
        <v>2767</v>
      </c>
      <c r="S296" s="1">
        <v>1</v>
      </c>
      <c r="T296" t="str">
        <f>"Update Collaborator Set Organisation = '"&amp;J296&amp;"' where User_ID = '"&amp;B296&amp;"'; "</f>
        <v xml:space="preserve">Update Collaborator Set Organisation = 'University of KwaZulu-Natal' where User_ID = 'CU00295'; </v>
      </c>
    </row>
    <row r="297" spans="1:21">
      <c r="A297" t="s">
        <v>9944</v>
      </c>
      <c r="B297" t="s">
        <v>2224</v>
      </c>
      <c r="C297" t="s">
        <v>10540</v>
      </c>
      <c r="D297" t="s">
        <v>2225</v>
      </c>
      <c r="E297" t="s">
        <v>60</v>
      </c>
      <c r="F297" t="s">
        <v>2226</v>
      </c>
      <c r="G297" t="s">
        <v>2227</v>
      </c>
      <c r="H297">
        <f t="shared" si="4"/>
        <v>1</v>
      </c>
      <c r="I297" t="s">
        <v>71</v>
      </c>
      <c r="J297" t="s">
        <v>2228</v>
      </c>
      <c r="K297" t="str">
        <f>VLOOKUP(J297,Organisation!$A$2:$C$499,3,FALSE)</f>
        <v>CORG00235</v>
      </c>
      <c r="L297" t="str">
        <f>VLOOKUP(J297,Organisation!$A$2:$E$499,4,FALSE)</f>
        <v>Academic</v>
      </c>
      <c r="M297" t="s">
        <v>2229</v>
      </c>
      <c r="O297" t="s">
        <v>609</v>
      </c>
      <c r="P297" s="3" t="s">
        <v>2230</v>
      </c>
      <c r="Q297" t="s">
        <v>2231</v>
      </c>
      <c r="S297" s="1">
        <v>1</v>
      </c>
      <c r="T297" t="str">
        <f>"Update Collaborator Set Organisation = '"&amp;J297&amp;"' where User_ID = '"&amp;B297&amp;"'; "</f>
        <v xml:space="preserve">Update Collaborator Set Organisation = 'University of KwaZulu-Natal' where User_ID = 'CU00296'; </v>
      </c>
      <c r="U297" t="str">
        <f>"Update dcollab.collab_user Set Pi = True where User_ID = '"&amp;A297&amp;"'; "</f>
        <v xml:space="preserve">Update dcollab.collab_user Set Pi = True where User_ID = 'CUSR00356'; </v>
      </c>
    </row>
    <row r="298" spans="1:21">
      <c r="A298" t="s">
        <v>9945</v>
      </c>
      <c r="B298" t="s">
        <v>1589</v>
      </c>
      <c r="D298" t="s">
        <v>1514</v>
      </c>
      <c r="E298" t="s">
        <v>60</v>
      </c>
      <c r="F298" t="s">
        <v>1590</v>
      </c>
      <c r="G298" t="s">
        <v>1591</v>
      </c>
      <c r="H298">
        <f t="shared" si="4"/>
        <v>1</v>
      </c>
      <c r="I298" t="s">
        <v>1412</v>
      </c>
      <c r="J298" t="s">
        <v>1518</v>
      </c>
      <c r="K298" t="str">
        <f>VLOOKUP(J298,Organisation!$A$2:$C$499,3,FALSE)</f>
        <v>CORG00226</v>
      </c>
      <c r="L298" t="str">
        <f>VLOOKUP(J298,Organisation!$A$2:$E$499,4,FALSE)</f>
        <v>Academic</v>
      </c>
      <c r="M298" t="s">
        <v>84</v>
      </c>
      <c r="N298" t="s">
        <v>1519</v>
      </c>
      <c r="O298" t="s">
        <v>1520</v>
      </c>
      <c r="P298" s="3" t="s">
        <v>1592</v>
      </c>
      <c r="Q298" t="s">
        <v>1593</v>
      </c>
      <c r="S298" s="1">
        <v>1</v>
      </c>
      <c r="T298" t="str">
        <f>"Update Collaborator Set Organisation = '"&amp;J298&amp;"' where User_ID = '"&amp;B298&amp;"'; "</f>
        <v xml:space="preserve">Update Collaborator Set Organisation = 'University of Colombo' where User_ID = 'CU00297'; </v>
      </c>
    </row>
    <row r="299" spans="1:21">
      <c r="A299" t="s">
        <v>9946</v>
      </c>
      <c r="B299" t="s">
        <v>1513</v>
      </c>
      <c r="C299" t="s">
        <v>10540</v>
      </c>
      <c r="D299" t="s">
        <v>1514</v>
      </c>
      <c r="E299" t="s">
        <v>41</v>
      </c>
      <c r="F299" t="s">
        <v>1515</v>
      </c>
      <c r="G299" t="s">
        <v>1516</v>
      </c>
      <c r="H299">
        <f t="shared" si="4"/>
        <v>1</v>
      </c>
      <c r="I299" t="s">
        <v>1517</v>
      </c>
      <c r="J299" t="s">
        <v>1518</v>
      </c>
      <c r="K299" t="str">
        <f>VLOOKUP(J299,Organisation!$A$2:$C$499,3,FALSE)</f>
        <v>CORG00226</v>
      </c>
      <c r="L299" t="str">
        <f>VLOOKUP(J299,Organisation!$A$2:$E$499,4,FALSE)</f>
        <v>Academic</v>
      </c>
      <c r="M299" t="s">
        <v>84</v>
      </c>
      <c r="N299" t="s">
        <v>1519</v>
      </c>
      <c r="O299" t="s">
        <v>1520</v>
      </c>
      <c r="P299" s="3" t="s">
        <v>1521</v>
      </c>
      <c r="Q299" t="s">
        <v>1522</v>
      </c>
      <c r="S299" s="1">
        <v>1</v>
      </c>
      <c r="T299" t="str">
        <f>"Update Collaborator Set Organisation = '"&amp;J299&amp;"' where User_ID = '"&amp;B299&amp;"'; "</f>
        <v xml:space="preserve">Update Collaborator Set Organisation = 'University of Colombo' where User_ID = 'CU00298'; </v>
      </c>
      <c r="U299" t="str">
        <f>"Update dcollab.collab_user Set Pi = True where User_ID = '"&amp;A299&amp;"'; "</f>
        <v xml:space="preserve">Update dcollab.collab_user Set Pi = True where User_ID = 'CUSR00358'; </v>
      </c>
    </row>
    <row r="300" spans="1:21">
      <c r="A300" t="s">
        <v>9947</v>
      </c>
      <c r="B300" t="s">
        <v>1503</v>
      </c>
      <c r="C300" t="s">
        <v>10540</v>
      </c>
      <c r="D300" t="s">
        <v>1504</v>
      </c>
      <c r="E300" t="s">
        <v>60</v>
      </c>
      <c r="F300" t="s">
        <v>1207</v>
      </c>
      <c r="G300" t="s">
        <v>1505</v>
      </c>
      <c r="H300">
        <f t="shared" si="4"/>
        <v>1</v>
      </c>
      <c r="I300" t="s">
        <v>1506</v>
      </c>
      <c r="J300" t="s">
        <v>1507</v>
      </c>
      <c r="K300" t="str">
        <f>VLOOKUP(J300,Organisation!$A$2:$C$499,3,FALSE)</f>
        <v>CORG00101</v>
      </c>
      <c r="L300" t="str">
        <f>VLOOKUP(J300,Organisation!$A$2:$E$499,4,FALSE)</f>
        <v>Academic</v>
      </c>
      <c r="M300" t="s">
        <v>1508</v>
      </c>
      <c r="N300" t="s">
        <v>1509</v>
      </c>
      <c r="O300" t="s">
        <v>1510</v>
      </c>
      <c r="P300" s="3" t="s">
        <v>1511</v>
      </c>
      <c r="Q300" t="s">
        <v>1512</v>
      </c>
      <c r="S300" s="1">
        <v>1</v>
      </c>
      <c r="T300" t="str">
        <f>"Update Collaborator Set Organisation = '"&amp;J300&amp;"' where User_ID = '"&amp;B300&amp;"'; "</f>
        <v xml:space="preserve">Update Collaborator Set Organisation = 'KU Leuven' where User_ID = 'CU00299'; </v>
      </c>
      <c r="U300" t="str">
        <f>"Update dcollab.collab_user Set Pi = True where User_ID = '"&amp;A300&amp;"'; "</f>
        <v xml:space="preserve">Update dcollab.collab_user Set Pi = True where User_ID = 'CUSR00359'; </v>
      </c>
    </row>
    <row r="301" spans="1:21">
      <c r="A301" t="s">
        <v>9948</v>
      </c>
      <c r="B301" t="s">
        <v>2443</v>
      </c>
      <c r="D301" t="s">
        <v>1504</v>
      </c>
      <c r="E301" t="s">
        <v>41</v>
      </c>
      <c r="F301" t="s">
        <v>2444</v>
      </c>
      <c r="G301" t="s">
        <v>2445</v>
      </c>
      <c r="H301">
        <f t="shared" si="4"/>
        <v>1</v>
      </c>
      <c r="I301" t="s">
        <v>681</v>
      </c>
      <c r="J301" t="s">
        <v>1507</v>
      </c>
      <c r="K301" t="str">
        <f>VLOOKUP(J301,Organisation!$A$2:$C$499,3,FALSE)</f>
        <v>CORG00101</v>
      </c>
      <c r="L301" t="str">
        <f>VLOOKUP(J301,Organisation!$A$2:$E$499,4,FALSE)</f>
        <v>Academic</v>
      </c>
      <c r="M301" t="s">
        <v>1508</v>
      </c>
      <c r="N301" t="s">
        <v>1509</v>
      </c>
      <c r="O301" t="s">
        <v>1510</v>
      </c>
      <c r="P301" s="3" t="s">
        <v>2446</v>
      </c>
      <c r="Q301" t="s">
        <v>2447</v>
      </c>
      <c r="S301" s="1">
        <v>1</v>
      </c>
      <c r="T301" t="str">
        <f>"Update Collaborator Set Organisation = '"&amp;J301&amp;"' where User_ID = '"&amp;B301&amp;"'; "</f>
        <v xml:space="preserve">Update Collaborator Set Organisation = 'KU Leuven' where User_ID = 'CU00300'; </v>
      </c>
    </row>
    <row r="302" spans="1:21">
      <c r="A302" t="s">
        <v>9949</v>
      </c>
      <c r="B302" t="s">
        <v>3301</v>
      </c>
      <c r="C302" t="s">
        <v>10540</v>
      </c>
      <c r="D302" t="s">
        <v>3198</v>
      </c>
      <c r="E302" t="s">
        <v>216</v>
      </c>
      <c r="F302" t="s">
        <v>217</v>
      </c>
      <c r="G302" t="s">
        <v>3302</v>
      </c>
      <c r="H302">
        <f t="shared" si="4"/>
        <v>1</v>
      </c>
      <c r="I302" t="s">
        <v>516</v>
      </c>
      <c r="J302" t="s">
        <v>517</v>
      </c>
      <c r="K302" t="str">
        <f>VLOOKUP(J302,Organisation!$A$2:$C$499,3,FALSE)</f>
        <v>CORG00125</v>
      </c>
      <c r="L302" t="str">
        <f>VLOOKUP(J302,Organisation!$A$2:$E$499,4,FALSE)</f>
        <v>Academic</v>
      </c>
      <c r="M302" t="s">
        <v>84</v>
      </c>
      <c r="N302" t="s">
        <v>3303</v>
      </c>
      <c r="O302" t="s">
        <v>14</v>
      </c>
      <c r="P302" s="3" t="s">
        <v>3304</v>
      </c>
      <c r="Q302" t="s">
        <v>3305</v>
      </c>
      <c r="S302" s="1">
        <v>1</v>
      </c>
      <c r="T302" t="str">
        <f>"Update Collaborator Set Organisation = '"&amp;J302&amp;"' where User_ID = '"&amp;B302&amp;"'; "</f>
        <v xml:space="preserve">Update Collaborator Set Organisation = 'Monash University' where User_ID = 'CU00301'; </v>
      </c>
      <c r="U302" t="str">
        <f>"Update dcollab.collab_user Set Pi = True where User_ID = '"&amp;A302&amp;"'; "</f>
        <v xml:space="preserve">Update dcollab.collab_user Set Pi = True where User_ID = 'CUSR00361'; </v>
      </c>
    </row>
    <row r="303" spans="1:21">
      <c r="A303" t="s">
        <v>9950</v>
      </c>
      <c r="B303" t="s">
        <v>3197</v>
      </c>
      <c r="D303" t="s">
        <v>3198</v>
      </c>
      <c r="E303" t="s">
        <v>110</v>
      </c>
      <c r="F303" t="s">
        <v>3199</v>
      </c>
      <c r="G303" t="s">
        <v>3200</v>
      </c>
      <c r="H303">
        <f t="shared" si="4"/>
        <v>1</v>
      </c>
      <c r="I303" t="s">
        <v>343</v>
      </c>
      <c r="J303" t="s">
        <v>517</v>
      </c>
      <c r="K303" t="str">
        <f>VLOOKUP(J303,Organisation!$A$2:$C$499,3,FALSE)</f>
        <v>CORG00125</v>
      </c>
      <c r="L303" t="str">
        <f>VLOOKUP(J303,Organisation!$A$2:$E$499,4,FALSE)</f>
        <v>Academic</v>
      </c>
      <c r="M303" t="s">
        <v>84</v>
      </c>
      <c r="O303" t="s">
        <v>14</v>
      </c>
      <c r="Q303" t="s">
        <v>3201</v>
      </c>
      <c r="S303" s="1">
        <v>0</v>
      </c>
      <c r="T303" t="str">
        <f>"Update Collaborator Set Organisation = '"&amp;J303&amp;"' where User_ID = '"&amp;B303&amp;"'; "</f>
        <v xml:space="preserve">Update Collaborator Set Organisation = 'Monash University' where User_ID = 'CU00302'; </v>
      </c>
    </row>
    <row r="304" spans="1:21">
      <c r="A304" t="s">
        <v>9951</v>
      </c>
      <c r="B304" t="s">
        <v>5268</v>
      </c>
      <c r="D304" t="s">
        <v>1624</v>
      </c>
      <c r="E304" t="s">
        <v>7</v>
      </c>
      <c r="F304" t="s">
        <v>5269</v>
      </c>
      <c r="G304" t="s">
        <v>5265</v>
      </c>
      <c r="H304">
        <f t="shared" si="4"/>
        <v>4</v>
      </c>
      <c r="I304" t="s">
        <v>523</v>
      </c>
      <c r="J304" t="s">
        <v>1627</v>
      </c>
      <c r="K304" t="str">
        <f>VLOOKUP(J304,Organisation!$A$2:$C$499,3,FALSE)</f>
        <v>CORG00062</v>
      </c>
      <c r="L304" t="str">
        <f>VLOOKUP(J304,Organisation!$A$2:$E$499,4,FALSE)</f>
        <v>Academic</v>
      </c>
      <c r="M304" t="s">
        <v>84</v>
      </c>
      <c r="N304" t="s">
        <v>583</v>
      </c>
      <c r="O304" t="s">
        <v>8808</v>
      </c>
      <c r="P304" s="3" t="s">
        <v>2438</v>
      </c>
      <c r="Q304" t="s">
        <v>5270</v>
      </c>
      <c r="S304" s="1">
        <v>1</v>
      </c>
      <c r="T304" t="str">
        <f>"Update Collaborator Set Organisation = '"&amp;J304&amp;"' where User_ID = '"&amp;B304&amp;"'; "</f>
        <v xml:space="preserve">Update Collaborator Set Organisation = 'George Washington University' where User_ID = 'CU00303'; </v>
      </c>
    </row>
    <row r="305" spans="1:21">
      <c r="A305" t="s">
        <v>9952</v>
      </c>
      <c r="B305" t="s">
        <v>1623</v>
      </c>
      <c r="C305" t="s">
        <v>10540</v>
      </c>
      <c r="D305" t="s">
        <v>1624</v>
      </c>
      <c r="E305" t="s">
        <v>60</v>
      </c>
      <c r="F305" t="s">
        <v>1625</v>
      </c>
      <c r="G305" t="s">
        <v>1626</v>
      </c>
      <c r="H305">
        <f t="shared" si="4"/>
        <v>1</v>
      </c>
      <c r="I305" t="s">
        <v>588</v>
      </c>
      <c r="J305" t="s">
        <v>1627</v>
      </c>
      <c r="K305" t="str">
        <f>VLOOKUP(J305,Organisation!$A$2:$C$499,3,FALSE)</f>
        <v>CORG00062</v>
      </c>
      <c r="L305" t="str">
        <f>VLOOKUP(J305,Organisation!$A$2:$E$499,4,FALSE)</f>
        <v>Academic</v>
      </c>
      <c r="M305" t="s">
        <v>84</v>
      </c>
      <c r="N305" t="s">
        <v>583</v>
      </c>
      <c r="O305" t="s">
        <v>8808</v>
      </c>
      <c r="P305" s="3" t="s">
        <v>1628</v>
      </c>
      <c r="Q305" t="s">
        <v>1629</v>
      </c>
      <c r="S305" s="1">
        <v>1</v>
      </c>
      <c r="T305" t="str">
        <f>"Update Collaborator Set Organisation = '"&amp;J305&amp;"' where User_ID = '"&amp;B305&amp;"'; "</f>
        <v xml:space="preserve">Update Collaborator Set Organisation = 'George Washington University' where User_ID = 'CU00304'; </v>
      </c>
      <c r="U305" t="str">
        <f>"Update dcollab.collab_user Set Pi = True where User_ID = '"&amp;A305&amp;"'; "</f>
        <v xml:space="preserve">Update dcollab.collab_user Set Pi = True where User_ID = 'CUSR00364'; </v>
      </c>
    </row>
    <row r="306" spans="1:21">
      <c r="A306" t="s">
        <v>10022</v>
      </c>
      <c r="B306" t="s">
        <v>2435</v>
      </c>
      <c r="D306" t="s">
        <v>578</v>
      </c>
      <c r="E306" t="s">
        <v>7</v>
      </c>
      <c r="F306" t="s">
        <v>2436</v>
      </c>
      <c r="G306" t="s">
        <v>2437</v>
      </c>
      <c r="H306">
        <f t="shared" si="4"/>
        <v>1</v>
      </c>
      <c r="I306" t="s">
        <v>1939</v>
      </c>
      <c r="J306" t="s">
        <v>582</v>
      </c>
      <c r="K306" t="str">
        <f>VLOOKUP(J306,Organisation!$A$2:$C$499,3,FALSE)</f>
        <v>CORG00172</v>
      </c>
      <c r="L306" t="str">
        <f>VLOOKUP(J306,Organisation!$A$2:$E$499,4,FALSE)</f>
        <v>Academic</v>
      </c>
      <c r="M306" t="s">
        <v>84</v>
      </c>
      <c r="N306" t="s">
        <v>583</v>
      </c>
      <c r="O306" t="s">
        <v>8808</v>
      </c>
      <c r="P306" s="3" t="s">
        <v>2438</v>
      </c>
      <c r="Q306" t="s">
        <v>2439</v>
      </c>
      <c r="S306" s="1">
        <v>1</v>
      </c>
      <c r="T306" t="str">
        <f>"Update Collaborator Set Organisation = '"&amp;J306&amp;"' where User_ID = '"&amp;B306&amp;"'; "</f>
        <v xml:space="preserve">Update Collaborator Set Organisation = 'Scripps Research Institute' where User_ID = 'CU00305'; </v>
      </c>
    </row>
    <row r="307" spans="1:21">
      <c r="A307" t="s">
        <v>9953</v>
      </c>
      <c r="B307" t="s">
        <v>5344</v>
      </c>
      <c r="D307" t="s">
        <v>5345</v>
      </c>
      <c r="E307" t="s">
        <v>7</v>
      </c>
      <c r="F307" t="s">
        <v>5346</v>
      </c>
      <c r="G307" t="s">
        <v>5341</v>
      </c>
      <c r="H307">
        <f t="shared" si="4"/>
        <v>2</v>
      </c>
      <c r="I307" t="s">
        <v>5347</v>
      </c>
      <c r="J307" t="s">
        <v>5348</v>
      </c>
      <c r="K307" t="str">
        <f>VLOOKUP(J307,Organisation!$A$2:$C$499,3,FALSE)</f>
        <v>CORG00242</v>
      </c>
      <c r="L307" t="str">
        <f>VLOOKUP(J307,Organisation!$A$2:$E$499,4,FALSE)</f>
        <v>Academic</v>
      </c>
      <c r="M307" t="s">
        <v>84</v>
      </c>
      <c r="N307" t="s">
        <v>5349</v>
      </c>
      <c r="O307" t="s">
        <v>8808</v>
      </c>
      <c r="P307" s="3" t="s">
        <v>5350</v>
      </c>
      <c r="Q307" t="s">
        <v>5351</v>
      </c>
      <c r="S307" s="1">
        <v>1</v>
      </c>
      <c r="T307" t="str">
        <f>"Update Collaborator Set Organisation = '"&amp;J307&amp;"' where User_ID = '"&amp;B307&amp;"'; "</f>
        <v xml:space="preserve">Update Collaborator Set Organisation = 'University of Massachusetts Lowell' where User_ID = 'CU00306'; </v>
      </c>
    </row>
    <row r="308" spans="1:21">
      <c r="A308" t="s">
        <v>9954</v>
      </c>
      <c r="B308" t="s">
        <v>5356</v>
      </c>
      <c r="C308" t="s">
        <v>10540</v>
      </c>
      <c r="D308" t="s">
        <v>5345</v>
      </c>
      <c r="E308" t="s">
        <v>41</v>
      </c>
      <c r="F308" t="s">
        <v>5357</v>
      </c>
      <c r="G308" t="s">
        <v>5358</v>
      </c>
      <c r="H308">
        <f t="shared" si="4"/>
        <v>1</v>
      </c>
      <c r="I308" t="s">
        <v>2235</v>
      </c>
      <c r="J308" t="s">
        <v>5348</v>
      </c>
      <c r="K308" t="str">
        <f>VLOOKUP(J308,Organisation!$A$2:$C$499,3,FALSE)</f>
        <v>CORG00242</v>
      </c>
      <c r="L308" t="str">
        <f>VLOOKUP(J308,Organisation!$A$2:$E$499,4,FALSE)</f>
        <v>Academic</v>
      </c>
      <c r="M308" t="s">
        <v>84</v>
      </c>
      <c r="N308" t="s">
        <v>5349</v>
      </c>
      <c r="O308" t="s">
        <v>8808</v>
      </c>
      <c r="P308" s="3" t="s">
        <v>5359</v>
      </c>
      <c r="Q308" t="s">
        <v>5360</v>
      </c>
      <c r="S308" s="1">
        <v>1</v>
      </c>
      <c r="T308" t="str">
        <f>"Update Collaborator Set Organisation = '"&amp;J308&amp;"' where User_ID = '"&amp;B308&amp;"'; "</f>
        <v xml:space="preserve">Update Collaborator Set Organisation = 'University of Massachusetts Lowell' where User_ID = 'CU00307'; </v>
      </c>
      <c r="U308" t="str">
        <f>"Update dcollab.collab_user Set Pi = True where User_ID = '"&amp;A308&amp;"'; "</f>
        <v xml:space="preserve">Update dcollab.collab_user Set Pi = True where User_ID = 'CUSR00366'; </v>
      </c>
    </row>
    <row r="309" spans="1:21">
      <c r="A309" t="s">
        <v>9955</v>
      </c>
      <c r="B309" t="s">
        <v>4535</v>
      </c>
      <c r="D309" t="s">
        <v>4536</v>
      </c>
      <c r="E309" t="s">
        <v>60</v>
      </c>
      <c r="F309" t="s">
        <v>4537</v>
      </c>
      <c r="G309" t="s">
        <v>4538</v>
      </c>
      <c r="H309">
        <f t="shared" si="4"/>
        <v>1</v>
      </c>
      <c r="I309" t="s">
        <v>564</v>
      </c>
      <c r="J309" t="s">
        <v>1271</v>
      </c>
      <c r="K309" t="str">
        <f>VLOOKUP(J309,Organisation!$A$2:$C$499,3,FALSE)</f>
        <v>CORG00244</v>
      </c>
      <c r="L309" t="str">
        <f>VLOOKUP(J309,Organisation!$A$2:$E$499,4,FALSE)</f>
        <v>Academic</v>
      </c>
      <c r="M309" t="s">
        <v>84</v>
      </c>
      <c r="N309" t="s">
        <v>4539</v>
      </c>
      <c r="O309" t="s">
        <v>14</v>
      </c>
      <c r="P309" s="3" t="s">
        <v>4540</v>
      </c>
      <c r="Q309" t="s">
        <v>4541</v>
      </c>
      <c r="S309" s="1">
        <v>1</v>
      </c>
      <c r="T309" t="str">
        <f>"Update Collaborator Set Organisation = '"&amp;J309&amp;"' where User_ID = '"&amp;B309&amp;"'; "</f>
        <v xml:space="preserve">Update Collaborator Set Organisation = 'University of Melbourne' where User_ID = 'CU00308'; </v>
      </c>
    </row>
    <row r="310" spans="1:21">
      <c r="A310" t="s">
        <v>9956</v>
      </c>
      <c r="B310" t="s">
        <v>4651</v>
      </c>
      <c r="C310" t="s">
        <v>10540</v>
      </c>
      <c r="D310" t="s">
        <v>4536</v>
      </c>
      <c r="E310" t="s">
        <v>41</v>
      </c>
      <c r="F310" t="s">
        <v>4652</v>
      </c>
      <c r="G310" t="s">
        <v>4653</v>
      </c>
      <c r="H310">
        <f t="shared" si="4"/>
        <v>1</v>
      </c>
      <c r="I310" t="s">
        <v>516</v>
      </c>
      <c r="J310" t="s">
        <v>1271</v>
      </c>
      <c r="K310" t="str">
        <f>VLOOKUP(J310,Organisation!$A$2:$C$499,3,FALSE)</f>
        <v>CORG00244</v>
      </c>
      <c r="L310" t="str">
        <f>VLOOKUP(J310,Organisation!$A$2:$E$499,4,FALSE)</f>
        <v>Academic</v>
      </c>
      <c r="M310" t="s">
        <v>84</v>
      </c>
      <c r="O310" t="s">
        <v>14</v>
      </c>
      <c r="P310" s="3" t="s">
        <v>4654</v>
      </c>
      <c r="Q310" t="s">
        <v>4655</v>
      </c>
      <c r="S310" s="1">
        <v>1</v>
      </c>
      <c r="T310" t="str">
        <f>"Update Collaborator Set Organisation = '"&amp;J310&amp;"' where User_ID = '"&amp;B310&amp;"'; "</f>
        <v xml:space="preserve">Update Collaborator Set Organisation = 'University of Melbourne' where User_ID = 'CU00309'; </v>
      </c>
      <c r="U310" t="str">
        <f>"Update dcollab.collab_user Set Pi = True where User_ID = '"&amp;A310&amp;"'; "</f>
        <v xml:space="preserve">Update dcollab.collab_user Set Pi = True where User_ID = 'CUSR00368'; </v>
      </c>
    </row>
    <row r="311" spans="1:21">
      <c r="A311" t="s">
        <v>9603</v>
      </c>
      <c r="B311" t="s">
        <v>447</v>
      </c>
      <c r="D311" t="s">
        <v>448</v>
      </c>
      <c r="E311" t="s">
        <v>110</v>
      </c>
      <c r="F311" t="s">
        <v>449</v>
      </c>
      <c r="G311" t="s">
        <v>450</v>
      </c>
      <c r="H311">
        <f t="shared" si="4"/>
        <v>2</v>
      </c>
      <c r="I311" t="s">
        <v>343</v>
      </c>
      <c r="J311" t="s">
        <v>362</v>
      </c>
      <c r="K311" t="str">
        <f>VLOOKUP(J311,Organisation!$A$2:$C$499,3,FALSE)</f>
        <v>CORG00001</v>
      </c>
      <c r="L311" t="str">
        <f>VLOOKUP(J311,Organisation!$A$2:$E$499,4,FALSE)</f>
        <v>Academic</v>
      </c>
      <c r="M311" t="s">
        <v>363</v>
      </c>
      <c r="N311" t="s">
        <v>451</v>
      </c>
      <c r="O311" t="s">
        <v>14</v>
      </c>
      <c r="P311" s="3" t="s">
        <v>452</v>
      </c>
      <c r="Q311" t="s">
        <v>453</v>
      </c>
      <c r="S311" s="1">
        <v>1</v>
      </c>
      <c r="T311" t="str">
        <f>"Update Collaborator Set Organisation = '"&amp;J311&amp;"' where User_ID = '"&amp;B311&amp;"'; "</f>
        <v xml:space="preserve">Update Collaborator Set Organisation = 'University of Queensland' where User_ID = 'CU00310'; </v>
      </c>
    </row>
    <row r="312" spans="1:21">
      <c r="A312" t="s">
        <v>9957</v>
      </c>
      <c r="B312" t="s">
        <v>2387</v>
      </c>
      <c r="C312" t="s">
        <v>10540</v>
      </c>
      <c r="D312" t="s">
        <v>2388</v>
      </c>
      <c r="E312" t="s">
        <v>60</v>
      </c>
      <c r="F312" t="s">
        <v>2389</v>
      </c>
      <c r="G312" t="s">
        <v>2390</v>
      </c>
      <c r="H312">
        <f t="shared" si="4"/>
        <v>1</v>
      </c>
      <c r="I312" t="s">
        <v>2391</v>
      </c>
      <c r="J312" t="s">
        <v>1890</v>
      </c>
      <c r="K312" t="str">
        <f>VLOOKUP(J312,Organisation!$A$2:$C$499,3,FALSE)</f>
        <v>CORG00096</v>
      </c>
      <c r="L312" t="str">
        <f>VLOOKUP(J312,Organisation!$A$2:$E$499,4,FALSE)</f>
        <v>Academic</v>
      </c>
      <c r="M312" t="s">
        <v>1891</v>
      </c>
      <c r="N312" t="s">
        <v>1892</v>
      </c>
      <c r="O312" t="s">
        <v>1893</v>
      </c>
      <c r="P312" s="3" t="s">
        <v>2392</v>
      </c>
      <c r="Q312" t="s">
        <v>2393</v>
      </c>
      <c r="S312" s="1">
        <v>0</v>
      </c>
      <c r="T312" t="str">
        <f>"Update Collaborator Set Organisation = '"&amp;J312&amp;"' where User_ID = '"&amp;B312&amp;"'; "</f>
        <v xml:space="preserve">Update Collaborator Set Organisation = 'Karolinska Institute' where User_ID = 'CU00311'; </v>
      </c>
      <c r="U312" t="str">
        <f>"Update dcollab.collab_user Set Pi = True where User_ID = '"&amp;A312&amp;"'; "</f>
        <v xml:space="preserve">Update dcollab.collab_user Set Pi = True where User_ID = 'CUSR00369'; </v>
      </c>
    </row>
    <row r="313" spans="1:21">
      <c r="A313" t="s">
        <v>9958</v>
      </c>
      <c r="B313" t="s">
        <v>742</v>
      </c>
      <c r="C313" t="s">
        <v>10540</v>
      </c>
      <c r="D313" t="s">
        <v>743</v>
      </c>
      <c r="E313" t="s">
        <v>60</v>
      </c>
      <c r="F313" t="s">
        <v>744</v>
      </c>
      <c r="G313" t="s">
        <v>745</v>
      </c>
      <c r="H313">
        <f t="shared" si="4"/>
        <v>1</v>
      </c>
      <c r="I313" t="s">
        <v>136</v>
      </c>
      <c r="J313" t="s">
        <v>746</v>
      </c>
      <c r="K313" t="str">
        <f>VLOOKUP(J313,Organisation!$A$2:$C$499,3,FALSE)</f>
        <v>CORG00311</v>
      </c>
      <c r="L313" t="str">
        <f>VLOOKUP(J313,Organisation!$A$2:$E$499,4,FALSE)</f>
        <v>Academic</v>
      </c>
      <c r="M313" t="s">
        <v>435</v>
      </c>
      <c r="N313" t="s">
        <v>747</v>
      </c>
      <c r="O313" t="s">
        <v>748</v>
      </c>
      <c r="P313" s="3" t="s">
        <v>749</v>
      </c>
      <c r="Q313" t="s">
        <v>750</v>
      </c>
      <c r="S313" s="1">
        <v>1</v>
      </c>
      <c r="T313" t="str">
        <f>"Update Collaborator Set Organisation = '"&amp;J313&amp;"' where User_ID = '"&amp;B313&amp;"'; "</f>
        <v xml:space="preserve">Update Collaborator Set Organisation = 'Yantai University' where User_ID = 'CU00312'; </v>
      </c>
      <c r="U313" t="str">
        <f>"Update dcollab.collab_user Set Pi = True where User_ID = '"&amp;A313&amp;"'; "</f>
        <v xml:space="preserve">Update dcollab.collab_user Set Pi = True where User_ID = 'CUSR00370'; </v>
      </c>
    </row>
    <row r="314" spans="1:21">
      <c r="A314" t="s">
        <v>9959</v>
      </c>
      <c r="B314" t="s">
        <v>3237</v>
      </c>
      <c r="D314" t="s">
        <v>743</v>
      </c>
      <c r="E314" t="s">
        <v>7</v>
      </c>
      <c r="F314" t="s">
        <v>3238</v>
      </c>
      <c r="G314" t="s">
        <v>3229</v>
      </c>
      <c r="H314">
        <f t="shared" si="4"/>
        <v>3</v>
      </c>
      <c r="I314" t="s">
        <v>136</v>
      </c>
      <c r="J314" t="s">
        <v>746</v>
      </c>
      <c r="K314" t="str">
        <f>VLOOKUP(J314,Organisation!$A$2:$C$499,3,FALSE)</f>
        <v>CORG00311</v>
      </c>
      <c r="L314" t="str">
        <f>VLOOKUP(J314,Organisation!$A$2:$E$499,4,FALSE)</f>
        <v>Academic</v>
      </c>
      <c r="M314" t="s">
        <v>435</v>
      </c>
      <c r="O314" t="s">
        <v>748</v>
      </c>
      <c r="P314" s="3" t="s">
        <v>3239</v>
      </c>
      <c r="Q314" t="s">
        <v>3240</v>
      </c>
      <c r="S314" s="1">
        <v>1</v>
      </c>
      <c r="T314" t="str">
        <f>"Update Collaborator Set Organisation = '"&amp;J314&amp;"' where User_ID = '"&amp;B314&amp;"'; "</f>
        <v xml:space="preserve">Update Collaborator Set Organisation = 'Yantai University' where User_ID = 'CU00313'; </v>
      </c>
    </row>
    <row r="315" spans="1:21">
      <c r="A315" t="s">
        <v>9962</v>
      </c>
      <c r="B315" t="s">
        <v>2474</v>
      </c>
      <c r="D315" t="s">
        <v>2475</v>
      </c>
      <c r="E315" t="s">
        <v>60</v>
      </c>
      <c r="F315" t="s">
        <v>2476</v>
      </c>
      <c r="G315" t="s">
        <v>2477</v>
      </c>
      <c r="H315">
        <f t="shared" si="4"/>
        <v>1</v>
      </c>
      <c r="I315" t="s">
        <v>2478</v>
      </c>
      <c r="J315" t="s">
        <v>2479</v>
      </c>
      <c r="K315" t="str">
        <f>VLOOKUP(J315,Organisation!$A$2:$C$499,3,FALSE)</f>
        <v>CORG00268</v>
      </c>
      <c r="L315" t="str">
        <f>VLOOKUP(J315,Organisation!$A$2:$E$499,4,FALSE)</f>
        <v>Academic</v>
      </c>
      <c r="M315" t="s">
        <v>2480</v>
      </c>
      <c r="N315" t="s">
        <v>2481</v>
      </c>
      <c r="O315" t="s">
        <v>14</v>
      </c>
      <c r="P315" s="3" t="s">
        <v>2482</v>
      </c>
      <c r="Q315" t="s">
        <v>2483</v>
      </c>
      <c r="S315" s="1">
        <v>1</v>
      </c>
      <c r="T315" t="str">
        <f>"Update Collaborator Set Organisation = '"&amp;J315&amp;"' where User_ID = '"&amp;B315&amp;"'; "</f>
        <v xml:space="preserve">Update Collaborator Set Organisation = 'University of South Australia' where User_ID = 'CU00314'; </v>
      </c>
    </row>
    <row r="316" spans="1:21">
      <c r="A316" t="s">
        <v>9963</v>
      </c>
      <c r="B316" t="s">
        <v>4152</v>
      </c>
      <c r="D316" t="s">
        <v>2475</v>
      </c>
      <c r="E316" t="s">
        <v>60</v>
      </c>
      <c r="F316" t="s">
        <v>4153</v>
      </c>
      <c r="G316" t="s">
        <v>4154</v>
      </c>
      <c r="H316">
        <f t="shared" si="4"/>
        <v>1</v>
      </c>
      <c r="I316" t="s">
        <v>672</v>
      </c>
      <c r="J316" t="s">
        <v>2479</v>
      </c>
      <c r="K316" t="str">
        <f>VLOOKUP(J316,Organisation!$A$2:$C$499,3,FALSE)</f>
        <v>CORG00268</v>
      </c>
      <c r="L316" t="str">
        <f>VLOOKUP(J316,Organisation!$A$2:$E$499,4,FALSE)</f>
        <v>Academic</v>
      </c>
      <c r="M316" t="s">
        <v>2480</v>
      </c>
      <c r="O316" t="s">
        <v>14</v>
      </c>
      <c r="P316" s="3" t="s">
        <v>4155</v>
      </c>
      <c r="Q316" t="s">
        <v>4156</v>
      </c>
      <c r="S316" s="1">
        <v>1</v>
      </c>
      <c r="T316" t="str">
        <f>"Update Collaborator Set Organisation = '"&amp;J316&amp;"' where User_ID = '"&amp;B316&amp;"'; "</f>
        <v xml:space="preserve">Update Collaborator Set Organisation = 'University of South Australia' where User_ID = 'CU00315'; </v>
      </c>
    </row>
    <row r="317" spans="1:21">
      <c r="A317" t="s">
        <v>9965</v>
      </c>
      <c r="B317" t="s">
        <v>2013</v>
      </c>
      <c r="D317" t="s">
        <v>835</v>
      </c>
      <c r="E317" t="s">
        <v>7</v>
      </c>
      <c r="F317" t="s">
        <v>2014</v>
      </c>
      <c r="G317" t="s">
        <v>2015</v>
      </c>
      <c r="H317">
        <f t="shared" si="4"/>
        <v>1</v>
      </c>
      <c r="I317" t="s">
        <v>2016</v>
      </c>
      <c r="J317" t="s">
        <v>838</v>
      </c>
      <c r="K317" t="str">
        <f>VLOOKUP(J317,Organisation!$A$2:$C$499,3,FALSE)</f>
        <v>CORG00213</v>
      </c>
      <c r="L317" t="str">
        <f>VLOOKUP(J317,Organisation!$A$2:$E$499,4,FALSE)</f>
        <v>Academic</v>
      </c>
      <c r="M317" t="s">
        <v>84</v>
      </c>
      <c r="N317" t="s">
        <v>2017</v>
      </c>
      <c r="O317" t="s">
        <v>75</v>
      </c>
      <c r="P317" s="3" t="s">
        <v>2018</v>
      </c>
      <c r="Q317" t="s">
        <v>2019</v>
      </c>
      <c r="S317" s="1">
        <v>1</v>
      </c>
      <c r="T317" t="str">
        <f>"Update Collaborator Set Organisation = '"&amp;J317&amp;"' where User_ID = '"&amp;B317&amp;"'; "</f>
        <v xml:space="preserve">Update Collaborator Set Organisation = 'University of Alberta' where User_ID = 'CU00316'; </v>
      </c>
    </row>
    <row r="318" spans="1:21">
      <c r="A318" t="s">
        <v>9966</v>
      </c>
      <c r="B318" t="s">
        <v>2349</v>
      </c>
      <c r="C318" t="s">
        <v>10540</v>
      </c>
      <c r="D318" t="s">
        <v>835</v>
      </c>
      <c r="E318" t="s">
        <v>60</v>
      </c>
      <c r="F318" t="s">
        <v>2350</v>
      </c>
      <c r="G318" t="s">
        <v>2344</v>
      </c>
      <c r="H318">
        <f t="shared" si="4"/>
        <v>2</v>
      </c>
      <c r="I318" t="s">
        <v>2351</v>
      </c>
      <c r="J318" t="s">
        <v>838</v>
      </c>
      <c r="K318" t="str">
        <f>VLOOKUP(J318,Organisation!$A$2:$C$499,3,FALSE)</f>
        <v>CORG00213</v>
      </c>
      <c r="L318" t="str">
        <f>VLOOKUP(J318,Organisation!$A$2:$E$499,4,FALSE)</f>
        <v>Academic</v>
      </c>
      <c r="M318" t="s">
        <v>84</v>
      </c>
      <c r="N318" t="s">
        <v>839</v>
      </c>
      <c r="O318" t="s">
        <v>75</v>
      </c>
      <c r="P318" s="3" t="s">
        <v>2352</v>
      </c>
      <c r="Q318" t="s">
        <v>2353</v>
      </c>
      <c r="S318" s="1">
        <v>1</v>
      </c>
      <c r="T318" t="str">
        <f>"Update Collaborator Set Organisation = '"&amp;J318&amp;"' where User_ID = '"&amp;B318&amp;"'; "</f>
        <v xml:space="preserve">Update Collaborator Set Organisation = 'University of Alberta' where User_ID = 'CU00317'; </v>
      </c>
      <c r="U318" t="str">
        <f>"Update dcollab.collab_user Set Pi = True where User_ID = '"&amp;A318&amp;"'; "</f>
        <v xml:space="preserve">Update dcollab.collab_user Set Pi = True where User_ID = 'CUSR00378'; </v>
      </c>
    </row>
    <row r="319" spans="1:21">
      <c r="A319" t="s">
        <v>9604</v>
      </c>
      <c r="B319" t="s">
        <v>1811</v>
      </c>
      <c r="D319" t="s">
        <v>448</v>
      </c>
      <c r="E319" t="s">
        <v>60</v>
      </c>
      <c r="F319" t="s">
        <v>1812</v>
      </c>
      <c r="G319" t="s">
        <v>1813</v>
      </c>
      <c r="H319">
        <f t="shared" si="4"/>
        <v>1</v>
      </c>
      <c r="I319" t="s">
        <v>415</v>
      </c>
      <c r="J319" t="s">
        <v>362</v>
      </c>
      <c r="K319" t="str">
        <f>VLOOKUP(J319,Organisation!$A$2:$C$499,3,FALSE)</f>
        <v>CORG00001</v>
      </c>
      <c r="L319" t="str">
        <f>VLOOKUP(J319,Organisation!$A$2:$E$499,4,FALSE)</f>
        <v>Academic</v>
      </c>
      <c r="M319" t="s">
        <v>1814</v>
      </c>
      <c r="N319" t="s">
        <v>1815</v>
      </c>
      <c r="O319" t="s">
        <v>14</v>
      </c>
      <c r="P319" s="3" t="s">
        <v>1816</v>
      </c>
      <c r="Q319" t="s">
        <v>1817</v>
      </c>
      <c r="S319" s="1">
        <v>1</v>
      </c>
      <c r="T319" t="str">
        <f>"Update Collaborator Set Organisation = '"&amp;J319&amp;"' where User_ID = '"&amp;B319&amp;"'; "</f>
        <v xml:space="preserve">Update Collaborator Set Organisation = 'University of Queensland' where User_ID = 'CU00318'; </v>
      </c>
    </row>
    <row r="320" spans="1:21">
      <c r="A320" t="s">
        <v>9968</v>
      </c>
      <c r="B320" t="s">
        <v>5279</v>
      </c>
      <c r="C320" t="s">
        <v>10540</v>
      </c>
      <c r="D320" t="s">
        <v>5280</v>
      </c>
      <c r="E320" t="s">
        <v>41</v>
      </c>
      <c r="F320" t="s">
        <v>5281</v>
      </c>
      <c r="G320" t="s">
        <v>5282</v>
      </c>
      <c r="H320">
        <f t="shared" si="4"/>
        <v>1</v>
      </c>
      <c r="I320" t="s">
        <v>82</v>
      </c>
      <c r="J320" t="s">
        <v>5283</v>
      </c>
      <c r="K320" t="str">
        <f>VLOOKUP(J320,Organisation!$A$2:$C$499,3,FALSE)</f>
        <v>CORG00227</v>
      </c>
      <c r="L320" t="str">
        <f>VLOOKUP(J320,Organisation!$A$2:$E$499,4,FALSE)</f>
        <v>Academic</v>
      </c>
      <c r="M320" t="s">
        <v>1288</v>
      </c>
      <c r="N320" t="s">
        <v>5284</v>
      </c>
      <c r="O320" t="s">
        <v>8808</v>
      </c>
      <c r="P320" s="3" t="s">
        <v>5285</v>
      </c>
      <c r="Q320" t="s">
        <v>5286</v>
      </c>
      <c r="S320" s="1">
        <v>1</v>
      </c>
      <c r="T320" t="str">
        <f>"Update Collaborator Set Organisation = '"&amp;J320&amp;"' where User_ID = '"&amp;B320&amp;"'; "</f>
        <v xml:space="preserve">Update Collaborator Set Organisation = 'University of Delaware' where User_ID = 'CU00319'; </v>
      </c>
      <c r="U320" t="str">
        <f>"Update dcollab.collab_user Set Pi = True where User_ID = '"&amp;A320&amp;"'; "</f>
        <v xml:space="preserve">Update dcollab.collab_user Set Pi = True where User_ID = 'CUSR00380'; </v>
      </c>
    </row>
    <row r="321" spans="1:21">
      <c r="A321" t="s">
        <v>9969</v>
      </c>
      <c r="B321" t="s">
        <v>5437</v>
      </c>
      <c r="D321" t="s">
        <v>2569</v>
      </c>
      <c r="E321" t="s">
        <v>7</v>
      </c>
      <c r="F321" t="s">
        <v>5438</v>
      </c>
      <c r="G321" t="s">
        <v>5439</v>
      </c>
      <c r="H321">
        <f t="shared" si="4"/>
        <v>1</v>
      </c>
      <c r="I321" t="s">
        <v>1412</v>
      </c>
      <c r="J321" t="s">
        <v>2571</v>
      </c>
      <c r="K321" t="str">
        <f>VLOOKUP(J321,Organisation!$A$2:$C$499,3,FALSE)</f>
        <v>CORG00246</v>
      </c>
      <c r="L321" t="str">
        <f>VLOOKUP(J321,Organisation!$A$2:$E$499,4,FALSE)</f>
        <v>Academic</v>
      </c>
      <c r="M321" t="s">
        <v>84</v>
      </c>
      <c r="N321" t="s">
        <v>5440</v>
      </c>
      <c r="O321" t="s">
        <v>8808</v>
      </c>
      <c r="P321" s="3" t="s">
        <v>2572</v>
      </c>
      <c r="Q321" t="s">
        <v>5441</v>
      </c>
      <c r="S321" s="1">
        <v>1</v>
      </c>
      <c r="T321" t="str">
        <f>"Update Collaborator Set Organisation = '"&amp;J321&amp;"' where User_ID = '"&amp;B321&amp;"'; "</f>
        <v xml:space="preserve">Update Collaborator Set Organisation = 'University of Minnesota' where User_ID = 'CU00320'; </v>
      </c>
    </row>
    <row r="322" spans="1:21">
      <c r="A322" t="s">
        <v>9970</v>
      </c>
      <c r="B322" t="s">
        <v>2568</v>
      </c>
      <c r="C322" t="s">
        <v>10540</v>
      </c>
      <c r="D322" t="s">
        <v>2569</v>
      </c>
      <c r="E322" t="s">
        <v>41</v>
      </c>
      <c r="F322" t="s">
        <v>531</v>
      </c>
      <c r="G322" t="s">
        <v>2570</v>
      </c>
      <c r="H322">
        <f t="shared" ref="H322:H385" si="5">COUNTIF($G$2:$G$900,G322)</f>
        <v>1</v>
      </c>
      <c r="I322" t="s">
        <v>71</v>
      </c>
      <c r="J322" t="s">
        <v>2571</v>
      </c>
      <c r="K322" t="str">
        <f>VLOOKUP(J322,Organisation!$A$2:$C$499,3,FALSE)</f>
        <v>CORG00246</v>
      </c>
      <c r="L322" t="str">
        <f>VLOOKUP(J322,Organisation!$A$2:$E$499,4,FALSE)</f>
        <v>Academic</v>
      </c>
      <c r="M322" t="s">
        <v>84</v>
      </c>
      <c r="O322" t="s">
        <v>8808</v>
      </c>
      <c r="P322" s="3" t="s">
        <v>2572</v>
      </c>
      <c r="Q322" t="s">
        <v>2573</v>
      </c>
      <c r="S322" s="1">
        <v>1</v>
      </c>
      <c r="T322" t="str">
        <f>"Update Collaborator Set Organisation = '"&amp;J322&amp;"' where User_ID = '"&amp;B322&amp;"'; "</f>
        <v xml:space="preserve">Update Collaborator Set Organisation = 'University of Minnesota' where User_ID = 'CU00321'; </v>
      </c>
      <c r="U322" t="str">
        <f>"Update dcollab.collab_user Set Pi = True where User_ID = '"&amp;A322&amp;"'; "</f>
        <v xml:space="preserve">Update dcollab.collab_user Set Pi = True where User_ID = 'CUSR00382'; </v>
      </c>
    </row>
    <row r="323" spans="1:21">
      <c r="A323" t="s">
        <v>9971</v>
      </c>
      <c r="B323" t="s">
        <v>5076</v>
      </c>
      <c r="D323" t="s">
        <v>2569</v>
      </c>
      <c r="E323" t="s">
        <v>7</v>
      </c>
      <c r="F323" t="s">
        <v>5077</v>
      </c>
      <c r="G323" t="s">
        <v>5078</v>
      </c>
      <c r="H323">
        <f t="shared" si="5"/>
        <v>1</v>
      </c>
      <c r="I323" t="s">
        <v>1412</v>
      </c>
      <c r="J323" t="s">
        <v>2571</v>
      </c>
      <c r="K323" t="str">
        <f>VLOOKUP(J323,Organisation!$A$2:$C$499,3,FALSE)</f>
        <v>CORG00246</v>
      </c>
      <c r="L323" t="str">
        <f>VLOOKUP(J323,Organisation!$A$2:$E$499,4,FALSE)</f>
        <v>Academic</v>
      </c>
      <c r="M323" t="s">
        <v>84</v>
      </c>
      <c r="O323" t="s">
        <v>8808</v>
      </c>
      <c r="P323" s="3" t="s">
        <v>5079</v>
      </c>
      <c r="Q323" t="s">
        <v>5080</v>
      </c>
      <c r="S323" s="1">
        <v>1</v>
      </c>
      <c r="T323" t="str">
        <f>"Update Collaborator Set Organisation = '"&amp;J323&amp;"' where User_ID = '"&amp;B323&amp;"'; "</f>
        <v xml:space="preserve">Update Collaborator Set Organisation = 'University of Minnesota' where User_ID = 'CU00322'; </v>
      </c>
    </row>
    <row r="324" spans="1:21">
      <c r="A324" t="s">
        <v>9972</v>
      </c>
      <c r="B324" t="s">
        <v>716</v>
      </c>
      <c r="D324" t="s">
        <v>717</v>
      </c>
      <c r="E324" t="s">
        <v>7</v>
      </c>
      <c r="F324" t="s">
        <v>718</v>
      </c>
      <c r="G324" t="s">
        <v>719</v>
      </c>
      <c r="H324">
        <f t="shared" si="5"/>
        <v>1</v>
      </c>
      <c r="I324" t="s">
        <v>720</v>
      </c>
      <c r="J324" t="s">
        <v>721</v>
      </c>
      <c r="K324" t="str">
        <f>VLOOKUP(J324,Organisation!$A$2:$C$499,3,FALSE)</f>
        <v>CORG00083</v>
      </c>
      <c r="L324" t="str">
        <f>VLOOKUP(J324,Organisation!$A$2:$E$499,4,FALSE)</f>
        <v>Academic</v>
      </c>
      <c r="M324" t="s">
        <v>722</v>
      </c>
      <c r="N324" t="s">
        <v>723</v>
      </c>
      <c r="O324" t="s">
        <v>211</v>
      </c>
      <c r="P324" s="3" t="s">
        <v>724</v>
      </c>
      <c r="Q324" t="s">
        <v>725</v>
      </c>
      <c r="S324" s="1">
        <v>1</v>
      </c>
      <c r="T324" t="str">
        <f>"Update Collaborator Set Organisation = '"&amp;J324&amp;"' where User_ID = '"&amp;B324&amp;"'; "</f>
        <v xml:space="preserve">Update Collaborator Set Organisation = 'Institute of Chemical Technology Mumbai' where User_ID = 'CU00323'; </v>
      </c>
    </row>
    <row r="325" spans="1:21">
      <c r="A325" t="s">
        <v>9973</v>
      </c>
      <c r="B325" t="s">
        <v>5067</v>
      </c>
      <c r="C325" t="s">
        <v>10540</v>
      </c>
      <c r="D325" t="s">
        <v>717</v>
      </c>
      <c r="E325" t="s">
        <v>60</v>
      </c>
      <c r="F325" t="s">
        <v>5068</v>
      </c>
      <c r="G325" t="s">
        <v>5069</v>
      </c>
      <c r="H325">
        <f t="shared" si="5"/>
        <v>1</v>
      </c>
      <c r="I325" t="s">
        <v>82</v>
      </c>
      <c r="J325" t="s">
        <v>721</v>
      </c>
      <c r="K325" t="str">
        <f>VLOOKUP(J325,Organisation!$A$2:$C$499,3,FALSE)</f>
        <v>CORG00083</v>
      </c>
      <c r="L325" t="str">
        <f>VLOOKUP(J325,Organisation!$A$2:$E$499,4,FALSE)</f>
        <v>Academic</v>
      </c>
      <c r="M325" t="s">
        <v>722</v>
      </c>
      <c r="N325" t="s">
        <v>723</v>
      </c>
      <c r="O325" t="s">
        <v>211</v>
      </c>
      <c r="P325" s="3" t="s">
        <v>724</v>
      </c>
      <c r="Q325" t="s">
        <v>5070</v>
      </c>
      <c r="S325" s="1">
        <v>1</v>
      </c>
      <c r="T325" t="str">
        <f>"Update Collaborator Set Organisation = '"&amp;J325&amp;"' where User_ID = '"&amp;B325&amp;"'; "</f>
        <v xml:space="preserve">Update Collaborator Set Organisation = 'Institute of Chemical Technology Mumbai' where User_ID = 'CU00324'; </v>
      </c>
      <c r="U325" t="str">
        <f>"Update dcollab.collab_user Set Pi = True where User_ID = '"&amp;A325&amp;"'; "</f>
        <v xml:space="preserve">Update dcollab.collab_user Set Pi = True where User_ID = 'CUSR00385'; </v>
      </c>
    </row>
    <row r="326" spans="1:21">
      <c r="A326" t="s">
        <v>9974</v>
      </c>
      <c r="B326" t="s">
        <v>78</v>
      </c>
      <c r="C326" t="s">
        <v>10540</v>
      </c>
      <c r="D326" t="s">
        <v>79</v>
      </c>
      <c r="E326" t="s">
        <v>60</v>
      </c>
      <c r="F326" t="s">
        <v>80</v>
      </c>
      <c r="G326" t="s">
        <v>81</v>
      </c>
      <c r="H326">
        <f t="shared" si="5"/>
        <v>1</v>
      </c>
      <c r="I326" t="s">
        <v>82</v>
      </c>
      <c r="J326" t="s">
        <v>83</v>
      </c>
      <c r="K326" t="str">
        <f>VLOOKUP(J326,Organisation!$A$2:$C$499,3,FALSE)</f>
        <v>CORG00181</v>
      </c>
      <c r="L326" t="str">
        <f>VLOOKUP(J326,Organisation!$A$2:$E$499,4,FALSE)</f>
        <v>Academic</v>
      </c>
      <c r="M326" t="s">
        <v>84</v>
      </c>
      <c r="N326" t="s">
        <v>85</v>
      </c>
      <c r="O326" t="s">
        <v>86</v>
      </c>
      <c r="P326" s="3" t="s">
        <v>87</v>
      </c>
      <c r="Q326" t="s">
        <v>88</v>
      </c>
      <c r="S326" s="1">
        <v>1</v>
      </c>
      <c r="T326" t="str">
        <f>"Update Collaborator Set Organisation = '"&amp;J326&amp;"' where User_ID = '"&amp;B326&amp;"'; "</f>
        <v xml:space="preserve">Update Collaborator Set Organisation = 'Sultan Qaboos University' where User_ID = 'CU00325'; </v>
      </c>
      <c r="U326" t="str">
        <f>"Update dcollab.collab_user Set Pi = True where User_ID = '"&amp;A326&amp;"'; "</f>
        <v xml:space="preserve">Update dcollab.collab_user Set Pi = True where User_ID = 'CUSR00386'; </v>
      </c>
    </row>
    <row r="327" spans="1:21">
      <c r="A327" t="s">
        <v>9975</v>
      </c>
      <c r="B327" t="s">
        <v>1646</v>
      </c>
      <c r="C327" t="s">
        <v>10540</v>
      </c>
      <c r="D327" t="s">
        <v>1647</v>
      </c>
      <c r="E327" t="s">
        <v>7</v>
      </c>
      <c r="F327" t="s">
        <v>1648</v>
      </c>
      <c r="G327" t="s">
        <v>1649</v>
      </c>
      <c r="H327">
        <f t="shared" si="5"/>
        <v>1</v>
      </c>
      <c r="I327" t="s">
        <v>1650</v>
      </c>
      <c r="J327" t="s">
        <v>5801</v>
      </c>
      <c r="K327" t="str">
        <f>VLOOKUP(J327,Organisation!$A$2:$C$499,3,FALSE)</f>
        <v>CORG00258</v>
      </c>
      <c r="L327" t="str">
        <f>VLOOKUP(J327,Organisation!$A$2:$E$499,4,FALSE)</f>
        <v>Academic</v>
      </c>
      <c r="M327" t="s">
        <v>1651</v>
      </c>
      <c r="N327" t="s">
        <v>1652</v>
      </c>
      <c r="O327" t="s">
        <v>8808</v>
      </c>
      <c r="P327" s="3" t="s">
        <v>1653</v>
      </c>
      <c r="Q327" t="s">
        <v>1654</v>
      </c>
      <c r="S327" s="1">
        <v>1</v>
      </c>
      <c r="T327" t="str">
        <f>"Update Collaborator Set Organisation = '"&amp;J327&amp;"' where User_ID = '"&amp;B327&amp;"'; "</f>
        <v xml:space="preserve">Update Collaborator Set Organisation = 'University of Northwestern St Paul' where User_ID = 'CU00326'; </v>
      </c>
      <c r="U327" t="str">
        <f>"Update dcollab.collab_user Set Pi = True where User_ID = '"&amp;A327&amp;"'; "</f>
        <v xml:space="preserve">Update dcollab.collab_user Set Pi = True where User_ID = 'CUSR00387'; </v>
      </c>
    </row>
    <row r="328" spans="1:21">
      <c r="A328" t="s">
        <v>9976</v>
      </c>
      <c r="B328" t="s">
        <v>2536</v>
      </c>
      <c r="C328" t="s">
        <v>10540</v>
      </c>
      <c r="D328" t="s">
        <v>2537</v>
      </c>
      <c r="E328" t="s">
        <v>60</v>
      </c>
      <c r="F328" t="s">
        <v>2538</v>
      </c>
      <c r="G328" t="s">
        <v>2539</v>
      </c>
      <c r="H328">
        <f t="shared" si="5"/>
        <v>1</v>
      </c>
      <c r="I328" t="s">
        <v>82</v>
      </c>
      <c r="J328" t="s">
        <v>1262</v>
      </c>
      <c r="K328" t="str">
        <f>VLOOKUP(J328,Organisation!$A$2:$C$499,3,FALSE)</f>
        <v>CORG00251</v>
      </c>
      <c r="L328" t="str">
        <f>VLOOKUP(J328,Organisation!$A$2:$E$499,4,FALSE)</f>
        <v>Academic</v>
      </c>
      <c r="M328" t="s">
        <v>2540</v>
      </c>
      <c r="N328" t="s">
        <v>2541</v>
      </c>
      <c r="O328" t="s">
        <v>8808</v>
      </c>
      <c r="P328" s="3" t="s">
        <v>2542</v>
      </c>
      <c r="Q328" t="s">
        <v>2543</v>
      </c>
      <c r="S328" s="1">
        <v>1</v>
      </c>
      <c r="T328" t="str">
        <f>"Update Collaborator Set Organisation = '"&amp;J328&amp;"' where User_ID = '"&amp;B328&amp;"'; "</f>
        <v xml:space="preserve">Update Collaborator Set Organisation = 'University of Nebraska Medical Center' where User_ID = 'CU00327'; </v>
      </c>
      <c r="U328" t="str">
        <f>"Update dcollab.collab_user Set Pi = True where User_ID = '"&amp;A328&amp;"'; "</f>
        <v xml:space="preserve">Update dcollab.collab_user Set Pi = True where User_ID = 'CUSR00388'; </v>
      </c>
    </row>
    <row r="329" spans="1:21">
      <c r="A329" t="s">
        <v>9978</v>
      </c>
      <c r="B329" t="s">
        <v>4045</v>
      </c>
      <c r="C329" t="s">
        <v>10540</v>
      </c>
      <c r="D329" t="s">
        <v>4046</v>
      </c>
      <c r="E329" t="s">
        <v>60</v>
      </c>
      <c r="F329" t="s">
        <v>4047</v>
      </c>
      <c r="G329" t="s">
        <v>4048</v>
      </c>
      <c r="H329">
        <f t="shared" si="5"/>
        <v>1</v>
      </c>
      <c r="I329" t="s">
        <v>4049</v>
      </c>
      <c r="J329" t="s">
        <v>4050</v>
      </c>
      <c r="K329" t="str">
        <f>VLOOKUP(J329,Organisation!$A$2:$C$499,3,FALSE)</f>
        <v>CORG00157</v>
      </c>
      <c r="L329" t="str">
        <f>VLOOKUP(J329,Organisation!$A$2:$E$499,4,FALSE)</f>
        <v>Academic</v>
      </c>
      <c r="M329" t="s">
        <v>3193</v>
      </c>
      <c r="N329" t="s">
        <v>4051</v>
      </c>
      <c r="O329" t="s">
        <v>211</v>
      </c>
      <c r="P329" s="3" t="s">
        <v>4052</v>
      </c>
      <c r="Q329" t="s">
        <v>4053</v>
      </c>
      <c r="S329" s="1">
        <v>1</v>
      </c>
      <c r="T329" t="str">
        <f>"Update Collaborator Set Organisation = '"&amp;J329&amp;"' where User_ID = '"&amp;B329&amp;"'; "</f>
        <v xml:space="preserve">Update Collaborator Set Organisation = 'Raghavendra Institute of Pharmaceutical Education and Research' where User_ID = 'CU00328'; </v>
      </c>
      <c r="U329" t="str">
        <f>"Update dcollab.collab_user Set Pi = True where User_ID = '"&amp;A329&amp;"'; "</f>
        <v xml:space="preserve">Update dcollab.collab_user Set Pi = True where User_ID = 'CUSR00390'; </v>
      </c>
    </row>
    <row r="330" spans="1:21">
      <c r="A330" t="s">
        <v>9605</v>
      </c>
      <c r="B330" t="s">
        <v>1157</v>
      </c>
      <c r="D330" t="s">
        <v>448</v>
      </c>
      <c r="E330" t="s">
        <v>7</v>
      </c>
      <c r="F330" t="s">
        <v>1158</v>
      </c>
      <c r="G330" t="s">
        <v>1144</v>
      </c>
      <c r="H330">
        <f t="shared" si="5"/>
        <v>4</v>
      </c>
      <c r="I330" t="s">
        <v>152</v>
      </c>
      <c r="J330" t="s">
        <v>362</v>
      </c>
      <c r="K330" t="str">
        <f>VLOOKUP(J330,Organisation!$A$2:$C$499,3,FALSE)</f>
        <v>CORG00001</v>
      </c>
      <c r="L330" t="str">
        <f>VLOOKUP(J330,Organisation!$A$2:$E$499,4,FALSE)</f>
        <v>Academic</v>
      </c>
      <c r="M330" t="s">
        <v>1159</v>
      </c>
      <c r="N330" t="s">
        <v>1160</v>
      </c>
      <c r="O330" t="s">
        <v>14</v>
      </c>
      <c r="P330" s="3" t="s">
        <v>1161</v>
      </c>
      <c r="Q330" t="s">
        <v>1162</v>
      </c>
      <c r="S330" s="1">
        <v>0</v>
      </c>
      <c r="T330" t="str">
        <f>"Update Collaborator Set Organisation = '"&amp;J330&amp;"' where User_ID = '"&amp;B330&amp;"'; "</f>
        <v xml:space="preserve">Update Collaborator Set Organisation = 'University of Queensland' where User_ID = 'CU00329'; </v>
      </c>
    </row>
    <row r="331" spans="1:21">
      <c r="A331" t="s">
        <v>9980</v>
      </c>
      <c r="B331" t="s">
        <v>4847</v>
      </c>
      <c r="D331" t="s">
        <v>3004</v>
      </c>
      <c r="E331" t="s">
        <v>60</v>
      </c>
      <c r="F331" t="s">
        <v>4848</v>
      </c>
      <c r="G331" t="s">
        <v>1256</v>
      </c>
      <c r="H331">
        <f t="shared" si="5"/>
        <v>1</v>
      </c>
      <c r="I331" t="s">
        <v>2478</v>
      </c>
      <c r="J331" t="s">
        <v>389</v>
      </c>
      <c r="K331" t="str">
        <f>VLOOKUP(J331,Organisation!$A$2:$C$499,3,FALSE)</f>
        <v>CORG00271</v>
      </c>
      <c r="L331" t="str">
        <f>VLOOKUP(J331,Organisation!$A$2:$E$499,4,FALSE)</f>
        <v>Academic</v>
      </c>
      <c r="M331" t="s">
        <v>170</v>
      </c>
      <c r="N331" t="s">
        <v>3007</v>
      </c>
      <c r="O331" t="s">
        <v>14</v>
      </c>
      <c r="P331" s="3" t="s">
        <v>4849</v>
      </c>
      <c r="Q331" t="s">
        <v>4850</v>
      </c>
      <c r="S331" s="1">
        <v>0</v>
      </c>
      <c r="T331" t="str">
        <f>"Update Collaborator Set Organisation = '"&amp;J331&amp;"' where User_ID = '"&amp;B331&amp;"'; "</f>
        <v xml:space="preserve">Update Collaborator Set Organisation = 'University of Sydney' where User_ID = 'CU00330'; </v>
      </c>
    </row>
    <row r="332" spans="1:21">
      <c r="A332" t="s">
        <v>9981</v>
      </c>
      <c r="B332" t="s">
        <v>5105</v>
      </c>
      <c r="C332" t="s">
        <v>10540</v>
      </c>
      <c r="D332" t="s">
        <v>3004</v>
      </c>
      <c r="E332" t="s">
        <v>216</v>
      </c>
      <c r="F332" t="s">
        <v>1308</v>
      </c>
      <c r="G332" t="s">
        <v>1044</v>
      </c>
      <c r="H332">
        <f t="shared" si="5"/>
        <v>1</v>
      </c>
      <c r="I332" t="s">
        <v>516</v>
      </c>
      <c r="J332" t="s">
        <v>389</v>
      </c>
      <c r="K332" t="str">
        <f>VLOOKUP(J332,Organisation!$A$2:$C$499,3,FALSE)</f>
        <v>CORG00271</v>
      </c>
      <c r="L332" t="str">
        <f>VLOOKUP(J332,Organisation!$A$2:$E$499,4,FALSE)</f>
        <v>Academic</v>
      </c>
      <c r="M332" t="s">
        <v>170</v>
      </c>
      <c r="N332" t="s">
        <v>5106</v>
      </c>
      <c r="O332" t="s">
        <v>14</v>
      </c>
      <c r="P332" s="3" t="s">
        <v>5107</v>
      </c>
      <c r="Q332" t="s">
        <v>5108</v>
      </c>
      <c r="S332" s="1">
        <v>1</v>
      </c>
      <c r="T332" t="str">
        <f>"Update Collaborator Set Organisation = '"&amp;J332&amp;"' where User_ID = '"&amp;B332&amp;"'; "</f>
        <v xml:space="preserve">Update Collaborator Set Organisation = 'University of Sydney' where User_ID = 'CU00331'; </v>
      </c>
      <c r="U332" t="str">
        <f>"Update dcollab.collab_user Set Pi = True where User_ID = '"&amp;A332&amp;"'; "</f>
        <v xml:space="preserve">Update dcollab.collab_user Set Pi = True where User_ID = 'CUSR00393'; </v>
      </c>
    </row>
    <row r="333" spans="1:21">
      <c r="A333" t="s">
        <v>9845</v>
      </c>
      <c r="B333" t="s">
        <v>2079</v>
      </c>
      <c r="D333" t="s">
        <v>2080</v>
      </c>
      <c r="E333" t="s">
        <v>60</v>
      </c>
      <c r="F333" t="s">
        <v>872</v>
      </c>
      <c r="G333" t="s">
        <v>2081</v>
      </c>
      <c r="H333">
        <f t="shared" si="5"/>
        <v>1</v>
      </c>
      <c r="I333" t="s">
        <v>2082</v>
      </c>
      <c r="J333" t="s">
        <v>2083</v>
      </c>
      <c r="K333" t="str">
        <f>VLOOKUP(J333,Organisation!$A$2:$C$499,3,FALSE)</f>
        <v>CORG00193</v>
      </c>
      <c r="L333" t="str">
        <f>VLOOKUP(J333,Organisation!$A$2:$E$499,4,FALSE)</f>
        <v>Academic</v>
      </c>
      <c r="M333" t="s">
        <v>2084</v>
      </c>
      <c r="N333" t="s">
        <v>2085</v>
      </c>
      <c r="O333" t="s">
        <v>2086</v>
      </c>
      <c r="P333" s="3" t="s">
        <v>2087</v>
      </c>
      <c r="Q333" t="s">
        <v>2088</v>
      </c>
      <c r="S333" s="1">
        <v>1</v>
      </c>
      <c r="T333" t="str">
        <f>"Update Collaborator Set Organisation = '"&amp;J333&amp;"' where User_ID = '"&amp;B333&amp;"'; "</f>
        <v xml:space="preserve">Update Collaborator Set Organisation = 'Universidad de La Habana' where User_ID = 'CU00332'; </v>
      </c>
    </row>
    <row r="334" spans="1:21">
      <c r="A334" t="s">
        <v>9606</v>
      </c>
      <c r="B334" t="s">
        <v>3517</v>
      </c>
      <c r="D334" t="s">
        <v>448</v>
      </c>
      <c r="E334" t="s">
        <v>7</v>
      </c>
      <c r="F334" t="s">
        <v>3518</v>
      </c>
      <c r="G334" t="s">
        <v>3519</v>
      </c>
      <c r="H334">
        <f t="shared" si="5"/>
        <v>1</v>
      </c>
      <c r="I334" t="s">
        <v>3520</v>
      </c>
      <c r="J334" t="s">
        <v>362</v>
      </c>
      <c r="K334" t="str">
        <f>VLOOKUP(J334,Organisation!$A$2:$C$499,3,FALSE)</f>
        <v>CORG00001</v>
      </c>
      <c r="L334" t="str">
        <f>VLOOKUP(J334,Organisation!$A$2:$E$499,4,FALSE)</f>
        <v>Academic</v>
      </c>
      <c r="M334" t="s">
        <v>416</v>
      </c>
      <c r="N334" t="s">
        <v>451</v>
      </c>
      <c r="O334" t="s">
        <v>14</v>
      </c>
      <c r="P334" s="3" t="s">
        <v>3521</v>
      </c>
      <c r="Q334" t="s">
        <v>3522</v>
      </c>
      <c r="S334" s="1">
        <v>1</v>
      </c>
      <c r="T334" t="str">
        <f>"Update Collaborator Set Organisation = '"&amp;J334&amp;"' where User_ID = '"&amp;B334&amp;"'; "</f>
        <v xml:space="preserve">Update Collaborator Set Organisation = 'University of Queensland' where User_ID = 'CU00333'; </v>
      </c>
    </row>
    <row r="335" spans="1:21">
      <c r="A335" t="s">
        <v>9983</v>
      </c>
      <c r="B335" t="s">
        <v>1663</v>
      </c>
      <c r="C335" t="s">
        <v>10540</v>
      </c>
      <c r="D335" t="s">
        <v>1664</v>
      </c>
      <c r="E335" t="s">
        <v>7</v>
      </c>
      <c r="F335" t="s">
        <v>1665</v>
      </c>
      <c r="G335" t="s">
        <v>1666</v>
      </c>
      <c r="H335">
        <f t="shared" si="5"/>
        <v>1</v>
      </c>
      <c r="I335" t="s">
        <v>1198</v>
      </c>
      <c r="J335" t="s">
        <v>1667</v>
      </c>
      <c r="K335" t="str">
        <f>VLOOKUP(J335,Organisation!$A$2:$C$499,3,FALSE)</f>
        <v>CORG00121</v>
      </c>
      <c r="L335" t="str">
        <f>VLOOKUP(J335,Organisation!$A$2:$E$499,4,FALSE)</f>
        <v>Academic</v>
      </c>
      <c r="M335" t="s">
        <v>692</v>
      </c>
      <c r="N335" t="s">
        <v>1668</v>
      </c>
      <c r="O335" t="s">
        <v>1600</v>
      </c>
      <c r="P335" s="3" t="s">
        <v>1669</v>
      </c>
      <c r="Q335" t="s">
        <v>1670</v>
      </c>
      <c r="S335" s="1">
        <v>1</v>
      </c>
      <c r="T335" t="str">
        <f>"Update Collaborator Set Organisation = '"&amp;J335&amp;"' where User_ID = '"&amp;B335&amp;"'; "</f>
        <v xml:space="preserve">Update Collaborator Set Organisation = 'Mendeleev University of Chemical Technology of Russia' where User_ID = 'CU00334'; </v>
      </c>
      <c r="U335" t="str">
        <f>"Update dcollab.collab_user Set Pi = True where User_ID = '"&amp;A335&amp;"'; "</f>
        <v xml:space="preserve">Update dcollab.collab_user Set Pi = True where User_ID = 'CUSR00395'; </v>
      </c>
    </row>
    <row r="336" spans="1:21">
      <c r="A336" t="s">
        <v>9984</v>
      </c>
      <c r="B336" t="s">
        <v>2637</v>
      </c>
      <c r="D336" t="s">
        <v>1664</v>
      </c>
      <c r="E336" t="s">
        <v>7</v>
      </c>
      <c r="F336" t="s">
        <v>2638</v>
      </c>
      <c r="G336" t="s">
        <v>2639</v>
      </c>
      <c r="H336">
        <f t="shared" si="5"/>
        <v>1</v>
      </c>
      <c r="I336" t="s">
        <v>564</v>
      </c>
      <c r="J336" t="s">
        <v>1667</v>
      </c>
      <c r="K336" t="str">
        <f>VLOOKUP(J336,Organisation!$A$2:$C$499,3,FALSE)</f>
        <v>CORG00121</v>
      </c>
      <c r="L336" t="str">
        <f>VLOOKUP(J336,Organisation!$A$2:$E$499,4,FALSE)</f>
        <v>Academic</v>
      </c>
      <c r="M336" t="s">
        <v>692</v>
      </c>
      <c r="N336" t="s">
        <v>1668</v>
      </c>
      <c r="O336" t="s">
        <v>1600</v>
      </c>
      <c r="P336" s="3" t="s">
        <v>2640</v>
      </c>
      <c r="Q336" t="s">
        <v>2641</v>
      </c>
      <c r="S336" s="1">
        <v>1</v>
      </c>
      <c r="T336" t="str">
        <f>"Update Collaborator Set Organisation = '"&amp;J336&amp;"' where User_ID = '"&amp;B336&amp;"'; "</f>
        <v xml:space="preserve">Update Collaborator Set Organisation = 'Mendeleev University of Chemical Technology of Russia' where User_ID = 'CU00335'; </v>
      </c>
    </row>
    <row r="337" spans="1:21">
      <c r="A337" t="s">
        <v>9985</v>
      </c>
      <c r="B337" t="s">
        <v>4108</v>
      </c>
      <c r="C337" t="s">
        <v>10540</v>
      </c>
      <c r="D337" t="s">
        <v>4109</v>
      </c>
      <c r="E337" t="s">
        <v>60</v>
      </c>
      <c r="F337" t="s">
        <v>1308</v>
      </c>
      <c r="G337" t="s">
        <v>4110</v>
      </c>
      <c r="H337">
        <f t="shared" si="5"/>
        <v>1</v>
      </c>
      <c r="I337" t="s">
        <v>82</v>
      </c>
      <c r="J337" t="s">
        <v>4111</v>
      </c>
      <c r="K337" t="str">
        <f>VLOOKUP(J337,Organisation!$A$2:$C$499,3,FALSE)</f>
        <v>CORG00290</v>
      </c>
      <c r="L337" t="str">
        <f>VLOOKUP(J337,Organisation!$A$2:$E$499,4,FALSE)</f>
        <v>Academic</v>
      </c>
      <c r="M337" t="s">
        <v>4112</v>
      </c>
      <c r="N337" t="s">
        <v>4113</v>
      </c>
      <c r="O337" t="s">
        <v>14</v>
      </c>
      <c r="P337" s="3" t="s">
        <v>4114</v>
      </c>
      <c r="Q337" t="s">
        <v>4115</v>
      </c>
      <c r="S337" s="1">
        <v>1</v>
      </c>
      <c r="T337" t="str">
        <f>"Update Collaborator Set Organisation = '"&amp;J337&amp;"' where User_ID = '"&amp;B337&amp;"'; "</f>
        <v xml:space="preserve">Update Collaborator Set Organisation = 'University of Western Australia' where User_ID = 'CU00336'; </v>
      </c>
      <c r="U337" t="str">
        <f>"Update dcollab.collab_user Set Pi = True where User_ID = '"&amp;A337&amp;"'; "</f>
        <v xml:space="preserve">Update dcollab.collab_user Set Pi = True where User_ID = 'CUSR00397'; </v>
      </c>
    </row>
    <row r="338" spans="1:21">
      <c r="A338" t="s">
        <v>9986</v>
      </c>
      <c r="B338" t="s">
        <v>4970</v>
      </c>
      <c r="C338" t="s">
        <v>10540</v>
      </c>
      <c r="D338" t="s">
        <v>4971</v>
      </c>
      <c r="E338" t="s">
        <v>60</v>
      </c>
      <c r="F338" t="s">
        <v>4972</v>
      </c>
      <c r="G338" t="s">
        <v>4973</v>
      </c>
      <c r="H338">
        <f t="shared" si="5"/>
        <v>1</v>
      </c>
      <c r="I338" t="s">
        <v>4390</v>
      </c>
      <c r="J338" t="s">
        <v>8755</v>
      </c>
      <c r="K338" t="str">
        <f>VLOOKUP(J338,Organisation!$A$2:$C$499,3,FALSE)</f>
        <v>CORG00039</v>
      </c>
      <c r="L338" t="str">
        <f>VLOOKUP(J338,Organisation!$A$2:$E$499,4,FALSE)</f>
        <v>Academic</v>
      </c>
      <c r="M338" t="s">
        <v>4974</v>
      </c>
      <c r="N338" t="s">
        <v>4975</v>
      </c>
      <c r="O338" t="s">
        <v>14</v>
      </c>
      <c r="P338" s="3" t="s">
        <v>4976</v>
      </c>
      <c r="Q338" t="s">
        <v>4977</v>
      </c>
      <c r="S338" s="1">
        <v>1</v>
      </c>
      <c r="T338" t="str">
        <f>"Update Collaborator Set Organisation = '"&amp;J338&amp;"' where User_ID = '"&amp;B338&amp;"'; "</f>
        <v xml:space="preserve">Update Collaborator Set Organisation = 'Commonwealth Scientific and Industrial Research' where User_ID = 'CU00337'; </v>
      </c>
      <c r="U338" t="str">
        <f>"Update dcollab.collab_user Set Pi = True where User_ID = '"&amp;A338&amp;"'; "</f>
        <v xml:space="preserve">Update dcollab.collab_user Set Pi = True where User_ID = 'CUSR00398'; </v>
      </c>
    </row>
    <row r="339" spans="1:21">
      <c r="A339" t="s">
        <v>9987</v>
      </c>
      <c r="B339" t="s">
        <v>2815</v>
      </c>
      <c r="C339" t="s">
        <v>10540</v>
      </c>
      <c r="D339" t="s">
        <v>2816</v>
      </c>
      <c r="E339" t="s">
        <v>41</v>
      </c>
      <c r="F339" t="s">
        <v>1319</v>
      </c>
      <c r="G339" t="s">
        <v>2817</v>
      </c>
      <c r="H339">
        <f t="shared" si="5"/>
        <v>1</v>
      </c>
      <c r="I339" t="s">
        <v>71</v>
      </c>
      <c r="J339" t="s">
        <v>1114</v>
      </c>
      <c r="K339" t="str">
        <f>VLOOKUP(J339,Organisation!$A$2:$C$499,3,FALSE)</f>
        <v>CORG00106</v>
      </c>
      <c r="L339" t="str">
        <f>VLOOKUP(J339,Organisation!$A$2:$E$499,4,FALSE)</f>
        <v>Academic</v>
      </c>
      <c r="M339" t="s">
        <v>1115</v>
      </c>
      <c r="N339" t="s">
        <v>1116</v>
      </c>
      <c r="O339" t="s">
        <v>14</v>
      </c>
      <c r="P339" s="3" t="s">
        <v>2818</v>
      </c>
      <c r="Q339" t="s">
        <v>2819</v>
      </c>
      <c r="S339" s="1">
        <v>1</v>
      </c>
      <c r="T339" t="str">
        <f>"Update Collaborator Set Organisation = '"&amp;J339&amp;"' where User_ID = '"&amp;B339&amp;"'; "</f>
        <v xml:space="preserve">Update Collaborator Set Organisation = 'Macquarie University' where User_ID = 'CU00338'; </v>
      </c>
      <c r="U339" t="str">
        <f>"Update dcollab.collab_user Set Pi = True where User_ID = '"&amp;A339&amp;"'; "</f>
        <v xml:space="preserve">Update dcollab.collab_user Set Pi = True where User_ID = 'CUSR00399'; </v>
      </c>
    </row>
    <row r="340" spans="1:21">
      <c r="A340" t="s">
        <v>9988</v>
      </c>
      <c r="B340" t="s">
        <v>529</v>
      </c>
      <c r="D340" t="s">
        <v>530</v>
      </c>
      <c r="E340" t="s">
        <v>7</v>
      </c>
      <c r="F340" t="s">
        <v>531</v>
      </c>
      <c r="G340" t="s">
        <v>532</v>
      </c>
      <c r="H340">
        <f t="shared" si="5"/>
        <v>1</v>
      </c>
      <c r="I340" t="s">
        <v>533</v>
      </c>
      <c r="J340" t="s">
        <v>534</v>
      </c>
      <c r="K340" t="str">
        <f>VLOOKUP(J340,Organisation!$A$2:$C$499,3,FALSE)</f>
        <v>CORG00145</v>
      </c>
      <c r="L340" t="str">
        <f>VLOOKUP(J340,Organisation!$A$2:$E$499,4,FALSE)</f>
        <v>Academic</v>
      </c>
      <c r="M340" t="s">
        <v>535</v>
      </c>
      <c r="N340" t="s">
        <v>536</v>
      </c>
      <c r="O340" t="s">
        <v>537</v>
      </c>
      <c r="P340" s="3" t="s">
        <v>538</v>
      </c>
      <c r="Q340" t="s">
        <v>539</v>
      </c>
      <c r="S340" s="1">
        <v>0</v>
      </c>
      <c r="T340" t="str">
        <f>"Update Collaborator Set Organisation = '"&amp;J340&amp;"' where User_ID = '"&amp;B340&amp;"'; "</f>
        <v xml:space="preserve">Update Collaborator Set Organisation = 'Norwegian University of Science and Technology' where User_ID = 'CU00339'; </v>
      </c>
    </row>
    <row r="341" spans="1:21">
      <c r="A341" t="s">
        <v>9989</v>
      </c>
      <c r="B341" t="s">
        <v>2115</v>
      </c>
      <c r="C341" t="s">
        <v>10540</v>
      </c>
      <c r="D341" t="s">
        <v>530</v>
      </c>
      <c r="E341" t="s">
        <v>2116</v>
      </c>
      <c r="F341" t="s">
        <v>2117</v>
      </c>
      <c r="G341" t="s">
        <v>2118</v>
      </c>
      <c r="H341">
        <f t="shared" si="5"/>
        <v>1</v>
      </c>
      <c r="I341" t="s">
        <v>588</v>
      </c>
      <c r="J341" t="s">
        <v>534</v>
      </c>
      <c r="K341" t="str">
        <f>VLOOKUP(J341,Organisation!$A$2:$C$499,3,FALSE)</f>
        <v>CORG00145</v>
      </c>
      <c r="L341" t="str">
        <f>VLOOKUP(J341,Organisation!$A$2:$E$499,4,FALSE)</f>
        <v>Academic</v>
      </c>
      <c r="M341" t="s">
        <v>535</v>
      </c>
      <c r="N341" t="s">
        <v>536</v>
      </c>
      <c r="O341" t="s">
        <v>537</v>
      </c>
      <c r="P341" s="3" t="s">
        <v>2119</v>
      </c>
      <c r="Q341" t="s">
        <v>2120</v>
      </c>
      <c r="S341" s="1">
        <v>1</v>
      </c>
      <c r="T341" t="str">
        <f>"Update Collaborator Set Organisation = '"&amp;J341&amp;"' where User_ID = '"&amp;B341&amp;"'; "</f>
        <v xml:space="preserve">Update Collaborator Set Organisation = 'Norwegian University of Science and Technology' where User_ID = 'CU00340'; </v>
      </c>
      <c r="U341" t="str">
        <f>"Update dcollab.collab_user Set Pi = True where User_ID = '"&amp;A341&amp;"'; "</f>
        <v xml:space="preserve">Update dcollab.collab_user Set Pi = True where User_ID = 'CUSR00401'; </v>
      </c>
    </row>
    <row r="342" spans="1:21">
      <c r="A342" t="s">
        <v>9990</v>
      </c>
      <c r="B342" t="s">
        <v>4926</v>
      </c>
      <c r="D342" t="s">
        <v>530</v>
      </c>
      <c r="E342" t="s">
        <v>60</v>
      </c>
      <c r="F342" t="s">
        <v>4927</v>
      </c>
      <c r="G342" t="s">
        <v>4928</v>
      </c>
      <c r="H342">
        <f t="shared" si="5"/>
        <v>1</v>
      </c>
      <c r="I342" t="s">
        <v>71</v>
      </c>
      <c r="J342" t="s">
        <v>4929</v>
      </c>
      <c r="K342" t="str">
        <f>VLOOKUP(J342,Organisation!$A$2:$C$499,3,FALSE)</f>
        <v>CORG00282</v>
      </c>
      <c r="L342" t="str">
        <f>VLOOKUP(J342,Organisation!$A$2:$E$499,4,FALSE)</f>
        <v>Academic</v>
      </c>
      <c r="M342" t="s">
        <v>4930</v>
      </c>
      <c r="N342" t="s">
        <v>4931</v>
      </c>
      <c r="O342" t="s">
        <v>537</v>
      </c>
      <c r="P342" s="3" t="s">
        <v>4932</v>
      </c>
      <c r="Q342" t="s">
        <v>4933</v>
      </c>
      <c r="S342" s="1">
        <v>1</v>
      </c>
      <c r="T342" t="str">
        <f>"Update Collaborator Set Organisation = '"&amp;J342&amp;"' where User_ID = '"&amp;B342&amp;"'; "</f>
        <v xml:space="preserve">Update Collaborator Set Organisation = 'University of Tromsø' where User_ID = 'CU00341'; </v>
      </c>
    </row>
    <row r="343" spans="1:21">
      <c r="A343" t="s">
        <v>9991</v>
      </c>
      <c r="B343" t="s">
        <v>3333</v>
      </c>
      <c r="C343" t="s">
        <v>10540</v>
      </c>
      <c r="D343" t="s">
        <v>3334</v>
      </c>
      <c r="E343" t="s">
        <v>60</v>
      </c>
      <c r="F343" t="s">
        <v>3335</v>
      </c>
      <c r="G343" t="s">
        <v>1250</v>
      </c>
      <c r="H343">
        <f t="shared" si="5"/>
        <v>1</v>
      </c>
      <c r="I343" t="s">
        <v>3336</v>
      </c>
      <c r="J343" t="s">
        <v>3337</v>
      </c>
      <c r="K343" t="str">
        <f>VLOOKUP(J343,Organisation!$A$2:$C$499,3,FALSE)</f>
        <v>CORG00057</v>
      </c>
      <c r="L343" t="str">
        <f>VLOOKUP(J343,Organisation!$A$2:$E$499,4,FALSE)</f>
        <v>Academic</v>
      </c>
      <c r="M343" t="s">
        <v>3338</v>
      </c>
      <c r="N343" t="s">
        <v>3339</v>
      </c>
      <c r="O343" t="s">
        <v>2054</v>
      </c>
      <c r="P343" s="3" t="s">
        <v>3340</v>
      </c>
      <c r="Q343" t="s">
        <v>3341</v>
      </c>
      <c r="S343" s="1">
        <v>1</v>
      </c>
      <c r="T343" t="str">
        <f>"Update Collaborator Set Organisation = '"&amp;J343&amp;"' where User_ID = '"&amp;B343&amp;"'; "</f>
        <v xml:space="preserve">Update Collaborator Set Organisation = 'Facultad de Química Universidad de la República' where User_ID = 'CU00342'; </v>
      </c>
      <c r="U343" t="str">
        <f>"Update dcollab.collab_user Set Pi = True where User_ID = '"&amp;A343&amp;"'; "</f>
        <v xml:space="preserve">Update dcollab.collab_user Set Pi = True where User_ID = 'CUSR00403'; </v>
      </c>
    </row>
    <row r="344" spans="1:21">
      <c r="A344" t="s">
        <v>9992</v>
      </c>
      <c r="B344" t="s">
        <v>4167</v>
      </c>
      <c r="D344" t="s">
        <v>3334</v>
      </c>
      <c r="E344" t="s">
        <v>60</v>
      </c>
      <c r="F344" t="s">
        <v>4168</v>
      </c>
      <c r="G344" t="s">
        <v>4169</v>
      </c>
      <c r="H344">
        <f t="shared" si="5"/>
        <v>1</v>
      </c>
      <c r="I344" t="s">
        <v>3336</v>
      </c>
      <c r="J344" t="s">
        <v>3337</v>
      </c>
      <c r="K344" t="str">
        <f>VLOOKUP(J344,Organisation!$A$2:$C$499,3,FALSE)</f>
        <v>CORG00057</v>
      </c>
      <c r="L344" t="str">
        <f>VLOOKUP(J344,Organisation!$A$2:$E$499,4,FALSE)</f>
        <v>Academic</v>
      </c>
      <c r="M344" t="s">
        <v>3338</v>
      </c>
      <c r="N344" t="s">
        <v>3339</v>
      </c>
      <c r="O344" t="s">
        <v>2054</v>
      </c>
      <c r="Q344" t="s">
        <v>4170</v>
      </c>
      <c r="S344" s="1">
        <v>1</v>
      </c>
      <c r="T344" t="str">
        <f>"Update Collaborator Set Organisation = '"&amp;J344&amp;"' where User_ID = '"&amp;B344&amp;"'; "</f>
        <v xml:space="preserve">Update Collaborator Set Organisation = 'Facultad de Química Universidad de la República' where User_ID = 'CU00343'; </v>
      </c>
    </row>
    <row r="345" spans="1:21">
      <c r="A345" t="s">
        <v>9993</v>
      </c>
      <c r="B345" t="s">
        <v>2528</v>
      </c>
      <c r="C345" t="s">
        <v>10540</v>
      </c>
      <c r="D345" t="s">
        <v>2529</v>
      </c>
      <c r="E345" t="s">
        <v>60</v>
      </c>
      <c r="F345" t="s">
        <v>1489</v>
      </c>
      <c r="G345" t="s">
        <v>2530</v>
      </c>
      <c r="H345">
        <f t="shared" si="5"/>
        <v>1</v>
      </c>
      <c r="I345" t="s">
        <v>2531</v>
      </c>
      <c r="J345" t="s">
        <v>2321</v>
      </c>
      <c r="K345" t="str">
        <f>VLOOKUP(J345,Organisation!$A$2:$C$499,3,FALSE)</f>
        <v>CORG00228</v>
      </c>
      <c r="L345" t="str">
        <f>VLOOKUP(J345,Organisation!$A$2:$E$499,4,FALSE)</f>
        <v>Academic</v>
      </c>
      <c r="M345" t="s">
        <v>2532</v>
      </c>
      <c r="N345" t="s">
        <v>2533</v>
      </c>
      <c r="O345" t="s">
        <v>8808</v>
      </c>
      <c r="P345" s="3" t="s">
        <v>2534</v>
      </c>
      <c r="Q345" t="s">
        <v>2535</v>
      </c>
      <c r="S345" s="1">
        <v>1</v>
      </c>
      <c r="T345" t="str">
        <f>"Update Collaborator Set Organisation = '"&amp;J345&amp;"' where User_ID = '"&amp;B345&amp;"'; "</f>
        <v xml:space="preserve">Update Collaborator Set Organisation = 'University of Dundee' where User_ID = 'CU00344'; </v>
      </c>
      <c r="U345" t="str">
        <f>"Update dcollab.collab_user Set Pi = True where User_ID = '"&amp;A345&amp;"'; "</f>
        <v xml:space="preserve">Update dcollab.collab_user Set Pi = True where User_ID = 'CUSR00405'; </v>
      </c>
    </row>
    <row r="346" spans="1:21">
      <c r="A346" t="s">
        <v>9647</v>
      </c>
      <c r="B346" t="s">
        <v>811</v>
      </c>
      <c r="D346" t="s">
        <v>812</v>
      </c>
      <c r="E346" t="s">
        <v>7</v>
      </c>
      <c r="F346" t="s">
        <v>813</v>
      </c>
      <c r="G346" t="s">
        <v>814</v>
      </c>
      <c r="H346">
        <f t="shared" si="5"/>
        <v>1</v>
      </c>
      <c r="I346" t="s">
        <v>343</v>
      </c>
      <c r="J346" t="s">
        <v>815</v>
      </c>
      <c r="K346" t="str">
        <f>VLOOKUP(J346,Organisation!$A$2:$C$499,3,FALSE)</f>
        <v>CORG00075</v>
      </c>
      <c r="L346" t="str">
        <f>VLOOKUP(J346,Organisation!$A$2:$E$499,4,FALSE)</f>
        <v>Academic</v>
      </c>
      <c r="M346" t="s">
        <v>84</v>
      </c>
      <c r="N346" t="s">
        <v>816</v>
      </c>
      <c r="O346" t="s">
        <v>269</v>
      </c>
      <c r="P346" s="3" t="s">
        <v>817</v>
      </c>
      <c r="Q346" t="s">
        <v>818</v>
      </c>
      <c r="S346" s="1">
        <v>1</v>
      </c>
      <c r="T346" t="str">
        <f>"Update Collaborator Set Organisation = '"&amp;J346&amp;"' where User_ID = '"&amp;B346&amp;"'; "</f>
        <v xml:space="preserve">Update Collaborator Set Organisation = 'Imperial College London' where User_ID = 'CU00345'; </v>
      </c>
    </row>
    <row r="347" spans="1:21">
      <c r="A347" t="s">
        <v>9994</v>
      </c>
      <c r="B347" t="s">
        <v>4679</v>
      </c>
      <c r="D347" t="s">
        <v>3987</v>
      </c>
      <c r="E347" t="s">
        <v>60</v>
      </c>
      <c r="F347" t="s">
        <v>4680</v>
      </c>
      <c r="G347" t="s">
        <v>4681</v>
      </c>
      <c r="H347">
        <f t="shared" si="5"/>
        <v>2</v>
      </c>
      <c r="I347" t="s">
        <v>282</v>
      </c>
      <c r="J347" t="s">
        <v>3990</v>
      </c>
      <c r="K347" t="str">
        <f>VLOOKUP(J347,Organisation!$A$2:$C$499,3,FALSE)</f>
        <v>CORG00169</v>
      </c>
      <c r="L347" t="str">
        <f>VLOOKUP(J347,Organisation!$A$2:$E$499,4,FALSE)</f>
        <v>Academic</v>
      </c>
      <c r="M347" t="s">
        <v>3991</v>
      </c>
      <c r="N347" t="s">
        <v>3992</v>
      </c>
      <c r="O347" t="s">
        <v>211</v>
      </c>
      <c r="P347" s="3" t="s">
        <v>4682</v>
      </c>
      <c r="Q347" t="s">
        <v>4683</v>
      </c>
      <c r="S347" s="1">
        <v>1</v>
      </c>
      <c r="T347" t="str">
        <f>"Update Collaborator Set Organisation = '"&amp;J347&amp;"' where User_ID = '"&amp;B347&amp;"'; "</f>
        <v xml:space="preserve">Update Collaborator Set Organisation = 'Sardar Patel University' where User_ID = 'CU00346'; </v>
      </c>
    </row>
    <row r="348" spans="1:21">
      <c r="A348" t="s">
        <v>9995</v>
      </c>
      <c r="B348" t="s">
        <v>3986</v>
      </c>
      <c r="C348" t="s">
        <v>10540</v>
      </c>
      <c r="D348" t="s">
        <v>3987</v>
      </c>
      <c r="E348" t="s">
        <v>60</v>
      </c>
      <c r="F348" t="s">
        <v>3988</v>
      </c>
      <c r="G348" t="s">
        <v>3989</v>
      </c>
      <c r="H348">
        <f t="shared" si="5"/>
        <v>2</v>
      </c>
      <c r="I348" t="s">
        <v>71</v>
      </c>
      <c r="J348" t="s">
        <v>3990</v>
      </c>
      <c r="K348" t="str">
        <f>VLOOKUP(J348,Organisation!$A$2:$C$499,3,FALSE)</f>
        <v>CORG00169</v>
      </c>
      <c r="L348" t="str">
        <f>VLOOKUP(J348,Organisation!$A$2:$E$499,4,FALSE)</f>
        <v>Academic</v>
      </c>
      <c r="M348" t="s">
        <v>3991</v>
      </c>
      <c r="N348" t="s">
        <v>3992</v>
      </c>
      <c r="O348" t="s">
        <v>211</v>
      </c>
      <c r="P348" s="3" t="s">
        <v>3993</v>
      </c>
      <c r="Q348" t="s">
        <v>3994</v>
      </c>
      <c r="R348" t="s">
        <v>3995</v>
      </c>
      <c r="S348" s="1">
        <v>1</v>
      </c>
      <c r="T348" t="str">
        <f>"Update Collaborator Set Organisation = '"&amp;J348&amp;"' where User_ID = '"&amp;B348&amp;"'; "</f>
        <v xml:space="preserve">Update Collaborator Set Organisation = 'Sardar Patel University' where User_ID = 'CU00347'; </v>
      </c>
      <c r="U348" t="str">
        <f>"Update dcollab.collab_user Set Pi = True where User_ID = '"&amp;A348&amp;"'; "</f>
        <v xml:space="preserve">Update dcollab.collab_user Set Pi = True where User_ID = 'CUSR00407'; </v>
      </c>
    </row>
    <row r="349" spans="1:21">
      <c r="A349" t="s">
        <v>9997</v>
      </c>
      <c r="B349" t="s">
        <v>1901</v>
      </c>
      <c r="D349" t="s">
        <v>1786</v>
      </c>
      <c r="E349" t="s">
        <v>60</v>
      </c>
      <c r="F349" t="s">
        <v>1902</v>
      </c>
      <c r="G349" t="s">
        <v>1903</v>
      </c>
      <c r="H349">
        <f t="shared" si="5"/>
        <v>1</v>
      </c>
      <c r="I349" t="s">
        <v>1904</v>
      </c>
      <c r="J349" t="s">
        <v>1798</v>
      </c>
      <c r="K349" t="str">
        <f>VLOOKUP(J349,Organisation!$A$2:$C$499,3,FALSE)</f>
        <v>CORG00061</v>
      </c>
      <c r="L349" t="str">
        <f>VLOOKUP(J349,Organisation!$A$2:$E$499,4,FALSE)</f>
        <v>Academic</v>
      </c>
      <c r="M349" t="s">
        <v>35</v>
      </c>
      <c r="N349" t="s">
        <v>1799</v>
      </c>
      <c r="O349" t="s">
        <v>55</v>
      </c>
      <c r="P349" s="3" t="s">
        <v>1905</v>
      </c>
      <c r="Q349" t="s">
        <v>1906</v>
      </c>
      <c r="S349" s="1">
        <v>1</v>
      </c>
      <c r="T349" t="str">
        <f>"Update Collaborator Set Organisation = '"&amp;J349&amp;"' where User_ID = '"&amp;B349&amp;"'; "</f>
        <v xml:space="preserve">Update Collaborator Set Organisation = 'Future University in Egypt' where User_ID = 'CU00348'; </v>
      </c>
    </row>
    <row r="350" spans="1:21">
      <c r="A350" t="s">
        <v>9998</v>
      </c>
      <c r="B350" t="s">
        <v>1795</v>
      </c>
      <c r="D350" t="s">
        <v>1786</v>
      </c>
      <c r="E350" t="s">
        <v>41</v>
      </c>
      <c r="F350" t="s">
        <v>1796</v>
      </c>
      <c r="G350" t="s">
        <v>1788</v>
      </c>
      <c r="H350">
        <f t="shared" si="5"/>
        <v>2</v>
      </c>
      <c r="I350" t="s">
        <v>1797</v>
      </c>
      <c r="J350" t="s">
        <v>1798</v>
      </c>
      <c r="K350" t="str">
        <f>VLOOKUP(J350,Organisation!$A$2:$C$499,3,FALSE)</f>
        <v>CORG00061</v>
      </c>
      <c r="L350" t="str">
        <f>VLOOKUP(J350,Organisation!$A$2:$E$499,4,FALSE)</f>
        <v>Academic</v>
      </c>
      <c r="M350" t="s">
        <v>35</v>
      </c>
      <c r="N350" t="s">
        <v>1799</v>
      </c>
      <c r="O350" t="s">
        <v>55</v>
      </c>
      <c r="P350" s="3" t="s">
        <v>1800</v>
      </c>
      <c r="Q350" t="s">
        <v>1801</v>
      </c>
      <c r="S350" s="1">
        <v>1</v>
      </c>
      <c r="T350" t="str">
        <f>"Update Collaborator Set Organisation = '"&amp;J350&amp;"' where User_ID = '"&amp;B350&amp;"'; "</f>
        <v xml:space="preserve">Update Collaborator Set Organisation = 'Future University in Egypt' where User_ID = 'CU00349'; </v>
      </c>
    </row>
    <row r="351" spans="1:21">
      <c r="A351" t="s">
        <v>9809</v>
      </c>
      <c r="B351" t="s">
        <v>1523</v>
      </c>
      <c r="D351" t="s">
        <v>968</v>
      </c>
      <c r="E351" t="s">
        <v>60</v>
      </c>
      <c r="F351" t="s">
        <v>1524</v>
      </c>
      <c r="G351" t="s">
        <v>1525</v>
      </c>
      <c r="H351">
        <f t="shared" si="5"/>
        <v>1</v>
      </c>
      <c r="I351" t="s">
        <v>1526</v>
      </c>
      <c r="J351" t="s">
        <v>8764</v>
      </c>
      <c r="K351" t="str">
        <f>VLOOKUP(J351,Organisation!$A$2:$C$499,3,FALSE)</f>
        <v>CORG00095</v>
      </c>
      <c r="L351" t="str">
        <f>VLOOKUP(J351,Organisation!$A$2:$E$499,4,FALSE)</f>
        <v>Academic</v>
      </c>
      <c r="M351" t="s">
        <v>972</v>
      </c>
      <c r="N351" t="s">
        <v>973</v>
      </c>
      <c r="O351" t="s">
        <v>557</v>
      </c>
      <c r="P351" s="3" t="s">
        <v>1527</v>
      </c>
      <c r="Q351" t="s">
        <v>1528</v>
      </c>
      <c r="S351" s="1">
        <v>1</v>
      </c>
      <c r="T351" t="str">
        <f>"Update Collaborator Set Organisation = '"&amp;J351&amp;"' where User_ID = '"&amp;B351&amp;"'; "</f>
        <v xml:space="preserve">Update Collaborator Set Organisation = 'Karlsruhe Institute of Technology' where User_ID = 'CU00350'; </v>
      </c>
    </row>
    <row r="352" spans="1:21">
      <c r="A352" t="s">
        <v>10000</v>
      </c>
      <c r="B352" t="s">
        <v>4571</v>
      </c>
      <c r="D352" t="s">
        <v>3691</v>
      </c>
      <c r="E352" t="s">
        <v>60</v>
      </c>
      <c r="F352" t="s">
        <v>4572</v>
      </c>
      <c r="G352" t="s">
        <v>4573</v>
      </c>
      <c r="H352">
        <f t="shared" si="5"/>
        <v>1</v>
      </c>
      <c r="I352" t="s">
        <v>190</v>
      </c>
      <c r="J352" t="s">
        <v>3693</v>
      </c>
      <c r="K352" t="str">
        <f>VLOOKUP(J352,Organisation!$A$2:$C$499,3,FALSE)</f>
        <v>CORG00289</v>
      </c>
      <c r="L352" t="str">
        <f>VLOOKUP(J352,Organisation!$A$2:$E$499,4,FALSE)</f>
        <v>Academic</v>
      </c>
      <c r="M352" t="s">
        <v>84</v>
      </c>
      <c r="N352" t="s">
        <v>4574</v>
      </c>
      <c r="O352" t="s">
        <v>75</v>
      </c>
      <c r="P352" s="3" t="s">
        <v>4575</v>
      </c>
      <c r="Q352" t="s">
        <v>4576</v>
      </c>
      <c r="S352" s="1">
        <v>1</v>
      </c>
      <c r="T352" t="str">
        <f>"Update Collaborator Set Organisation = '"&amp;J352&amp;"' where User_ID = '"&amp;B352&amp;"'; "</f>
        <v xml:space="preserve">Update Collaborator Set Organisation = 'University of Waterloo' where User_ID = 'CU00351'; </v>
      </c>
    </row>
    <row r="353" spans="1:21">
      <c r="A353" t="s">
        <v>10001</v>
      </c>
      <c r="B353" t="s">
        <v>3690</v>
      </c>
      <c r="D353" t="s">
        <v>3691</v>
      </c>
      <c r="E353" t="s">
        <v>7</v>
      </c>
      <c r="F353" t="s">
        <v>2122</v>
      </c>
      <c r="G353" t="s">
        <v>3692</v>
      </c>
      <c r="H353">
        <f t="shared" si="5"/>
        <v>2</v>
      </c>
      <c r="I353" t="s">
        <v>207</v>
      </c>
      <c r="J353" t="s">
        <v>3693</v>
      </c>
      <c r="K353" t="str">
        <f>VLOOKUP(J353,Organisation!$A$2:$C$499,3,FALSE)</f>
        <v>CORG00289</v>
      </c>
      <c r="L353" t="str">
        <f>VLOOKUP(J353,Organisation!$A$2:$E$499,4,FALSE)</f>
        <v>Academic</v>
      </c>
      <c r="M353" t="s">
        <v>84</v>
      </c>
      <c r="N353" t="s">
        <v>3694</v>
      </c>
      <c r="O353" t="s">
        <v>75</v>
      </c>
      <c r="P353" s="3" t="s">
        <v>3695</v>
      </c>
      <c r="Q353" t="s">
        <v>3696</v>
      </c>
      <c r="S353" s="1">
        <v>1</v>
      </c>
      <c r="T353" t="str">
        <f>"Update Collaborator Set Organisation = '"&amp;J353&amp;"' where User_ID = '"&amp;B353&amp;"'; "</f>
        <v xml:space="preserve">Update Collaborator Set Organisation = 'University of Waterloo' where User_ID = 'CU00352'; </v>
      </c>
    </row>
    <row r="354" spans="1:21">
      <c r="A354" t="s">
        <v>10004</v>
      </c>
      <c r="B354" t="s">
        <v>4157</v>
      </c>
      <c r="D354" t="s">
        <v>622</v>
      </c>
      <c r="E354" t="s">
        <v>7</v>
      </c>
      <c r="F354" t="s">
        <v>4158</v>
      </c>
      <c r="G354" t="s">
        <v>4159</v>
      </c>
      <c r="H354">
        <f t="shared" si="5"/>
        <v>1</v>
      </c>
      <c r="I354" t="s">
        <v>3021</v>
      </c>
      <c r="J354" t="s">
        <v>8771</v>
      </c>
      <c r="K354" t="str">
        <f>VLOOKUP(J354,Organisation!$A$2:$C$499,3,FALSE)</f>
        <v>CORG00135</v>
      </c>
      <c r="L354" t="str">
        <f>VLOOKUP(J354,Organisation!$A$2:$E$499,4,FALSE)</f>
        <v>Academic</v>
      </c>
      <c r="M354" t="s">
        <v>84</v>
      </c>
      <c r="N354" t="s">
        <v>8830</v>
      </c>
      <c r="O354" t="s">
        <v>211</v>
      </c>
      <c r="P354" s="3" t="s">
        <v>4160</v>
      </c>
      <c r="Q354" t="s">
        <v>4161</v>
      </c>
      <c r="S354" s="1">
        <v>1</v>
      </c>
      <c r="T354" t="str">
        <f>"Update Collaborator Set Organisation = '"&amp;J354&amp;"' where User_ID = '"&amp;B354&amp;"'; "</f>
        <v xml:space="preserve">Update Collaborator Set Organisation = 'National Institute of Technology Warangal' where User_ID = 'CU00353'; </v>
      </c>
    </row>
    <row r="355" spans="1:21">
      <c r="A355" t="s">
        <v>10005</v>
      </c>
      <c r="B355" t="s">
        <v>621</v>
      </c>
      <c r="C355" t="s">
        <v>10540</v>
      </c>
      <c r="D355" t="s">
        <v>622</v>
      </c>
      <c r="E355" t="s">
        <v>60</v>
      </c>
      <c r="F355" t="s">
        <v>623</v>
      </c>
      <c r="G355" t="s">
        <v>624</v>
      </c>
      <c r="H355">
        <f t="shared" si="5"/>
        <v>1</v>
      </c>
      <c r="I355" t="s">
        <v>625</v>
      </c>
      <c r="J355" t="s">
        <v>8771</v>
      </c>
      <c r="K355" t="str">
        <f>VLOOKUP(J355,Organisation!$A$2:$C$499,3,FALSE)</f>
        <v>CORG00135</v>
      </c>
      <c r="L355" t="str">
        <f>VLOOKUP(J355,Organisation!$A$2:$E$499,4,FALSE)</f>
        <v>Academic</v>
      </c>
      <c r="M355" t="s">
        <v>84</v>
      </c>
      <c r="N355" t="s">
        <v>8830</v>
      </c>
      <c r="O355" t="s">
        <v>211</v>
      </c>
      <c r="P355" s="3" t="s">
        <v>627</v>
      </c>
      <c r="Q355" t="s">
        <v>628</v>
      </c>
      <c r="S355" s="1">
        <v>1</v>
      </c>
      <c r="T355" t="str">
        <f>"Update Collaborator Set Organisation = '"&amp;J355&amp;"' where User_ID = '"&amp;B355&amp;"'; "</f>
        <v xml:space="preserve">Update Collaborator Set Organisation = 'National Institute of Technology Warangal' where User_ID = 'CU00354'; </v>
      </c>
      <c r="U355" t="str">
        <f>"Update dcollab.collab_user Set Pi = True where User_ID = '"&amp;A355&amp;"'; "</f>
        <v xml:space="preserve">Update dcollab.collab_user Set Pi = True where User_ID = 'CUSR00417'; </v>
      </c>
    </row>
    <row r="356" spans="1:21">
      <c r="A356" t="s">
        <v>10007</v>
      </c>
      <c r="B356" t="s">
        <v>5339</v>
      </c>
      <c r="D356" t="s">
        <v>5218</v>
      </c>
      <c r="E356" t="s">
        <v>60</v>
      </c>
      <c r="F356" t="s">
        <v>5340</v>
      </c>
      <c r="G356" t="s">
        <v>5341</v>
      </c>
      <c r="H356">
        <f t="shared" si="5"/>
        <v>2</v>
      </c>
      <c r="I356" t="s">
        <v>2166</v>
      </c>
      <c r="J356" t="s">
        <v>5221</v>
      </c>
      <c r="K356" t="str">
        <f>VLOOKUP(J356,Organisation!$A$2:$C$499,3,FALSE)</f>
        <v>CORG00284</v>
      </c>
      <c r="L356" t="str">
        <f>VLOOKUP(J356,Organisation!$A$2:$E$499,4,FALSE)</f>
        <v>Academic</v>
      </c>
      <c r="M356" t="s">
        <v>3193</v>
      </c>
      <c r="N356" t="s">
        <v>5342</v>
      </c>
      <c r="O356" t="s">
        <v>8808</v>
      </c>
      <c r="P356" s="3" t="s">
        <v>5323</v>
      </c>
      <c r="Q356" t="s">
        <v>5343</v>
      </c>
      <c r="S356" s="1">
        <v>1</v>
      </c>
      <c r="T356" t="str">
        <f>"Update Collaborator Set Organisation = '"&amp;J356&amp;"' where User_ID = '"&amp;B356&amp;"'; "</f>
        <v xml:space="preserve">Update Collaborator Set Organisation = 'University of Utah' where User_ID = 'CU00355'; </v>
      </c>
    </row>
    <row r="357" spans="1:21">
      <c r="A357" t="s">
        <v>10008</v>
      </c>
      <c r="B357" t="s">
        <v>5320</v>
      </c>
      <c r="C357" t="s">
        <v>10540</v>
      </c>
      <c r="D357" t="s">
        <v>5218</v>
      </c>
      <c r="E357" t="s">
        <v>60</v>
      </c>
      <c r="F357" t="s">
        <v>5321</v>
      </c>
      <c r="G357" t="s">
        <v>5322</v>
      </c>
      <c r="H357">
        <f t="shared" si="5"/>
        <v>1</v>
      </c>
      <c r="I357" t="s">
        <v>190</v>
      </c>
      <c r="J357" t="s">
        <v>5221</v>
      </c>
      <c r="K357" t="str">
        <f>VLOOKUP(J357,Organisation!$A$2:$C$499,3,FALSE)</f>
        <v>CORG00284</v>
      </c>
      <c r="L357" t="str">
        <f>VLOOKUP(J357,Organisation!$A$2:$E$499,4,FALSE)</f>
        <v>Academic</v>
      </c>
      <c r="M357" t="s">
        <v>3193</v>
      </c>
      <c r="O357" t="s">
        <v>8808</v>
      </c>
      <c r="P357" s="3" t="s">
        <v>5323</v>
      </c>
      <c r="Q357" t="s">
        <v>5324</v>
      </c>
      <c r="S357" s="1">
        <v>1</v>
      </c>
      <c r="T357" t="str">
        <f>"Update Collaborator Set Organisation = '"&amp;J357&amp;"' where User_ID = '"&amp;B357&amp;"'; "</f>
        <v xml:space="preserve">Update Collaborator Set Organisation = 'University of Utah' where User_ID = 'CU00356'; </v>
      </c>
      <c r="U357" t="str">
        <f>"Update dcollab.collab_user Set Pi = True where User_ID = '"&amp;A357&amp;"'; "</f>
        <v xml:space="preserve">Update dcollab.collab_user Set Pi = True where User_ID = 'CUSR00420'; </v>
      </c>
    </row>
    <row r="358" spans="1:21">
      <c r="A358" t="s">
        <v>10009</v>
      </c>
      <c r="B358" t="s">
        <v>5217</v>
      </c>
      <c r="D358" t="s">
        <v>5218</v>
      </c>
      <c r="E358" t="s">
        <v>110</v>
      </c>
      <c r="F358" t="s">
        <v>5219</v>
      </c>
      <c r="G358" t="s">
        <v>5220</v>
      </c>
      <c r="H358">
        <f t="shared" si="5"/>
        <v>1</v>
      </c>
      <c r="I358" t="s">
        <v>2598</v>
      </c>
      <c r="J358" t="s">
        <v>5221</v>
      </c>
      <c r="K358" t="str">
        <f>VLOOKUP(J358,Organisation!$A$2:$C$499,3,FALSE)</f>
        <v>CORG00284</v>
      </c>
      <c r="L358" t="str">
        <f>VLOOKUP(J358,Organisation!$A$2:$E$499,4,FALSE)</f>
        <v>Academic</v>
      </c>
      <c r="M358" t="s">
        <v>3193</v>
      </c>
      <c r="O358" t="s">
        <v>8808</v>
      </c>
      <c r="P358" s="3" t="s">
        <v>5222</v>
      </c>
      <c r="Q358" t="s">
        <v>5223</v>
      </c>
      <c r="S358" s="1">
        <v>1</v>
      </c>
      <c r="T358" t="str">
        <f>"Update Collaborator Set Organisation = '"&amp;J358&amp;"' where User_ID = '"&amp;B358&amp;"'; "</f>
        <v xml:space="preserve">Update Collaborator Set Organisation = 'University of Utah' where User_ID = 'CU00357'; </v>
      </c>
    </row>
    <row r="359" spans="1:21">
      <c r="A359" t="s">
        <v>10010</v>
      </c>
      <c r="B359" t="s">
        <v>1185</v>
      </c>
      <c r="C359" t="s">
        <v>10540</v>
      </c>
      <c r="D359" t="s">
        <v>1186</v>
      </c>
      <c r="E359" t="s">
        <v>60</v>
      </c>
      <c r="F359" t="s">
        <v>1187</v>
      </c>
      <c r="G359" t="s">
        <v>1188</v>
      </c>
      <c r="H359">
        <f t="shared" si="5"/>
        <v>1</v>
      </c>
      <c r="I359" t="s">
        <v>1189</v>
      </c>
      <c r="J359" t="s">
        <v>1190</v>
      </c>
      <c r="K359" t="str">
        <f>VLOOKUP(J359,Organisation!$A$2:$C$499,3,FALSE)</f>
        <v>CORG00077</v>
      </c>
      <c r="L359" t="str">
        <f>VLOOKUP(J359,Organisation!$A$2:$E$499,4,FALSE)</f>
        <v>Academic</v>
      </c>
      <c r="M359" t="s">
        <v>1191</v>
      </c>
      <c r="N359" t="s">
        <v>1192</v>
      </c>
      <c r="O359" t="s">
        <v>211</v>
      </c>
      <c r="P359" s="3" t="s">
        <v>1193</v>
      </c>
      <c r="Q359" t="s">
        <v>1194</v>
      </c>
      <c r="S359" s="1">
        <v>1</v>
      </c>
      <c r="T359" t="str">
        <f>"Update Collaborator Set Organisation = '"&amp;J359&amp;"' where User_ID = '"&amp;B359&amp;"'; "</f>
        <v xml:space="preserve">Update Collaborator Set Organisation = 'Indian Institute of Chemical Biology' where User_ID = 'CU00358'; </v>
      </c>
      <c r="U359" t="str">
        <f>"Update dcollab.collab_user Set Pi = True where User_ID = '"&amp;A359&amp;"'; "</f>
        <v xml:space="preserve">Update dcollab.collab_user Set Pi = True where User_ID = 'CUSR00422'; </v>
      </c>
    </row>
    <row r="360" spans="1:21">
      <c r="A360" t="s">
        <v>10011</v>
      </c>
      <c r="B360" t="s">
        <v>644</v>
      </c>
      <c r="C360" t="s">
        <v>10540</v>
      </c>
      <c r="D360" t="s">
        <v>645</v>
      </c>
      <c r="E360" t="s">
        <v>60</v>
      </c>
      <c r="F360" t="s">
        <v>646</v>
      </c>
      <c r="G360" t="s">
        <v>647</v>
      </c>
      <c r="H360">
        <f t="shared" si="5"/>
        <v>1</v>
      </c>
      <c r="I360" t="s">
        <v>648</v>
      </c>
      <c r="J360" t="s">
        <v>649</v>
      </c>
      <c r="K360" t="str">
        <f>VLOOKUP(J360,Organisation!$A$2:$C$499,3,FALSE)</f>
        <v>CORG00084</v>
      </c>
      <c r="L360" t="str">
        <f>VLOOKUP(J360,Organisation!$A$2:$E$499,4,FALSE)</f>
        <v>Academic</v>
      </c>
      <c r="M360" t="s">
        <v>650</v>
      </c>
      <c r="N360" t="s">
        <v>651</v>
      </c>
      <c r="O360" t="s">
        <v>427</v>
      </c>
      <c r="P360" s="3" t="s">
        <v>652</v>
      </c>
      <c r="Q360" t="s">
        <v>653</v>
      </c>
      <c r="S360" s="1">
        <v>1</v>
      </c>
      <c r="T360" t="str">
        <f>"Update Collaborator Set Organisation = '"&amp;J360&amp;"' where User_ID = '"&amp;B360&amp;"'; "</f>
        <v xml:space="preserve">Update Collaborator Set Organisation = 'Institute of Molecular Biology and Genetics of NASU' where User_ID = 'CU00359'; </v>
      </c>
      <c r="U360" t="str">
        <f>"Update dcollab.collab_user Set Pi = True where User_ID = '"&amp;A360&amp;"'; "</f>
        <v xml:space="preserve">Update dcollab.collab_user Set Pi = True where User_ID = 'CUSR00423'; </v>
      </c>
    </row>
    <row r="361" spans="1:21">
      <c r="A361" t="s">
        <v>10012</v>
      </c>
      <c r="B361" t="s">
        <v>3384</v>
      </c>
      <c r="C361" t="s">
        <v>10540</v>
      </c>
      <c r="D361" t="s">
        <v>3385</v>
      </c>
      <c r="E361" t="s">
        <v>18</v>
      </c>
      <c r="F361" t="s">
        <v>3386</v>
      </c>
      <c r="G361" t="s">
        <v>3387</v>
      </c>
      <c r="H361">
        <f t="shared" si="5"/>
        <v>1</v>
      </c>
      <c r="I361" t="s">
        <v>1743</v>
      </c>
      <c r="J361" t="s">
        <v>3388</v>
      </c>
      <c r="K361" t="str">
        <f>VLOOKUP(J361,Organisation!$A$2:$C$499,3,FALSE)</f>
        <v>CORG00070</v>
      </c>
      <c r="L361" t="str">
        <f>VLOOKUP(J361,Organisation!$A$2:$E$499,4,FALSE)</f>
        <v>Academic</v>
      </c>
      <c r="M361" t="s">
        <v>73</v>
      </c>
      <c r="N361" t="s">
        <v>3389</v>
      </c>
      <c r="O361" t="s">
        <v>8808</v>
      </c>
      <c r="P361" s="3" t="s">
        <v>3390</v>
      </c>
      <c r="Q361" t="s">
        <v>3391</v>
      </c>
      <c r="S361" s="1">
        <v>1</v>
      </c>
      <c r="T361" t="str">
        <f>"Update Collaborator Set Organisation = '"&amp;J361&amp;"' where User_ID = '"&amp;B361&amp;"'; "</f>
        <v xml:space="preserve">Update Collaborator Set Organisation = 'Hamilton College' where User_ID = 'CU00360'; </v>
      </c>
      <c r="U361" t="str">
        <f>"Update dcollab.collab_user Set Pi = True where User_ID = '"&amp;A361&amp;"'; "</f>
        <v xml:space="preserve">Update dcollab.collab_user Set Pi = True where User_ID = 'CUSR00424'; </v>
      </c>
    </row>
    <row r="362" spans="1:21">
      <c r="A362" t="s">
        <v>10013</v>
      </c>
      <c r="B362" t="s">
        <v>869</v>
      </c>
      <c r="D362" t="s">
        <v>870</v>
      </c>
      <c r="E362" t="s">
        <v>871</v>
      </c>
      <c r="F362" t="s">
        <v>872</v>
      </c>
      <c r="G362" t="s">
        <v>873</v>
      </c>
      <c r="H362">
        <f t="shared" si="5"/>
        <v>1</v>
      </c>
      <c r="I362" t="s">
        <v>874</v>
      </c>
      <c r="J362" t="s">
        <v>875</v>
      </c>
      <c r="K362" t="str">
        <f>VLOOKUP(J362,Organisation!$A$2:$C$499,3,FALSE)</f>
        <v>CORG00283</v>
      </c>
      <c r="L362" t="str">
        <f>VLOOKUP(J362,Organisation!$A$2:$E$499,4,FALSE)</f>
        <v>Academic</v>
      </c>
      <c r="M362" t="s">
        <v>84</v>
      </c>
      <c r="N362" t="s">
        <v>876</v>
      </c>
      <c r="O362" t="s">
        <v>557</v>
      </c>
      <c r="P362" s="3" t="s">
        <v>877</v>
      </c>
      <c r="Q362" t="s">
        <v>878</v>
      </c>
      <c r="S362" s="1">
        <v>1</v>
      </c>
      <c r="T362" t="str">
        <f>"Update Collaborator Set Organisation = '"&amp;J362&amp;"' where User_ID = '"&amp;B362&amp;"'; "</f>
        <v xml:space="preserve">Update Collaborator Set Organisation = 'University of Tuebingen' where User_ID = 'CU00361'; </v>
      </c>
    </row>
    <row r="363" spans="1:21">
      <c r="A363" t="s">
        <v>10014</v>
      </c>
      <c r="B363" t="s">
        <v>5452</v>
      </c>
      <c r="C363" t="s">
        <v>10540</v>
      </c>
      <c r="D363" t="s">
        <v>870</v>
      </c>
      <c r="E363" t="s">
        <v>41</v>
      </c>
      <c r="F363" t="s">
        <v>531</v>
      </c>
      <c r="G363" t="s">
        <v>5453</v>
      </c>
      <c r="H363">
        <f t="shared" si="5"/>
        <v>1</v>
      </c>
      <c r="I363" t="s">
        <v>3546</v>
      </c>
      <c r="J363" t="s">
        <v>875</v>
      </c>
      <c r="K363" t="str">
        <f>VLOOKUP(J363,Organisation!$A$2:$C$499,3,FALSE)</f>
        <v>CORG00283</v>
      </c>
      <c r="L363" t="str">
        <f>VLOOKUP(J363,Organisation!$A$2:$E$499,4,FALSE)</f>
        <v>Academic</v>
      </c>
      <c r="M363" t="s">
        <v>84</v>
      </c>
      <c r="O363" t="s">
        <v>557</v>
      </c>
      <c r="P363" s="3" t="s">
        <v>5454</v>
      </c>
      <c r="Q363" t="s">
        <v>5455</v>
      </c>
      <c r="S363" s="1">
        <v>1</v>
      </c>
      <c r="T363" t="str">
        <f>"Update Collaborator Set Organisation = '"&amp;J363&amp;"' where User_ID = '"&amp;B363&amp;"'; "</f>
        <v xml:space="preserve">Update Collaborator Set Organisation = 'University of Tuebingen' where User_ID = 'CU00362'; </v>
      </c>
      <c r="U363" t="str">
        <f>"Update dcollab.collab_user Set Pi = True where User_ID = '"&amp;A363&amp;"'; "</f>
        <v xml:space="preserve">Update dcollab.collab_user Set Pi = True where User_ID = 'CUSR00426'; </v>
      </c>
    </row>
    <row r="364" spans="1:21">
      <c r="A364" t="s">
        <v>10015</v>
      </c>
      <c r="B364" t="s">
        <v>3218</v>
      </c>
      <c r="C364" t="s">
        <v>10540</v>
      </c>
      <c r="D364" t="s">
        <v>3219</v>
      </c>
      <c r="E364" t="s">
        <v>60</v>
      </c>
      <c r="F364" t="s">
        <v>3220</v>
      </c>
      <c r="G364" t="s">
        <v>3221</v>
      </c>
      <c r="H364">
        <f t="shared" si="5"/>
        <v>1</v>
      </c>
      <c r="I364" t="s">
        <v>508</v>
      </c>
      <c r="J364" t="s">
        <v>8751</v>
      </c>
      <c r="K364" t="str">
        <f>VLOOKUP(J364,Organisation!$A$2:$C$499,3,FALSE)</f>
        <v>CORG00003</v>
      </c>
      <c r="L364" t="str">
        <f>VLOOKUP(J364,Organisation!$A$2:$E$499,4,FALSE)</f>
        <v>Academic</v>
      </c>
      <c r="M364" t="s">
        <v>3223</v>
      </c>
      <c r="N364" t="s">
        <v>3224</v>
      </c>
      <c r="O364" t="s">
        <v>459</v>
      </c>
      <c r="P364" s="3" t="s">
        <v>3225</v>
      </c>
      <c r="Q364" t="s">
        <v>3226</v>
      </c>
      <c r="S364" s="1">
        <v>1</v>
      </c>
      <c r="T364" t="str">
        <f>"Update Collaborator Set Organisation = '"&amp;J364&amp;"' where User_ID = '"&amp;B364&amp;"'; "</f>
        <v xml:space="preserve">Update Collaborator Set Organisation = 'Agency for Science, Technology and Research' where User_ID = 'CU00363'; </v>
      </c>
      <c r="U364" t="str">
        <f>"Update dcollab.collab_user Set Pi = True where User_ID = '"&amp;A364&amp;"'; "</f>
        <v xml:space="preserve">Update dcollab.collab_user Set Pi = True where User_ID = 'CUSR00427'; </v>
      </c>
    </row>
    <row r="365" spans="1:21">
      <c r="A365" t="s">
        <v>10016</v>
      </c>
      <c r="B365" t="s">
        <v>5037</v>
      </c>
      <c r="C365" t="s">
        <v>10540</v>
      </c>
      <c r="D365" t="s">
        <v>5038</v>
      </c>
      <c r="E365" t="s">
        <v>60</v>
      </c>
      <c r="F365" t="s">
        <v>5039</v>
      </c>
      <c r="G365" t="s">
        <v>5040</v>
      </c>
      <c r="H365">
        <f t="shared" si="5"/>
        <v>1</v>
      </c>
      <c r="I365" t="s">
        <v>136</v>
      </c>
      <c r="J365" t="s">
        <v>5041</v>
      </c>
      <c r="K365" t="str">
        <f>VLOOKUP(J365,Organisation!$A$2:$C$499,3,FALSE)</f>
        <v>CORG00133</v>
      </c>
      <c r="L365" t="str">
        <f>VLOOKUP(J365,Organisation!$A$2:$E$499,4,FALSE)</f>
        <v>Academic</v>
      </c>
      <c r="M365" t="s">
        <v>5041</v>
      </c>
      <c r="N365" t="s">
        <v>5042</v>
      </c>
      <c r="O365" t="s">
        <v>5043</v>
      </c>
      <c r="P365" s="3" t="s">
        <v>5044</v>
      </c>
      <c r="Q365" t="s">
        <v>5045</v>
      </c>
      <c r="S365" s="1">
        <v>1</v>
      </c>
      <c r="T365" t="str">
        <f>"Update Collaborator Set Organisation = '"&amp;J365&amp;"' where User_ID = '"&amp;B365&amp;"'; "</f>
        <v xml:space="preserve">Update Collaborator Set Organisation = 'National Institute for Chemical-Pharmaceutical Research and Development' where User_ID = 'CU00364'; </v>
      </c>
      <c r="U365" t="str">
        <f>"Update dcollab.collab_user Set Pi = True where User_ID = '"&amp;A365&amp;"'; "</f>
        <v xml:space="preserve">Update dcollab.collab_user Set Pi = True where User_ID = 'CUSR00428'; </v>
      </c>
    </row>
    <row r="366" spans="1:21">
      <c r="A366" t="s">
        <v>10017</v>
      </c>
      <c r="B366" t="s">
        <v>2036</v>
      </c>
      <c r="D366" t="s">
        <v>2037</v>
      </c>
      <c r="E366" t="s">
        <v>60</v>
      </c>
      <c r="F366" t="s">
        <v>2038</v>
      </c>
      <c r="G366" t="s">
        <v>2039</v>
      </c>
      <c r="H366">
        <f t="shared" si="5"/>
        <v>1</v>
      </c>
      <c r="I366" t="s">
        <v>2040</v>
      </c>
      <c r="J366" t="s">
        <v>2041</v>
      </c>
      <c r="K366" t="str">
        <f>VLOOKUP(J366,Organisation!$A$2:$C$499,3,FALSE)</f>
        <v>CORG00085</v>
      </c>
      <c r="L366" t="str">
        <f>VLOOKUP(J366,Organisation!$A$2:$E$499,4,FALSE)</f>
        <v>Academic</v>
      </c>
      <c r="M366" t="s">
        <v>2042</v>
      </c>
      <c r="N366" t="s">
        <v>2043</v>
      </c>
      <c r="O366" t="s">
        <v>1600</v>
      </c>
      <c r="P366" s="3" t="s">
        <v>2044</v>
      </c>
      <c r="Q366" t="s">
        <v>2045</v>
      </c>
      <c r="S366" s="1">
        <v>1</v>
      </c>
      <c r="T366" t="str">
        <f>"Update Collaborator Set Organisation = '"&amp;J366&amp;"' where User_ID = '"&amp;B366&amp;"'; "</f>
        <v xml:space="preserve">Update Collaborator Set Organisation = 'Institute of Petrochemistry and Catalysis' where User_ID = 'CU00365'; </v>
      </c>
    </row>
    <row r="367" spans="1:21">
      <c r="A367" t="s">
        <v>10018</v>
      </c>
      <c r="B367" t="s">
        <v>4862</v>
      </c>
      <c r="C367" t="s">
        <v>10540</v>
      </c>
      <c r="D367" t="s">
        <v>2037</v>
      </c>
      <c r="E367" t="s">
        <v>60</v>
      </c>
      <c r="F367" t="s">
        <v>248</v>
      </c>
      <c r="G367" t="s">
        <v>4863</v>
      </c>
      <c r="H367">
        <f t="shared" si="5"/>
        <v>1</v>
      </c>
      <c r="I367" t="s">
        <v>136</v>
      </c>
      <c r="J367" t="s">
        <v>2041</v>
      </c>
      <c r="K367" t="str">
        <f>VLOOKUP(J367,Organisation!$A$2:$C$499,3,FALSE)</f>
        <v>CORG00085</v>
      </c>
      <c r="L367" t="str">
        <f>VLOOKUP(J367,Organisation!$A$2:$E$499,4,FALSE)</f>
        <v>Academic</v>
      </c>
      <c r="M367" t="s">
        <v>2042</v>
      </c>
      <c r="N367" t="s">
        <v>2043</v>
      </c>
      <c r="O367" t="s">
        <v>1600</v>
      </c>
      <c r="P367" s="3" t="s">
        <v>2044</v>
      </c>
      <c r="Q367" t="s">
        <v>4864</v>
      </c>
      <c r="S367" s="1">
        <v>1</v>
      </c>
      <c r="T367" t="str">
        <f>"Update Collaborator Set Organisation = '"&amp;J367&amp;"' where User_ID = '"&amp;B367&amp;"'; "</f>
        <v xml:space="preserve">Update Collaborator Set Organisation = 'Institute of Petrochemistry and Catalysis' where User_ID = 'CU00366'; </v>
      </c>
      <c r="U367" t="str">
        <f>"Update dcollab.collab_user Set Pi = True where User_ID = '"&amp;A367&amp;"'; "</f>
        <v xml:space="preserve">Update dcollab.collab_user Set Pi = True where User_ID = 'CUSR00430'; </v>
      </c>
    </row>
    <row r="368" spans="1:21">
      <c r="A368" t="s">
        <v>10019</v>
      </c>
      <c r="B368" t="s">
        <v>2427</v>
      </c>
      <c r="D368" t="s">
        <v>2428</v>
      </c>
      <c r="E368" t="s">
        <v>60</v>
      </c>
      <c r="F368" t="s">
        <v>2429</v>
      </c>
      <c r="G368" t="s">
        <v>2430</v>
      </c>
      <c r="H368">
        <f t="shared" si="5"/>
        <v>1</v>
      </c>
      <c r="I368" t="s">
        <v>605</v>
      </c>
      <c r="J368" t="s">
        <v>2431</v>
      </c>
      <c r="K368" t="str">
        <f>VLOOKUP(J368,Organisation!$A$2:$C$499,3,FALSE)</f>
        <v>CORG00310</v>
      </c>
      <c r="L368" t="str">
        <f>VLOOKUP(J368,Organisation!$A$2:$E$499,4,FALSE)</f>
        <v>Academic</v>
      </c>
      <c r="M368" t="s">
        <v>73</v>
      </c>
      <c r="N368" t="s">
        <v>2432</v>
      </c>
      <c r="O368" t="s">
        <v>8808</v>
      </c>
      <c r="P368" s="3" t="s">
        <v>2433</v>
      </c>
      <c r="Q368" t="s">
        <v>2434</v>
      </c>
      <c r="S368" s="1">
        <v>0</v>
      </c>
      <c r="T368" t="str">
        <f>"Update Collaborator Set Organisation = '"&amp;J368&amp;"' where User_ID = '"&amp;B368&amp;"'; "</f>
        <v xml:space="preserve">Update Collaborator Set Organisation = 'Yale University' where User_ID = 'CU00367'; </v>
      </c>
    </row>
    <row r="369" spans="1:21">
      <c r="A369" t="s">
        <v>10020</v>
      </c>
      <c r="B369" t="s">
        <v>2469</v>
      </c>
      <c r="C369" t="s">
        <v>10540</v>
      </c>
      <c r="D369" t="s">
        <v>2428</v>
      </c>
      <c r="E369" t="s">
        <v>41</v>
      </c>
      <c r="F369" t="s">
        <v>2470</v>
      </c>
      <c r="G369" t="s">
        <v>2471</v>
      </c>
      <c r="H369">
        <f t="shared" si="5"/>
        <v>1</v>
      </c>
      <c r="I369" t="s">
        <v>8844</v>
      </c>
      <c r="J369" t="s">
        <v>2431</v>
      </c>
      <c r="K369" t="str">
        <f>VLOOKUP(J369,Organisation!$A$2:$C$499,3,FALSE)</f>
        <v>CORG00310</v>
      </c>
      <c r="L369" t="str">
        <f>VLOOKUP(J369,Organisation!$A$2:$E$499,4,FALSE)</f>
        <v>Academic</v>
      </c>
      <c r="M369" t="s">
        <v>73</v>
      </c>
      <c r="N369" t="s">
        <v>2432</v>
      </c>
      <c r="O369" t="s">
        <v>8808</v>
      </c>
      <c r="P369" s="3" t="s">
        <v>2472</v>
      </c>
      <c r="Q369" t="s">
        <v>2473</v>
      </c>
      <c r="S369" s="1">
        <v>1</v>
      </c>
      <c r="T369" t="str">
        <f>"Update Collaborator Set Organisation = '"&amp;J369&amp;"' where User_ID = '"&amp;B369&amp;"'; "</f>
        <v xml:space="preserve">Update Collaborator Set Organisation = 'Yale University' where User_ID = 'CU00368'; </v>
      </c>
      <c r="U369" t="str">
        <f>"Update dcollab.collab_user Set Pi = True where User_ID = '"&amp;A369&amp;"'; "</f>
        <v xml:space="preserve">Update dcollab.collab_user Set Pi = True where User_ID = 'CUSR00432'; </v>
      </c>
    </row>
    <row r="370" spans="1:21">
      <c r="A370" t="s">
        <v>10021</v>
      </c>
      <c r="B370" t="s">
        <v>1694</v>
      </c>
      <c r="C370" t="s">
        <v>10540</v>
      </c>
      <c r="D370" t="s">
        <v>1695</v>
      </c>
      <c r="E370" t="s">
        <v>41</v>
      </c>
      <c r="F370" t="s">
        <v>1696</v>
      </c>
      <c r="G370" t="s">
        <v>1697</v>
      </c>
      <c r="H370">
        <f t="shared" si="5"/>
        <v>1</v>
      </c>
      <c r="I370" t="s">
        <v>1698</v>
      </c>
      <c r="J370" t="s">
        <v>1699</v>
      </c>
      <c r="K370" t="str">
        <f>VLOOKUP(J370,Organisation!$A$2:$C$499,3,FALSE)</f>
        <v>CORG00312</v>
      </c>
      <c r="L370" t="str">
        <f>VLOOKUP(J370,Organisation!$A$2:$E$499,4,FALSE)</f>
        <v>Academic</v>
      </c>
      <c r="M370" t="s">
        <v>1447</v>
      </c>
      <c r="N370" t="s">
        <v>1700</v>
      </c>
      <c r="O370" t="s">
        <v>1701</v>
      </c>
      <c r="P370" s="3" t="s">
        <v>1702</v>
      </c>
      <c r="Q370" t="s">
        <v>1703</v>
      </c>
      <c r="S370" s="1">
        <v>1</v>
      </c>
      <c r="T370" t="str">
        <f>"Update Collaborator Set Organisation = '"&amp;J370&amp;"' where User_ID = '"&amp;B370&amp;"'; "</f>
        <v xml:space="preserve">Update Collaborator Set Organisation = 'Yerevan State University' where User_ID = 'CU00369'; </v>
      </c>
      <c r="U370" t="str">
        <f>"Update dcollab.collab_user Set Pi = True where User_ID = '"&amp;A370&amp;"'; "</f>
        <v xml:space="preserve">Update dcollab.collab_user Set Pi = True where User_ID = 'CUSR00433'; </v>
      </c>
    </row>
    <row r="371" spans="1:21">
      <c r="A371" t="s">
        <v>9977</v>
      </c>
      <c r="B371" t="s">
        <v>4446</v>
      </c>
      <c r="D371" t="s">
        <v>2537</v>
      </c>
      <c r="E371" t="s">
        <v>60</v>
      </c>
      <c r="F371" t="s">
        <v>2561</v>
      </c>
      <c r="G371" t="s">
        <v>4447</v>
      </c>
      <c r="H371">
        <f t="shared" si="5"/>
        <v>1</v>
      </c>
      <c r="I371" t="s">
        <v>4448</v>
      </c>
      <c r="J371" t="s">
        <v>1262</v>
      </c>
      <c r="K371" t="str">
        <f>VLOOKUP(J371,Organisation!$A$2:$C$499,3,FALSE)</f>
        <v>CORG00251</v>
      </c>
      <c r="L371" t="str">
        <f>VLOOKUP(J371,Organisation!$A$2:$E$499,4,FALSE)</f>
        <v>Academic</v>
      </c>
      <c r="M371" t="s">
        <v>2540</v>
      </c>
      <c r="N371" t="s">
        <v>4449</v>
      </c>
      <c r="O371" t="s">
        <v>8808</v>
      </c>
      <c r="P371" s="3" t="s">
        <v>4450</v>
      </c>
      <c r="Q371" t="s">
        <v>4451</v>
      </c>
      <c r="S371" s="1">
        <v>0</v>
      </c>
      <c r="T371" t="str">
        <f>"Update Collaborator Set Organisation = '"&amp;J371&amp;"' where User_ID = '"&amp;B371&amp;"'; "</f>
        <v xml:space="preserve">Update Collaborator Set Organisation = 'University of Nebraska Medical Center' where User_ID = 'CU00370'; </v>
      </c>
    </row>
    <row r="372" spans="1:21">
      <c r="A372" t="s">
        <v>10023</v>
      </c>
      <c r="B372" t="s">
        <v>577</v>
      </c>
      <c r="D372" t="s">
        <v>578</v>
      </c>
      <c r="E372" t="s">
        <v>60</v>
      </c>
      <c r="F372" t="s">
        <v>579</v>
      </c>
      <c r="G372" t="s">
        <v>580</v>
      </c>
      <c r="H372">
        <f t="shared" si="5"/>
        <v>1</v>
      </c>
      <c r="I372" t="s">
        <v>581</v>
      </c>
      <c r="J372" t="s">
        <v>582</v>
      </c>
      <c r="K372" t="str">
        <f>VLOOKUP(J372,Organisation!$A$2:$C$499,3,FALSE)</f>
        <v>CORG00172</v>
      </c>
      <c r="L372" t="str">
        <f>VLOOKUP(J372,Organisation!$A$2:$E$499,4,FALSE)</f>
        <v>Academic</v>
      </c>
      <c r="M372" t="s">
        <v>84</v>
      </c>
      <c r="N372" t="s">
        <v>583</v>
      </c>
      <c r="O372" t="s">
        <v>8808</v>
      </c>
      <c r="P372" s="3" t="s">
        <v>584</v>
      </c>
      <c r="Q372" t="s">
        <v>585</v>
      </c>
      <c r="S372" s="1">
        <v>1</v>
      </c>
      <c r="T372" t="str">
        <f>"Update Collaborator Set Organisation = '"&amp;J372&amp;"' where User_ID = '"&amp;B372&amp;"'; "</f>
        <v xml:space="preserve">Update Collaborator Set Organisation = 'Scripps Research Institute' where User_ID = 'CU00371'; </v>
      </c>
    </row>
    <row r="373" spans="1:21">
      <c r="A373" t="s">
        <v>10024</v>
      </c>
      <c r="B373" t="s">
        <v>4689</v>
      </c>
      <c r="C373" t="s">
        <v>10540</v>
      </c>
      <c r="D373" t="s">
        <v>578</v>
      </c>
      <c r="E373" t="s">
        <v>41</v>
      </c>
      <c r="F373" t="s">
        <v>4690</v>
      </c>
      <c r="G373" t="s">
        <v>4691</v>
      </c>
      <c r="H373">
        <f t="shared" si="5"/>
        <v>1</v>
      </c>
      <c r="I373" t="s">
        <v>71</v>
      </c>
      <c r="J373" t="s">
        <v>582</v>
      </c>
      <c r="K373" t="str">
        <f>VLOOKUP(J373,Organisation!$A$2:$C$499,3,FALSE)</f>
        <v>CORG00172</v>
      </c>
      <c r="L373" t="str">
        <f>VLOOKUP(J373,Organisation!$A$2:$E$499,4,FALSE)</f>
        <v>Academic</v>
      </c>
      <c r="M373" t="s">
        <v>84</v>
      </c>
      <c r="N373" t="s">
        <v>583</v>
      </c>
      <c r="O373" t="s">
        <v>8808</v>
      </c>
      <c r="P373" s="3" t="s">
        <v>4692</v>
      </c>
      <c r="Q373" t="s">
        <v>4693</v>
      </c>
      <c r="S373" s="1">
        <v>1</v>
      </c>
      <c r="T373" t="str">
        <f>"Update Collaborator Set Organisation = '"&amp;J373&amp;"' where User_ID = '"&amp;B373&amp;"'; "</f>
        <v xml:space="preserve">Update Collaborator Set Organisation = 'Scripps Research Institute' where User_ID = 'CU00372'; </v>
      </c>
      <c r="U373" t="str">
        <f>"Update dcollab.collab_user Set Pi = True where User_ID = '"&amp;A373&amp;"'; "</f>
        <v xml:space="preserve">Update dcollab.collab_user Set Pi = True where User_ID = 'CUSR00436'; </v>
      </c>
    </row>
    <row r="374" spans="1:21">
      <c r="A374" t="s">
        <v>10025</v>
      </c>
      <c r="B374" t="s">
        <v>5271</v>
      </c>
      <c r="D374" t="s">
        <v>578</v>
      </c>
      <c r="E374" t="s">
        <v>60</v>
      </c>
      <c r="F374" t="s">
        <v>5272</v>
      </c>
      <c r="G374" t="s">
        <v>5265</v>
      </c>
      <c r="H374">
        <f t="shared" si="5"/>
        <v>4</v>
      </c>
      <c r="I374" t="s">
        <v>4134</v>
      </c>
      <c r="J374" t="s">
        <v>582</v>
      </c>
      <c r="K374" t="str">
        <f>VLOOKUP(J374,Organisation!$A$2:$C$499,3,FALSE)</f>
        <v>CORG00172</v>
      </c>
      <c r="L374" t="str">
        <f>VLOOKUP(J374,Organisation!$A$2:$E$499,4,FALSE)</f>
        <v>Academic</v>
      </c>
      <c r="M374" t="s">
        <v>84</v>
      </c>
      <c r="N374" t="s">
        <v>583</v>
      </c>
      <c r="O374" t="s">
        <v>8808</v>
      </c>
      <c r="P374" s="3" t="s">
        <v>5273</v>
      </c>
      <c r="Q374" t="s">
        <v>5274</v>
      </c>
      <c r="S374" s="1">
        <v>1</v>
      </c>
      <c r="T374" t="str">
        <f>"Update Collaborator Set Organisation = '"&amp;J374&amp;"' where User_ID = '"&amp;B374&amp;"'; "</f>
        <v xml:space="preserve">Update Collaborator Set Organisation = 'Scripps Research Institute' where User_ID = 'CU00373'; </v>
      </c>
    </row>
    <row r="375" spans="1:21">
      <c r="A375" t="s">
        <v>10026</v>
      </c>
      <c r="B375" t="s">
        <v>142</v>
      </c>
      <c r="C375" t="s">
        <v>10540</v>
      </c>
      <c r="D375" t="s">
        <v>143</v>
      </c>
      <c r="E375" t="s">
        <v>60</v>
      </c>
      <c r="F375" t="s">
        <v>144</v>
      </c>
      <c r="G375" t="s">
        <v>145</v>
      </c>
      <c r="H375">
        <f t="shared" si="5"/>
        <v>1</v>
      </c>
      <c r="I375" t="s">
        <v>82</v>
      </c>
      <c r="J375" t="s">
        <v>92</v>
      </c>
      <c r="K375" t="str">
        <f>VLOOKUP(J375,Organisation!$A$2:$C$499,3,FALSE)</f>
        <v>CORG00011</v>
      </c>
      <c r="L375" t="str">
        <f>VLOOKUP(J375,Organisation!$A$2:$E$499,4,FALSE)</f>
        <v>Academic</v>
      </c>
      <c r="M375" t="s">
        <v>146</v>
      </c>
      <c r="N375" t="s">
        <v>147</v>
      </c>
      <c r="O375" t="s">
        <v>55</v>
      </c>
      <c r="P375" s="3" t="s">
        <v>148</v>
      </c>
      <c r="Q375" t="s">
        <v>149</v>
      </c>
      <c r="S375" s="1">
        <v>1</v>
      </c>
      <c r="T375" t="str">
        <f>"Update Collaborator Set Organisation = '"&amp;J375&amp;"' where User_ID = '"&amp;B375&amp;"'; "</f>
        <v xml:space="preserve">Update Collaborator Set Organisation = 'Assiut University' where User_ID = 'CU00374'; </v>
      </c>
      <c r="U375" t="str">
        <f>"Update dcollab.collab_user Set Pi = True where User_ID = '"&amp;A375&amp;"'; "</f>
        <v xml:space="preserve">Update dcollab.collab_user Set Pi = True where User_ID = 'CUSR00438'; </v>
      </c>
    </row>
    <row r="376" spans="1:21">
      <c r="A376" t="s">
        <v>10028</v>
      </c>
      <c r="B376" t="s">
        <v>226</v>
      </c>
      <c r="D376" t="s">
        <v>227</v>
      </c>
      <c r="E376" t="s">
        <v>228</v>
      </c>
      <c r="F376" t="s">
        <v>229</v>
      </c>
      <c r="G376" t="s">
        <v>230</v>
      </c>
      <c r="H376">
        <f t="shared" si="5"/>
        <v>1</v>
      </c>
      <c r="I376" t="s">
        <v>207</v>
      </c>
      <c r="J376" t="s">
        <v>8758</v>
      </c>
      <c r="K376" t="str">
        <f>VLOOKUP(J376,Organisation!$A$2:$C$499,3,FALSE)</f>
        <v>CORG00058</v>
      </c>
      <c r="L376" t="str">
        <f>VLOOKUP(J376,Organisation!$A$2:$E$499,4,FALSE)</f>
        <v>Academic</v>
      </c>
      <c r="M376" t="s">
        <v>232</v>
      </c>
      <c r="N376" t="s">
        <v>233</v>
      </c>
      <c r="O376" t="s">
        <v>234</v>
      </c>
      <c r="P376" s="3" t="s">
        <v>235</v>
      </c>
      <c r="Q376" t="s">
        <v>236</v>
      </c>
      <c r="S376" s="1">
        <v>1</v>
      </c>
      <c r="T376" t="str">
        <f>"Update Collaborator Set Organisation = '"&amp;J376&amp;"' where User_ID = '"&amp;B376&amp;"'; "</f>
        <v xml:space="preserve">Update Collaborator Set Organisation = 'Federal University of ABC' where User_ID = 'CU00375'; </v>
      </c>
    </row>
    <row r="377" spans="1:21">
      <c r="A377" t="s">
        <v>10029</v>
      </c>
      <c r="B377" t="s">
        <v>1427</v>
      </c>
      <c r="C377" t="s">
        <v>10540</v>
      </c>
      <c r="D377" t="s">
        <v>227</v>
      </c>
      <c r="E377" t="s">
        <v>60</v>
      </c>
      <c r="F377" t="s">
        <v>1428</v>
      </c>
      <c r="G377" t="s">
        <v>1429</v>
      </c>
      <c r="H377">
        <f t="shared" si="5"/>
        <v>1</v>
      </c>
      <c r="I377" t="s">
        <v>71</v>
      </c>
      <c r="J377" t="s">
        <v>8758</v>
      </c>
      <c r="K377" t="str">
        <f>VLOOKUP(J377,Organisation!$A$2:$C$499,3,FALSE)</f>
        <v>CORG00058</v>
      </c>
      <c r="L377" t="str">
        <f>VLOOKUP(J377,Organisation!$A$2:$E$499,4,FALSE)</f>
        <v>Academic</v>
      </c>
      <c r="M377" t="s">
        <v>232</v>
      </c>
      <c r="N377" t="s">
        <v>233</v>
      </c>
      <c r="O377" t="s">
        <v>234</v>
      </c>
      <c r="P377" s="3" t="s">
        <v>1430</v>
      </c>
      <c r="Q377" t="s">
        <v>1431</v>
      </c>
      <c r="S377" s="1">
        <v>1</v>
      </c>
      <c r="T377" t="str">
        <f>"Update Collaborator Set Organisation = '"&amp;J377&amp;"' where User_ID = '"&amp;B377&amp;"'; "</f>
        <v xml:space="preserve">Update Collaborator Set Organisation = 'Federal University of ABC' where User_ID = 'CU00376'; </v>
      </c>
      <c r="U377" t="str">
        <f>"Update dcollab.collab_user Set Pi = True where User_ID = '"&amp;A377&amp;"'; "</f>
        <v xml:space="preserve">Update dcollab.collab_user Set Pi = True where User_ID = 'CUSR00441'; </v>
      </c>
    </row>
    <row r="378" spans="1:21">
      <c r="A378" t="s">
        <v>10030</v>
      </c>
      <c r="B378" t="s">
        <v>1366</v>
      </c>
      <c r="D378" t="s">
        <v>1367</v>
      </c>
      <c r="E378" t="s">
        <v>60</v>
      </c>
      <c r="F378" t="s">
        <v>1368</v>
      </c>
      <c r="G378" t="s">
        <v>1369</v>
      </c>
      <c r="H378">
        <f t="shared" si="5"/>
        <v>1</v>
      </c>
      <c r="I378" t="s">
        <v>615</v>
      </c>
      <c r="J378" t="s">
        <v>362</v>
      </c>
      <c r="K378" t="str">
        <f>VLOOKUP(J378,Organisation!$A$2:$C$499,3,FALSE)</f>
        <v>CORG00001</v>
      </c>
      <c r="L378" t="str">
        <f>VLOOKUP(J378,Organisation!$A$2:$E$499,4,FALSE)</f>
        <v>Academic</v>
      </c>
      <c r="M378" t="s">
        <v>1370</v>
      </c>
      <c r="N378" t="s">
        <v>1371</v>
      </c>
      <c r="O378" t="s">
        <v>14</v>
      </c>
      <c r="P378" s="3" t="s">
        <v>1372</v>
      </c>
      <c r="Q378" t="s">
        <v>1373</v>
      </c>
      <c r="S378" s="1">
        <v>1</v>
      </c>
      <c r="T378" t="str">
        <f>"Update Collaborator Set Organisation = '"&amp;J378&amp;"' where User_ID = '"&amp;B378&amp;"'; "</f>
        <v xml:space="preserve">Update Collaborator Set Organisation = 'University of Queensland' where User_ID = 'CU00377'; </v>
      </c>
    </row>
    <row r="379" spans="1:21">
      <c r="A379" t="s">
        <v>10031</v>
      </c>
      <c r="B379" t="s">
        <v>3149</v>
      </c>
      <c r="C379" t="s">
        <v>10540</v>
      </c>
      <c r="D379" t="s">
        <v>1367</v>
      </c>
      <c r="E379" t="s">
        <v>60</v>
      </c>
      <c r="F379" t="s">
        <v>3150</v>
      </c>
      <c r="G379" t="s">
        <v>3151</v>
      </c>
      <c r="H379">
        <f t="shared" si="5"/>
        <v>1</v>
      </c>
      <c r="I379" t="s">
        <v>672</v>
      </c>
      <c r="J379" t="s">
        <v>362</v>
      </c>
      <c r="K379" t="str">
        <f>VLOOKUP(J379,Organisation!$A$2:$C$499,3,FALSE)</f>
        <v>CORG00001</v>
      </c>
      <c r="L379" t="str">
        <f>VLOOKUP(J379,Organisation!$A$2:$E$499,4,FALSE)</f>
        <v>Academic</v>
      </c>
      <c r="M379" t="s">
        <v>1370</v>
      </c>
      <c r="O379" t="s">
        <v>14</v>
      </c>
      <c r="P379" s="3" t="s">
        <v>3152</v>
      </c>
      <c r="Q379" t="s">
        <v>3153</v>
      </c>
      <c r="S379" s="1">
        <v>1</v>
      </c>
      <c r="T379" t="str">
        <f>"Update Collaborator Set Organisation = '"&amp;J379&amp;"' where User_ID = '"&amp;B379&amp;"'; "</f>
        <v xml:space="preserve">Update Collaborator Set Organisation = 'University of Queensland' where User_ID = 'CU00378'; </v>
      </c>
      <c r="U379" t="str">
        <f>"Update dcollab.collab_user Set Pi = True where User_ID = '"&amp;A379&amp;"'; "</f>
        <v xml:space="preserve">Update dcollab.collab_user Set Pi = True where User_ID = 'CUSR00443'; </v>
      </c>
    </row>
    <row r="380" spans="1:21">
      <c r="A380" t="s">
        <v>10032</v>
      </c>
      <c r="B380" t="s">
        <v>1996</v>
      </c>
      <c r="D380" t="s">
        <v>1367</v>
      </c>
      <c r="E380" t="s">
        <v>60</v>
      </c>
      <c r="F380" t="s">
        <v>1997</v>
      </c>
      <c r="G380" t="s">
        <v>1998</v>
      </c>
      <c r="H380">
        <f t="shared" si="5"/>
        <v>1</v>
      </c>
      <c r="I380" t="s">
        <v>1198</v>
      </c>
      <c r="J380" t="s">
        <v>362</v>
      </c>
      <c r="K380" t="str">
        <f>VLOOKUP(J380,Organisation!$A$2:$C$499,3,FALSE)</f>
        <v>CORG00001</v>
      </c>
      <c r="L380" t="str">
        <f>VLOOKUP(J380,Organisation!$A$2:$E$499,4,FALSE)</f>
        <v>Academic</v>
      </c>
      <c r="M380" t="s">
        <v>1370</v>
      </c>
      <c r="O380" t="s">
        <v>14</v>
      </c>
      <c r="P380" s="3" t="s">
        <v>1999</v>
      </c>
      <c r="Q380" t="s">
        <v>2000</v>
      </c>
      <c r="S380" s="1">
        <v>1</v>
      </c>
      <c r="T380" t="str">
        <f>"Update Collaborator Set Organisation = '"&amp;J380&amp;"' where User_ID = '"&amp;B380&amp;"'; "</f>
        <v xml:space="preserve">Update Collaborator Set Organisation = 'University of Queensland' where User_ID = 'CU00379'; </v>
      </c>
    </row>
    <row r="381" spans="1:21">
      <c r="A381" t="s">
        <v>10034</v>
      </c>
      <c r="B381" t="s">
        <v>2980</v>
      </c>
      <c r="C381" t="s">
        <v>10540</v>
      </c>
      <c r="D381" t="s">
        <v>2981</v>
      </c>
      <c r="E381" t="s">
        <v>41</v>
      </c>
      <c r="F381" t="s">
        <v>2982</v>
      </c>
      <c r="G381" t="s">
        <v>2983</v>
      </c>
      <c r="H381">
        <f t="shared" si="5"/>
        <v>1</v>
      </c>
      <c r="I381" t="s">
        <v>516</v>
      </c>
      <c r="J381" t="s">
        <v>362</v>
      </c>
      <c r="K381" t="str">
        <f>VLOOKUP(J381,Organisation!$A$2:$C$499,3,FALSE)</f>
        <v>CORG00001</v>
      </c>
      <c r="L381" t="str">
        <f>VLOOKUP(J381,Organisation!$A$2:$E$499,4,FALSE)</f>
        <v>Academic</v>
      </c>
      <c r="M381" t="s">
        <v>8824</v>
      </c>
      <c r="O381" t="s">
        <v>14</v>
      </c>
      <c r="P381" s="3" t="s">
        <v>2984</v>
      </c>
      <c r="Q381" t="s">
        <v>2985</v>
      </c>
      <c r="S381" s="1">
        <v>1</v>
      </c>
      <c r="T381" t="str">
        <f>"Update Collaborator Set Organisation = '"&amp;J381&amp;"' where User_ID = '"&amp;B381&amp;"'; "</f>
        <v xml:space="preserve">Update Collaborator Set Organisation = 'University of Queensland' where User_ID = 'CU00380'; </v>
      </c>
      <c r="U381" t="str">
        <f>"Update dcollab.collab_user Set Pi = True where User_ID = '"&amp;A381&amp;"'; "</f>
        <v xml:space="preserve">Update dcollab.collab_user Set Pi = True where User_ID = 'CUSR00446'; </v>
      </c>
    </row>
    <row r="382" spans="1:21">
      <c r="A382" t="s">
        <v>10035</v>
      </c>
      <c r="B382" t="s">
        <v>3895</v>
      </c>
      <c r="C382" t="s">
        <v>10540</v>
      </c>
      <c r="D382" t="s">
        <v>3896</v>
      </c>
      <c r="E382" t="s">
        <v>41</v>
      </c>
      <c r="F382" t="s">
        <v>3897</v>
      </c>
      <c r="G382" t="s">
        <v>3898</v>
      </c>
      <c r="H382">
        <f t="shared" si="5"/>
        <v>1</v>
      </c>
      <c r="I382" t="s">
        <v>82</v>
      </c>
      <c r="J382" t="s">
        <v>3899</v>
      </c>
      <c r="K382" t="str">
        <f>VLOOKUP(J382,Organisation!$A$2:$C$499,3,FALSE)</f>
        <v>CORG00155</v>
      </c>
      <c r="L382" t="str">
        <f>VLOOKUP(J382,Organisation!$A$2:$E$499,4,FALSE)</f>
        <v>Academic</v>
      </c>
      <c r="M382" t="s">
        <v>3900</v>
      </c>
      <c r="N382" t="s">
        <v>3901</v>
      </c>
      <c r="O382" t="s">
        <v>848</v>
      </c>
      <c r="P382" s="3" t="s">
        <v>3902</v>
      </c>
      <c r="Q382" t="s">
        <v>3903</v>
      </c>
      <c r="S382" s="1">
        <v>1</v>
      </c>
      <c r="T382" t="str">
        <f>"Update Collaborator Set Organisation = '"&amp;J382&amp;"' where User_ID = '"&amp;B382&amp;"'; "</f>
        <v xml:space="preserve">Update Collaborator Set Organisation = 'Polish Academy of Sciences' where User_ID = 'CU00381'; </v>
      </c>
      <c r="U382" t="str">
        <f>"Update dcollab.collab_user Set Pi = True where User_ID = '"&amp;A382&amp;"'; "</f>
        <v xml:space="preserve">Update dcollab.collab_user Set Pi = True where User_ID = 'CUSR00447'; </v>
      </c>
    </row>
    <row r="383" spans="1:21">
      <c r="A383" t="s">
        <v>10036</v>
      </c>
      <c r="B383" t="s">
        <v>795</v>
      </c>
      <c r="D383" t="s">
        <v>166</v>
      </c>
      <c r="E383" t="s">
        <v>60</v>
      </c>
      <c r="F383" t="s">
        <v>796</v>
      </c>
      <c r="G383" t="s">
        <v>797</v>
      </c>
      <c r="H383">
        <f t="shared" si="5"/>
        <v>1</v>
      </c>
      <c r="I383" t="s">
        <v>798</v>
      </c>
      <c r="J383" t="s">
        <v>169</v>
      </c>
      <c r="K383" t="str">
        <f>VLOOKUP(J383,Organisation!$A$2:$C$499,3,FALSE)</f>
        <v>CORG00212</v>
      </c>
      <c r="L383" t="str">
        <f>VLOOKUP(J383,Organisation!$A$2:$E$499,4,FALSE)</f>
        <v>Academic</v>
      </c>
      <c r="M383" t="s">
        <v>170</v>
      </c>
      <c r="N383" t="s">
        <v>799</v>
      </c>
      <c r="O383" t="s">
        <v>14</v>
      </c>
      <c r="P383" s="3" t="s">
        <v>800</v>
      </c>
      <c r="Q383" t="s">
        <v>801</v>
      </c>
      <c r="S383" s="1">
        <v>1</v>
      </c>
      <c r="T383" t="str">
        <f>"Update Collaborator Set Organisation = '"&amp;J383&amp;"' where User_ID = '"&amp;B383&amp;"'; "</f>
        <v xml:space="preserve">Update Collaborator Set Organisation = 'University of Adelaide' where User_ID = 'CU00382'; </v>
      </c>
    </row>
    <row r="384" spans="1:21">
      <c r="A384" t="s">
        <v>10037</v>
      </c>
      <c r="B384" t="s">
        <v>165</v>
      </c>
      <c r="C384" t="s">
        <v>10540</v>
      </c>
      <c r="D384" t="s">
        <v>166</v>
      </c>
      <c r="E384" t="s">
        <v>41</v>
      </c>
      <c r="F384" t="s">
        <v>167</v>
      </c>
      <c r="G384" t="s">
        <v>168</v>
      </c>
      <c r="H384">
        <f t="shared" si="5"/>
        <v>1</v>
      </c>
      <c r="I384" t="s">
        <v>71</v>
      </c>
      <c r="J384" t="s">
        <v>169</v>
      </c>
      <c r="K384" t="str">
        <f>VLOOKUP(J384,Organisation!$A$2:$C$499,3,FALSE)</f>
        <v>CORG00212</v>
      </c>
      <c r="L384" t="str">
        <f>VLOOKUP(J384,Organisation!$A$2:$E$499,4,FALSE)</f>
        <v>Academic</v>
      </c>
      <c r="M384" t="s">
        <v>170</v>
      </c>
      <c r="O384" t="s">
        <v>14</v>
      </c>
      <c r="P384" s="3" t="s">
        <v>171</v>
      </c>
      <c r="Q384" t="s">
        <v>172</v>
      </c>
      <c r="S384" s="1">
        <v>1</v>
      </c>
      <c r="T384" t="str">
        <f>"Update Collaborator Set Organisation = '"&amp;J384&amp;"' where User_ID = '"&amp;B384&amp;"'; "</f>
        <v xml:space="preserve">Update Collaborator Set Organisation = 'University of Adelaide' where User_ID = 'CU00383'; </v>
      </c>
      <c r="U384" t="str">
        <f>"Update dcollab.collab_user Set Pi = True where User_ID = '"&amp;A384&amp;"'; "</f>
        <v xml:space="preserve">Update dcollab.collab_user Set Pi = True where User_ID = 'CUSR00449'; </v>
      </c>
    </row>
    <row r="385" spans="1:21">
      <c r="A385" t="s">
        <v>10038</v>
      </c>
      <c r="B385" t="s">
        <v>1610</v>
      </c>
      <c r="D385" t="s">
        <v>195</v>
      </c>
      <c r="E385" t="s">
        <v>60</v>
      </c>
      <c r="F385" t="s">
        <v>1611</v>
      </c>
      <c r="G385" t="s">
        <v>1612</v>
      </c>
      <c r="H385">
        <f t="shared" si="5"/>
        <v>1</v>
      </c>
      <c r="I385" t="s">
        <v>1613</v>
      </c>
      <c r="J385" t="s">
        <v>199</v>
      </c>
      <c r="K385" t="str">
        <f>VLOOKUP(J385,Organisation!$A$2:$C$499,3,FALSE)</f>
        <v>CORG00004</v>
      </c>
      <c r="L385" t="str">
        <f>VLOOKUP(J385,Organisation!$A$2:$E$499,4,FALSE)</f>
        <v>Academic</v>
      </c>
      <c r="M385" t="s">
        <v>53</v>
      </c>
      <c r="N385" t="s">
        <v>200</v>
      </c>
      <c r="O385" t="s">
        <v>55</v>
      </c>
      <c r="P385" s="3" t="s">
        <v>1614</v>
      </c>
      <c r="Q385" t="s">
        <v>1615</v>
      </c>
      <c r="S385" s="1">
        <v>1</v>
      </c>
      <c r="T385" t="str">
        <f>"Update Collaborator Set Organisation = '"&amp;J385&amp;"' where User_ID = '"&amp;B385&amp;"'; "</f>
        <v xml:space="preserve">Update Collaborator Set Organisation = 'Ain Shams University' where User_ID = 'CU00384'; </v>
      </c>
    </row>
    <row r="386" spans="1:21">
      <c r="A386" t="s">
        <v>10039</v>
      </c>
      <c r="B386" t="s">
        <v>194</v>
      </c>
      <c r="C386" t="s">
        <v>10540</v>
      </c>
      <c r="D386" t="s">
        <v>195</v>
      </c>
      <c r="E386" t="s">
        <v>41</v>
      </c>
      <c r="F386" t="s">
        <v>196</v>
      </c>
      <c r="G386" t="s">
        <v>197</v>
      </c>
      <c r="H386">
        <f t="shared" ref="H386:H449" si="6">COUNTIF($G$2:$G$900,G386)</f>
        <v>1</v>
      </c>
      <c r="I386" t="s">
        <v>198</v>
      </c>
      <c r="J386" t="s">
        <v>199</v>
      </c>
      <c r="K386" t="str">
        <f>VLOOKUP(J386,Organisation!$A$2:$C$499,3,FALSE)</f>
        <v>CORG00004</v>
      </c>
      <c r="L386" t="str">
        <f>VLOOKUP(J386,Organisation!$A$2:$E$499,4,FALSE)</f>
        <v>Academic</v>
      </c>
      <c r="M386" t="s">
        <v>53</v>
      </c>
      <c r="N386" t="s">
        <v>200</v>
      </c>
      <c r="O386" t="s">
        <v>55</v>
      </c>
      <c r="P386" s="3" t="s">
        <v>201</v>
      </c>
      <c r="Q386" t="s">
        <v>202</v>
      </c>
      <c r="S386" s="1">
        <v>1</v>
      </c>
      <c r="T386" t="str">
        <f>"Update Collaborator Set Organisation = '"&amp;J386&amp;"' where User_ID = '"&amp;B386&amp;"'; "</f>
        <v xml:space="preserve">Update Collaborator Set Organisation = 'Ain Shams University' where User_ID = 'CU00385'; </v>
      </c>
      <c r="U386" t="str">
        <f>"Update dcollab.collab_user Set Pi = True where User_ID = '"&amp;A386&amp;"'; "</f>
        <v xml:space="preserve">Update dcollab.collab_user Set Pi = True where User_ID = 'CUSR00451'; </v>
      </c>
    </row>
    <row r="387" spans="1:21">
      <c r="A387" t="s">
        <v>10041</v>
      </c>
      <c r="B387" t="s">
        <v>5361</v>
      </c>
      <c r="C387" t="s">
        <v>10540</v>
      </c>
      <c r="D387" t="s">
        <v>5362</v>
      </c>
      <c r="E387" t="s">
        <v>60</v>
      </c>
      <c r="F387" t="s">
        <v>5363</v>
      </c>
      <c r="G387" t="s">
        <v>5364</v>
      </c>
      <c r="H387">
        <f t="shared" si="6"/>
        <v>1</v>
      </c>
      <c r="I387" t="s">
        <v>516</v>
      </c>
      <c r="J387" t="s">
        <v>5365</v>
      </c>
      <c r="K387" t="str">
        <f>VLOOKUP(J387,Organisation!$A$2:$C$499,3,FALSE)</f>
        <v>CORG00082</v>
      </c>
      <c r="L387" t="str">
        <f>VLOOKUP(J387,Organisation!$A$2:$E$499,4,FALSE)</f>
        <v>Academic</v>
      </c>
      <c r="M387" t="s">
        <v>5366</v>
      </c>
      <c r="N387" t="s">
        <v>5367</v>
      </c>
      <c r="O387" t="s">
        <v>459</v>
      </c>
      <c r="P387" s="3" t="s">
        <v>5368</v>
      </c>
      <c r="Q387" t="s">
        <v>5369</v>
      </c>
      <c r="S387" s="1">
        <v>1</v>
      </c>
      <c r="T387" t="str">
        <f>"Update Collaborator Set Organisation = '"&amp;J387&amp;"' where User_ID = '"&amp;B387&amp;"'; "</f>
        <v xml:space="preserve">Update Collaborator Set Organisation = 'Institute of Bioengineering and Nanotechnology' where User_ID = 'CU00386'; </v>
      </c>
      <c r="U387" t="str">
        <f>"Update dcollab.collab_user Set Pi = True where User_ID = '"&amp;A387&amp;"'; "</f>
        <v xml:space="preserve">Update dcollab.collab_user Set Pi = True where User_ID = 'CUSR00453'; </v>
      </c>
    </row>
    <row r="388" spans="1:21">
      <c r="A388" t="s">
        <v>10042</v>
      </c>
      <c r="B388" t="s">
        <v>3729</v>
      </c>
      <c r="D388" t="s">
        <v>3730</v>
      </c>
      <c r="E388" t="s">
        <v>7</v>
      </c>
      <c r="F388" t="s">
        <v>813</v>
      </c>
      <c r="G388" t="s">
        <v>3731</v>
      </c>
      <c r="H388">
        <f t="shared" si="6"/>
        <v>1</v>
      </c>
      <c r="I388" t="s">
        <v>3732</v>
      </c>
      <c r="J388" t="s">
        <v>823</v>
      </c>
      <c r="K388" t="str">
        <f>VLOOKUP(J388,Organisation!$A$2:$C$499,3,FALSE)</f>
        <v>CORG00054</v>
      </c>
      <c r="L388" t="str">
        <f>VLOOKUP(J388,Organisation!$A$2:$E$499,4,FALSE)</f>
        <v>Academic</v>
      </c>
      <c r="M388" t="s">
        <v>824</v>
      </c>
      <c r="N388" t="s">
        <v>3733</v>
      </c>
      <c r="O388" t="s">
        <v>253</v>
      </c>
      <c r="P388" s="3" t="s">
        <v>3734</v>
      </c>
      <c r="Q388" t="s">
        <v>3735</v>
      </c>
      <c r="S388" s="1">
        <v>0</v>
      </c>
      <c r="T388" t="str">
        <f>"Update Collaborator Set Organisation = '"&amp;J388&amp;"' where User_ID = '"&amp;B388&amp;"'; "</f>
        <v xml:space="preserve">Update Collaborator Set Organisation = 'ETH Zurich' where User_ID = 'CU00387'; </v>
      </c>
    </row>
    <row r="389" spans="1:21">
      <c r="A389" t="s">
        <v>10043</v>
      </c>
      <c r="B389" t="s">
        <v>4602</v>
      </c>
      <c r="C389" t="s">
        <v>10540</v>
      </c>
      <c r="D389" t="s">
        <v>3730</v>
      </c>
      <c r="E389" t="s">
        <v>41</v>
      </c>
      <c r="F389" t="s">
        <v>4603</v>
      </c>
      <c r="G389" t="s">
        <v>4604</v>
      </c>
      <c r="H389">
        <f t="shared" si="6"/>
        <v>1</v>
      </c>
      <c r="I389" t="s">
        <v>71</v>
      </c>
      <c r="J389" t="s">
        <v>823</v>
      </c>
      <c r="K389" t="str">
        <f>VLOOKUP(J389,Organisation!$A$2:$C$499,3,FALSE)</f>
        <v>CORG00054</v>
      </c>
      <c r="L389" t="str">
        <f>VLOOKUP(J389,Organisation!$A$2:$E$499,4,FALSE)</f>
        <v>Academic</v>
      </c>
      <c r="M389" t="s">
        <v>824</v>
      </c>
      <c r="N389" t="s">
        <v>3733</v>
      </c>
      <c r="O389" t="s">
        <v>253</v>
      </c>
      <c r="P389" s="3" t="s">
        <v>4605</v>
      </c>
      <c r="Q389" t="s">
        <v>4606</v>
      </c>
      <c r="S389" s="1">
        <v>1</v>
      </c>
      <c r="T389" t="str">
        <f>"Update Collaborator Set Organisation = '"&amp;J389&amp;"' where User_ID = '"&amp;B389&amp;"'; "</f>
        <v xml:space="preserve">Update Collaborator Set Organisation = 'ETH Zurich' where User_ID = 'CU00388'; </v>
      </c>
      <c r="U389" t="str">
        <f>"Update dcollab.collab_user Set Pi = True where User_ID = '"&amp;A389&amp;"'; "</f>
        <v xml:space="preserve">Update dcollab.collab_user Set Pi = True where User_ID = 'CUSR00455'; </v>
      </c>
    </row>
    <row r="390" spans="1:21">
      <c r="A390" t="s">
        <v>10044</v>
      </c>
      <c r="B390" t="s">
        <v>1876</v>
      </c>
      <c r="C390" t="s">
        <v>10540</v>
      </c>
      <c r="D390" t="s">
        <v>1877</v>
      </c>
      <c r="E390" t="s">
        <v>60</v>
      </c>
      <c r="F390" t="s">
        <v>1878</v>
      </c>
      <c r="G390" t="s">
        <v>1879</v>
      </c>
      <c r="H390">
        <f t="shared" si="6"/>
        <v>1</v>
      </c>
      <c r="I390" t="s">
        <v>1880</v>
      </c>
      <c r="J390" t="s">
        <v>1881</v>
      </c>
      <c r="K390" t="str">
        <f>VLOOKUP(J390,Organisation!$A$2:$C$499,3,FALSE)</f>
        <v>CORG00066</v>
      </c>
      <c r="L390" t="str">
        <f>VLOOKUP(J390,Organisation!$A$2:$E$499,4,FALSE)</f>
        <v>Academic</v>
      </c>
      <c r="M390" t="s">
        <v>1882</v>
      </c>
      <c r="N390" t="s">
        <v>1883</v>
      </c>
      <c r="O390" t="s">
        <v>8808</v>
      </c>
      <c r="P390" s="3" t="s">
        <v>1884</v>
      </c>
      <c r="Q390" t="s">
        <v>1885</v>
      </c>
      <c r="S390" s="1">
        <v>0</v>
      </c>
      <c r="T390" t="str">
        <f>"Update Collaborator Set Organisation = '"&amp;J390&amp;"' where User_ID = '"&amp;B390&amp;"'; "</f>
        <v xml:space="preserve">Update Collaborator Set Organisation = 'Goshen College' where User_ID = 'CU00389'; </v>
      </c>
      <c r="U390" t="str">
        <f>"Update dcollab.collab_user Set Pi = True where User_ID = '"&amp;A390&amp;"'; "</f>
        <v xml:space="preserve">Update dcollab.collab_user Set Pi = True where User_ID = 'CUSR00456'; </v>
      </c>
    </row>
    <row r="391" spans="1:21">
      <c r="A391" t="s">
        <v>10045</v>
      </c>
      <c r="B391" t="s">
        <v>5204</v>
      </c>
      <c r="D391" t="s">
        <v>1908</v>
      </c>
      <c r="E391" t="s">
        <v>7</v>
      </c>
      <c r="F391" t="s">
        <v>1489</v>
      </c>
      <c r="G391" t="s">
        <v>5205</v>
      </c>
      <c r="H391">
        <f t="shared" si="6"/>
        <v>1</v>
      </c>
      <c r="I391" t="s">
        <v>152</v>
      </c>
      <c r="J391" t="s">
        <v>371</v>
      </c>
      <c r="K391" t="str">
        <f>VLOOKUP(J391,Organisation!$A$2:$C$499,3,FALSE)</f>
        <v>CORG00156</v>
      </c>
      <c r="L391" t="str">
        <f>VLOOKUP(J391,Organisation!$A$2:$E$499,4,FALSE)</f>
        <v>Academic</v>
      </c>
      <c r="M391" t="s">
        <v>1912</v>
      </c>
      <c r="N391" t="s">
        <v>1913</v>
      </c>
      <c r="O391" t="s">
        <v>14</v>
      </c>
      <c r="P391" s="3" t="s">
        <v>5206</v>
      </c>
      <c r="Q391" t="s">
        <v>5207</v>
      </c>
      <c r="S391" s="1">
        <v>1</v>
      </c>
      <c r="T391" t="str">
        <f>"Update Collaborator Set Organisation = '"&amp;J391&amp;"' where User_ID = '"&amp;B391&amp;"'; "</f>
        <v xml:space="preserve">Update Collaborator Set Organisation = 'Queensland University of Technology' where User_ID = 'CU00390'; </v>
      </c>
    </row>
    <row r="392" spans="1:21">
      <c r="A392" t="s">
        <v>10046</v>
      </c>
      <c r="B392" t="s">
        <v>1907</v>
      </c>
      <c r="C392" t="s">
        <v>10540</v>
      </c>
      <c r="D392" t="s">
        <v>1908</v>
      </c>
      <c r="E392" t="s">
        <v>216</v>
      </c>
      <c r="F392" t="s">
        <v>1909</v>
      </c>
      <c r="G392" t="s">
        <v>1910</v>
      </c>
      <c r="H392">
        <f t="shared" si="6"/>
        <v>1</v>
      </c>
      <c r="I392" t="s">
        <v>1911</v>
      </c>
      <c r="J392" t="s">
        <v>371</v>
      </c>
      <c r="K392" t="str">
        <f>VLOOKUP(J392,Organisation!$A$2:$C$499,3,FALSE)</f>
        <v>CORG00156</v>
      </c>
      <c r="L392" t="str">
        <f>VLOOKUP(J392,Organisation!$A$2:$E$499,4,FALSE)</f>
        <v>Academic</v>
      </c>
      <c r="M392" t="s">
        <v>1912</v>
      </c>
      <c r="N392" t="s">
        <v>1913</v>
      </c>
      <c r="O392" t="s">
        <v>14</v>
      </c>
      <c r="P392" s="3" t="s">
        <v>1914</v>
      </c>
      <c r="Q392" t="s">
        <v>1915</v>
      </c>
      <c r="S392" s="1">
        <v>1</v>
      </c>
      <c r="T392" t="str">
        <f>"Update Collaborator Set Organisation = '"&amp;J392&amp;"' where User_ID = '"&amp;B392&amp;"'; "</f>
        <v xml:space="preserve">Update Collaborator Set Organisation = 'Queensland University of Technology' where User_ID = 'CU00391'; </v>
      </c>
      <c r="U392" t="str">
        <f>"Update dcollab.collab_user Set Pi = True where User_ID = '"&amp;A392&amp;"'; "</f>
        <v xml:space="preserve">Update dcollab.collab_user Set Pi = True where User_ID = 'CUSR00458'; </v>
      </c>
    </row>
    <row r="393" spans="1:21">
      <c r="A393" t="s">
        <v>10047</v>
      </c>
      <c r="B393" t="s">
        <v>512</v>
      </c>
      <c r="C393" t="s">
        <v>10540</v>
      </c>
      <c r="D393" t="s">
        <v>513</v>
      </c>
      <c r="E393" t="s">
        <v>41</v>
      </c>
      <c r="F393" t="s">
        <v>514</v>
      </c>
      <c r="G393" t="s">
        <v>515</v>
      </c>
      <c r="H393">
        <f t="shared" si="6"/>
        <v>1</v>
      </c>
      <c r="I393" t="s">
        <v>516</v>
      </c>
      <c r="J393" t="s">
        <v>517</v>
      </c>
      <c r="K393" t="str">
        <f>VLOOKUP(J393,Organisation!$A$2:$C$499,3,FALSE)</f>
        <v>CORG00125</v>
      </c>
      <c r="L393" t="str">
        <f>VLOOKUP(J393,Organisation!$A$2:$E$499,4,FALSE)</f>
        <v>Academic</v>
      </c>
      <c r="O393" t="s">
        <v>14</v>
      </c>
      <c r="Q393" t="s">
        <v>518</v>
      </c>
      <c r="S393" s="1">
        <v>1</v>
      </c>
      <c r="T393" t="str">
        <f>"Update Collaborator Set Organisation = '"&amp;J393&amp;"' where User_ID = '"&amp;B393&amp;"'; "</f>
        <v xml:space="preserve">Update Collaborator Set Organisation = 'Monash University' where User_ID = 'CU00392'; </v>
      </c>
      <c r="U393" t="str">
        <f>"Update dcollab.collab_user Set Pi = True where User_ID = '"&amp;A393&amp;"'; "</f>
        <v xml:space="preserve">Update dcollab.collab_user Set Pi = True where User_ID = 'CUSR00459'; </v>
      </c>
    </row>
    <row r="394" spans="1:21">
      <c r="A394" t="s">
        <v>10048</v>
      </c>
      <c r="B394" t="s">
        <v>5388</v>
      </c>
      <c r="C394" t="s">
        <v>10540</v>
      </c>
      <c r="D394" t="s">
        <v>5389</v>
      </c>
      <c r="E394" t="s">
        <v>41</v>
      </c>
      <c r="F394" t="s">
        <v>217</v>
      </c>
      <c r="G394" t="s">
        <v>5385</v>
      </c>
      <c r="H394">
        <f t="shared" si="6"/>
        <v>2</v>
      </c>
      <c r="I394" t="s">
        <v>3750</v>
      </c>
      <c r="J394" t="s">
        <v>5390</v>
      </c>
      <c r="K394" t="str">
        <f>VLOOKUP(J394,Organisation!$A$2:$C$499,3,FALSE)</f>
        <v>CORG00278</v>
      </c>
      <c r="L394" t="str">
        <f>VLOOKUP(J394,Organisation!$A$2:$E$499,4,FALSE)</f>
        <v>Academic</v>
      </c>
      <c r="M394" t="s">
        <v>5391</v>
      </c>
      <c r="N394" t="s">
        <v>5392</v>
      </c>
      <c r="O394" t="s">
        <v>14</v>
      </c>
      <c r="P394" s="3" t="s">
        <v>5393</v>
      </c>
      <c r="Q394" t="s">
        <v>5394</v>
      </c>
      <c r="S394" s="1">
        <v>0</v>
      </c>
      <c r="T394" t="str">
        <f>"Update Collaborator Set Organisation = '"&amp;J394&amp;"' where User_ID = '"&amp;B394&amp;"'; "</f>
        <v xml:space="preserve">Update Collaborator Set Organisation = 'University of the Sunshine Coast' where User_ID = 'CU00393'; </v>
      </c>
      <c r="U394" t="str">
        <f>"Update dcollab.collab_user Set Pi = True where User_ID = '"&amp;A394&amp;"'; "</f>
        <v xml:space="preserve">Update dcollab.collab_user Set Pi = True where User_ID = 'CUSR00460'; </v>
      </c>
    </row>
    <row r="395" spans="1:21">
      <c r="A395" t="s">
        <v>10049</v>
      </c>
      <c r="B395" t="s">
        <v>3712</v>
      </c>
      <c r="C395" t="s">
        <v>10540</v>
      </c>
      <c r="D395" t="s">
        <v>613</v>
      </c>
      <c r="E395" t="s">
        <v>41</v>
      </c>
      <c r="F395" t="s">
        <v>2561</v>
      </c>
      <c r="G395" t="s">
        <v>3713</v>
      </c>
      <c r="H395">
        <f t="shared" si="6"/>
        <v>1</v>
      </c>
      <c r="I395" t="s">
        <v>71</v>
      </c>
      <c r="J395" t="s">
        <v>616</v>
      </c>
      <c r="K395" t="str">
        <f>VLOOKUP(J395,Organisation!$A$2:$C$499,3,FALSE)</f>
        <v>CORG00102</v>
      </c>
      <c r="L395" t="str">
        <f>VLOOKUP(J395,Organisation!$A$2:$E$499,4,FALSE)</f>
        <v>Academic</v>
      </c>
      <c r="M395" t="s">
        <v>617</v>
      </c>
      <c r="N395" t="s">
        <v>618</v>
      </c>
      <c r="O395" t="s">
        <v>14</v>
      </c>
      <c r="P395" s="3" t="s">
        <v>3714</v>
      </c>
      <c r="Q395" t="s">
        <v>3715</v>
      </c>
      <c r="S395" s="1">
        <v>1</v>
      </c>
      <c r="T395" t="str">
        <f>"Update Collaborator Set Organisation = '"&amp;J395&amp;"' where User_ID = '"&amp;B395&amp;"'; "</f>
        <v xml:space="preserve">Update Collaborator Set Organisation = 'La Trobe University' where User_ID = 'CU00394'; </v>
      </c>
      <c r="U395" t="str">
        <f>"Update dcollab.collab_user Set Pi = True where User_ID = '"&amp;A395&amp;"'; "</f>
        <v xml:space="preserve">Update dcollab.collab_user Set Pi = True where User_ID = 'CUSR00461'; </v>
      </c>
    </row>
    <row r="396" spans="1:21">
      <c r="A396" t="s">
        <v>10050</v>
      </c>
      <c r="B396" t="s">
        <v>612</v>
      </c>
      <c r="D396" t="s">
        <v>613</v>
      </c>
      <c r="E396" t="s">
        <v>60</v>
      </c>
      <c r="F396" t="s">
        <v>167</v>
      </c>
      <c r="G396" t="s">
        <v>614</v>
      </c>
      <c r="H396">
        <f t="shared" si="6"/>
        <v>1</v>
      </c>
      <c r="I396" t="s">
        <v>615</v>
      </c>
      <c r="J396" t="s">
        <v>616</v>
      </c>
      <c r="K396" t="str">
        <f>VLOOKUP(J396,Organisation!$A$2:$C$499,3,FALSE)</f>
        <v>CORG00102</v>
      </c>
      <c r="L396" t="str">
        <f>VLOOKUP(J396,Organisation!$A$2:$E$499,4,FALSE)</f>
        <v>Academic</v>
      </c>
      <c r="M396" t="s">
        <v>617</v>
      </c>
      <c r="N396" t="s">
        <v>618</v>
      </c>
      <c r="O396" t="s">
        <v>14</v>
      </c>
      <c r="P396" s="3" t="s">
        <v>619</v>
      </c>
      <c r="Q396" t="s">
        <v>620</v>
      </c>
      <c r="S396" s="1">
        <v>1</v>
      </c>
      <c r="T396" t="str">
        <f>"Update Collaborator Set Organisation = '"&amp;J396&amp;"' where User_ID = '"&amp;B396&amp;"'; "</f>
        <v xml:space="preserve">Update Collaborator Set Organisation = 'La Trobe University' where User_ID = 'CU00395'; </v>
      </c>
    </row>
    <row r="397" spans="1:21">
      <c r="A397" t="s">
        <v>10052</v>
      </c>
      <c r="B397" t="s">
        <v>2619</v>
      </c>
      <c r="D397" t="s">
        <v>1856</v>
      </c>
      <c r="E397" t="s">
        <v>60</v>
      </c>
      <c r="F397" t="s">
        <v>2620</v>
      </c>
      <c r="G397" t="s">
        <v>2621</v>
      </c>
      <c r="H397">
        <f t="shared" si="6"/>
        <v>1</v>
      </c>
      <c r="I397" t="s">
        <v>33</v>
      </c>
      <c r="J397" t="s">
        <v>160</v>
      </c>
      <c r="K397" t="str">
        <f>VLOOKUP(J397,Organisation!$A$2:$C$499,3,FALSE)</f>
        <v>CORG00006</v>
      </c>
      <c r="L397" t="str">
        <f>VLOOKUP(J397,Organisation!$A$2:$E$499,4,FALSE)</f>
        <v>Academic</v>
      </c>
      <c r="M397" t="s">
        <v>2622</v>
      </c>
      <c r="N397" t="s">
        <v>2623</v>
      </c>
      <c r="O397" t="s">
        <v>55</v>
      </c>
      <c r="P397" s="3" t="s">
        <v>2624</v>
      </c>
      <c r="Q397" t="s">
        <v>2625</v>
      </c>
      <c r="S397" s="1">
        <v>1</v>
      </c>
      <c r="T397" t="str">
        <f>"Update Collaborator Set Organisation = '"&amp;J397&amp;"' where User_ID = '"&amp;B397&amp;"'; "</f>
        <v xml:space="preserve">Update Collaborator Set Organisation = 'Al-Azhar University' where User_ID = 'CU00396'; </v>
      </c>
    </row>
    <row r="398" spans="1:21">
      <c r="A398" t="s">
        <v>10054</v>
      </c>
      <c r="B398" t="s">
        <v>2785</v>
      </c>
      <c r="D398" t="s">
        <v>2786</v>
      </c>
      <c r="E398" t="s">
        <v>7</v>
      </c>
      <c r="F398" t="s">
        <v>2787</v>
      </c>
      <c r="G398" t="s">
        <v>2788</v>
      </c>
      <c r="H398">
        <f t="shared" si="6"/>
        <v>1</v>
      </c>
      <c r="I398" t="s">
        <v>152</v>
      </c>
      <c r="J398" t="s">
        <v>362</v>
      </c>
      <c r="K398" t="str">
        <f>VLOOKUP(J398,Organisation!$A$2:$C$499,3,FALSE)</f>
        <v>CORG00001</v>
      </c>
      <c r="L398" t="str">
        <f>VLOOKUP(J398,Organisation!$A$2:$E$499,4,FALSE)</f>
        <v>Academic</v>
      </c>
      <c r="M398" t="s">
        <v>8824</v>
      </c>
      <c r="N398" t="s">
        <v>2790</v>
      </c>
      <c r="O398" t="s">
        <v>14</v>
      </c>
      <c r="P398" s="3" t="s">
        <v>2791</v>
      </c>
      <c r="Q398" t="s">
        <v>2792</v>
      </c>
      <c r="S398" s="1">
        <v>1</v>
      </c>
      <c r="T398" t="str">
        <f>"Update Collaborator Set Organisation = '"&amp;J398&amp;"' where User_ID = '"&amp;B398&amp;"'; "</f>
        <v xml:space="preserve">Update Collaborator Set Organisation = 'University of Queensland' where User_ID = 'CU00397'; </v>
      </c>
    </row>
    <row r="399" spans="1:21">
      <c r="A399" t="s">
        <v>10055</v>
      </c>
      <c r="B399" t="s">
        <v>3580</v>
      </c>
      <c r="C399" t="s">
        <v>10540</v>
      </c>
      <c r="D399" t="s">
        <v>2786</v>
      </c>
      <c r="E399" t="s">
        <v>60</v>
      </c>
      <c r="F399" t="s">
        <v>3581</v>
      </c>
      <c r="G399" t="s">
        <v>3582</v>
      </c>
      <c r="H399">
        <f t="shared" si="6"/>
        <v>1</v>
      </c>
      <c r="I399" t="s">
        <v>82</v>
      </c>
      <c r="J399" t="s">
        <v>362</v>
      </c>
      <c r="K399" t="str">
        <f>VLOOKUP(J399,Organisation!$A$2:$C$499,3,FALSE)</f>
        <v>CORG00001</v>
      </c>
      <c r="L399" t="str">
        <f>VLOOKUP(J399,Organisation!$A$2:$E$499,4,FALSE)</f>
        <v>Academic</v>
      </c>
      <c r="M399" t="s">
        <v>8824</v>
      </c>
      <c r="N399" t="s">
        <v>2790</v>
      </c>
      <c r="O399" t="s">
        <v>14</v>
      </c>
      <c r="P399" s="3" t="s">
        <v>3583</v>
      </c>
      <c r="Q399" t="s">
        <v>3584</v>
      </c>
      <c r="S399" s="1">
        <v>1</v>
      </c>
      <c r="T399" t="str">
        <f>"Update Collaborator Set Organisation = '"&amp;J399&amp;"' where User_ID = '"&amp;B399&amp;"'; "</f>
        <v xml:space="preserve">Update Collaborator Set Organisation = 'University of Queensland' where User_ID = 'CU00398'; </v>
      </c>
      <c r="U399" t="str">
        <f>"Update dcollab.collab_user Set Pi = True where User_ID = '"&amp;A399&amp;"'; "</f>
        <v xml:space="preserve">Update dcollab.collab_user Set Pi = True where User_ID = 'CUSR00467'; </v>
      </c>
    </row>
    <row r="400" spans="1:21">
      <c r="A400" t="s">
        <v>10056</v>
      </c>
      <c r="B400" t="s">
        <v>3742</v>
      </c>
      <c r="D400" t="s">
        <v>2187</v>
      </c>
      <c r="E400" t="s">
        <v>7</v>
      </c>
      <c r="F400" t="s">
        <v>3743</v>
      </c>
      <c r="G400" t="s">
        <v>3744</v>
      </c>
      <c r="H400">
        <f t="shared" si="6"/>
        <v>1</v>
      </c>
      <c r="I400" t="s">
        <v>3745</v>
      </c>
      <c r="J400" t="s">
        <v>2189</v>
      </c>
      <c r="K400" t="str">
        <f>VLOOKUP(J400,Organisation!$A$2:$C$499,3,FALSE)</f>
        <v>CORG00107</v>
      </c>
      <c r="L400" t="str">
        <f>VLOOKUP(J400,Organisation!$A$2:$E$499,4,FALSE)</f>
        <v>Academic</v>
      </c>
      <c r="M400" t="s">
        <v>73</v>
      </c>
      <c r="N400" t="s">
        <v>2190</v>
      </c>
      <c r="O400" t="s">
        <v>211</v>
      </c>
      <c r="P400" s="3" t="s">
        <v>3746</v>
      </c>
      <c r="Q400" t="s">
        <v>3747</v>
      </c>
      <c r="S400" s="1">
        <v>1</v>
      </c>
      <c r="T400" t="str">
        <f>"Update Collaborator Set Organisation = '"&amp;J400&amp;"' where User_ID = '"&amp;B400&amp;"'; "</f>
        <v xml:space="preserve">Update Collaborator Set Organisation = 'Maharaja Krishnakumarsinhji Bhavnagar University' where User_ID = 'CU00399'; </v>
      </c>
    </row>
    <row r="401" spans="1:21">
      <c r="A401" t="s">
        <v>10057</v>
      </c>
      <c r="B401" t="s">
        <v>2186</v>
      </c>
      <c r="C401" t="s">
        <v>10540</v>
      </c>
      <c r="D401" t="s">
        <v>2187</v>
      </c>
      <c r="E401" t="s">
        <v>60</v>
      </c>
      <c r="F401" t="s">
        <v>1583</v>
      </c>
      <c r="G401" t="s">
        <v>2188</v>
      </c>
      <c r="H401">
        <f t="shared" si="6"/>
        <v>1</v>
      </c>
      <c r="I401" t="s">
        <v>71</v>
      </c>
      <c r="J401" t="s">
        <v>2189</v>
      </c>
      <c r="K401" t="str">
        <f>VLOOKUP(J401,Organisation!$A$2:$C$499,3,FALSE)</f>
        <v>CORG00107</v>
      </c>
      <c r="L401" t="str">
        <f>VLOOKUP(J401,Organisation!$A$2:$E$499,4,FALSE)</f>
        <v>Academic</v>
      </c>
      <c r="M401" t="s">
        <v>73</v>
      </c>
      <c r="N401" t="s">
        <v>2190</v>
      </c>
      <c r="O401" t="s">
        <v>211</v>
      </c>
      <c r="P401" s="3" t="s">
        <v>2191</v>
      </c>
      <c r="Q401" t="s">
        <v>2192</v>
      </c>
      <c r="S401" s="1">
        <v>1</v>
      </c>
      <c r="T401" t="str">
        <f>"Update Collaborator Set Organisation = '"&amp;J401&amp;"' where User_ID = '"&amp;B401&amp;"'; "</f>
        <v xml:space="preserve">Update Collaborator Set Organisation = 'Maharaja Krishnakumarsinhji Bhavnagar University' where User_ID = 'CU00400'; </v>
      </c>
      <c r="U401" t="str">
        <f>"Update dcollab.collab_user Set Pi = True where User_ID = '"&amp;A401&amp;"'; "</f>
        <v xml:space="preserve">Update dcollab.collab_user Set Pi = True where User_ID = 'CUSR00469'; </v>
      </c>
    </row>
    <row r="402" spans="1:21">
      <c r="A402" t="s">
        <v>9634</v>
      </c>
      <c r="B402" t="s">
        <v>3360</v>
      </c>
      <c r="D402" t="s">
        <v>2194</v>
      </c>
      <c r="E402" t="s">
        <v>7</v>
      </c>
      <c r="F402" t="s">
        <v>1567</v>
      </c>
      <c r="G402" t="s">
        <v>3361</v>
      </c>
      <c r="H402">
        <f t="shared" si="6"/>
        <v>1</v>
      </c>
      <c r="I402" t="s">
        <v>343</v>
      </c>
      <c r="J402" t="s">
        <v>362</v>
      </c>
      <c r="K402" t="str">
        <f>VLOOKUP(J402,Organisation!$A$2:$C$499,3,FALSE)</f>
        <v>CORG00001</v>
      </c>
      <c r="L402" t="str">
        <f>VLOOKUP(J402,Organisation!$A$2:$E$499,4,FALSE)</f>
        <v>Academic</v>
      </c>
      <c r="M402" t="s">
        <v>416</v>
      </c>
      <c r="N402" t="s">
        <v>3362</v>
      </c>
      <c r="O402" t="s">
        <v>14</v>
      </c>
      <c r="P402" s="3" t="s">
        <v>3363</v>
      </c>
      <c r="Q402" t="s">
        <v>3364</v>
      </c>
      <c r="S402" s="1">
        <v>0</v>
      </c>
      <c r="T402" t="str">
        <f>"Update Collaborator Set Organisation = '"&amp;J402&amp;"' where User_ID = '"&amp;B402&amp;"'; "</f>
        <v xml:space="preserve">Update Collaborator Set Organisation = 'University of Queensland' where User_ID = 'CU00401'; </v>
      </c>
    </row>
    <row r="403" spans="1:21">
      <c r="A403" t="s">
        <v>10058</v>
      </c>
      <c r="B403" t="s">
        <v>2610</v>
      </c>
      <c r="D403" t="s">
        <v>2611</v>
      </c>
      <c r="E403" t="s">
        <v>7</v>
      </c>
      <c r="F403" t="s">
        <v>2612</v>
      </c>
      <c r="G403" t="s">
        <v>2613</v>
      </c>
      <c r="H403">
        <f t="shared" si="6"/>
        <v>1</v>
      </c>
      <c r="I403" t="s">
        <v>207</v>
      </c>
      <c r="J403" t="s">
        <v>2614</v>
      </c>
      <c r="K403" t="str">
        <f>VLOOKUP(J403,Organisation!$A$2:$C$499,3,FALSE)</f>
        <v>CORG00046</v>
      </c>
      <c r="L403" t="str">
        <f>VLOOKUP(J403,Organisation!$A$2:$E$499,4,FALSE)</f>
        <v>Academic</v>
      </c>
      <c r="M403" t="s">
        <v>2615</v>
      </c>
      <c r="N403" t="s">
        <v>2616</v>
      </c>
      <c r="O403" t="s">
        <v>748</v>
      </c>
      <c r="P403" s="3" t="s">
        <v>2617</v>
      </c>
      <c r="Q403" t="s">
        <v>2618</v>
      </c>
      <c r="S403" s="1">
        <v>1</v>
      </c>
      <c r="T403" t="str">
        <f>"Update Collaborator Set Organisation = '"&amp;J403&amp;"' where User_ID = '"&amp;B403&amp;"'; "</f>
        <v xml:space="preserve">Update Collaborator Set Organisation = 'Dalain University of Technology' where User_ID = 'CU00402'; </v>
      </c>
    </row>
    <row r="404" spans="1:21">
      <c r="A404" t="s">
        <v>10059</v>
      </c>
      <c r="B404" t="s">
        <v>3227</v>
      </c>
      <c r="C404" t="s">
        <v>10540</v>
      </c>
      <c r="D404" t="s">
        <v>2611</v>
      </c>
      <c r="E404" t="s">
        <v>216</v>
      </c>
      <c r="F404" t="s">
        <v>3228</v>
      </c>
      <c r="G404" t="s">
        <v>3229</v>
      </c>
      <c r="H404">
        <f t="shared" si="6"/>
        <v>3</v>
      </c>
      <c r="I404" t="s">
        <v>1204</v>
      </c>
      <c r="J404" t="s">
        <v>2614</v>
      </c>
      <c r="K404" t="str">
        <f>VLOOKUP(J404,Organisation!$A$2:$C$499,3,FALSE)</f>
        <v>CORG00046</v>
      </c>
      <c r="L404" t="str">
        <f>VLOOKUP(J404,Organisation!$A$2:$E$499,4,FALSE)</f>
        <v>Academic</v>
      </c>
      <c r="M404" t="s">
        <v>2615</v>
      </c>
      <c r="N404" t="s">
        <v>2616</v>
      </c>
      <c r="O404" t="s">
        <v>748</v>
      </c>
      <c r="P404" s="3" t="s">
        <v>3230</v>
      </c>
      <c r="Q404" t="s">
        <v>3231</v>
      </c>
      <c r="S404" s="1">
        <v>1</v>
      </c>
      <c r="T404" t="str">
        <f>"Update Collaborator Set Organisation = '"&amp;J404&amp;"' where User_ID = '"&amp;B404&amp;"'; "</f>
        <v xml:space="preserve">Update Collaborator Set Organisation = 'Dalain University of Technology' where User_ID = 'CU00403'; </v>
      </c>
      <c r="U404" t="str">
        <f>"Update dcollab.collab_user Set Pi = True where User_ID = '"&amp;A404&amp;"'; "</f>
        <v xml:space="preserve">Update dcollab.collab_user Set Pi = True where User_ID = 'CUSR00471'; </v>
      </c>
    </row>
    <row r="405" spans="1:21">
      <c r="A405" t="s">
        <v>9810</v>
      </c>
      <c r="B405" t="s">
        <v>2750</v>
      </c>
      <c r="D405" t="s">
        <v>968</v>
      </c>
      <c r="E405" t="s">
        <v>60</v>
      </c>
      <c r="F405" t="s">
        <v>2751</v>
      </c>
      <c r="G405" t="s">
        <v>2752</v>
      </c>
      <c r="H405">
        <f t="shared" si="6"/>
        <v>1</v>
      </c>
      <c r="I405" t="s">
        <v>2753</v>
      </c>
      <c r="J405" t="s">
        <v>8764</v>
      </c>
      <c r="K405" t="str">
        <f>VLOOKUP(J405,Organisation!$A$2:$C$499,3,FALSE)</f>
        <v>CORG00095</v>
      </c>
      <c r="L405" t="str">
        <f>VLOOKUP(J405,Organisation!$A$2:$E$499,4,FALSE)</f>
        <v>Academic</v>
      </c>
      <c r="M405" t="s">
        <v>899</v>
      </c>
      <c r="N405" t="s">
        <v>2754</v>
      </c>
      <c r="O405" t="s">
        <v>557</v>
      </c>
      <c r="P405" s="3" t="s">
        <v>1527</v>
      </c>
      <c r="Q405" t="s">
        <v>2755</v>
      </c>
      <c r="S405" s="1">
        <v>1</v>
      </c>
      <c r="T405" t="str">
        <f>"Update Collaborator Set Organisation = '"&amp;J405&amp;"' where User_ID = '"&amp;B405&amp;"'; "</f>
        <v xml:space="preserve">Update Collaborator Set Organisation = 'Karlsruhe Institute of Technology' where User_ID = 'CU00404'; </v>
      </c>
    </row>
    <row r="406" spans="1:21">
      <c r="A406" t="s">
        <v>10060</v>
      </c>
      <c r="B406" t="s">
        <v>3890</v>
      </c>
      <c r="C406" t="s">
        <v>10540</v>
      </c>
      <c r="D406" t="s">
        <v>3326</v>
      </c>
      <c r="E406" t="s">
        <v>60</v>
      </c>
      <c r="F406" t="s">
        <v>1848</v>
      </c>
      <c r="G406" t="s">
        <v>3891</v>
      </c>
      <c r="H406">
        <f t="shared" si="6"/>
        <v>1</v>
      </c>
      <c r="I406" t="s">
        <v>33</v>
      </c>
      <c r="J406" t="s">
        <v>1234</v>
      </c>
      <c r="K406" t="str">
        <f>VLOOKUP(J406,Organisation!$A$2:$C$499,3,FALSE)</f>
        <v>CORG00209</v>
      </c>
      <c r="L406" t="str">
        <f>VLOOKUP(J406,Organisation!$A$2:$E$499,4,FALSE)</f>
        <v>Academic</v>
      </c>
      <c r="M406" t="s">
        <v>73</v>
      </c>
      <c r="N406" t="s">
        <v>3892</v>
      </c>
      <c r="O406" t="s">
        <v>1235</v>
      </c>
      <c r="P406" s="3" t="s">
        <v>3893</v>
      </c>
      <c r="Q406" t="s">
        <v>3894</v>
      </c>
      <c r="S406" s="1">
        <v>1</v>
      </c>
      <c r="T406" t="str">
        <f>"Update Collaborator Set Organisation = '"&amp;J406&amp;"' where User_ID = '"&amp;B406&amp;"'; "</f>
        <v xml:space="preserve">Update Collaborator Set Organisation = 'University College Cork' where User_ID = 'CU00405'; </v>
      </c>
      <c r="U406" t="str">
        <f>"Update dcollab.collab_user Set Pi = True where User_ID = '"&amp;A406&amp;"'; "</f>
        <v xml:space="preserve">Update dcollab.collab_user Set Pi = True where User_ID = 'CUSR00472'; </v>
      </c>
    </row>
    <row r="407" spans="1:21">
      <c r="A407" t="s">
        <v>9607</v>
      </c>
      <c r="B407" t="s">
        <v>807</v>
      </c>
      <c r="C407" t="s">
        <v>10540</v>
      </c>
      <c r="D407" t="s">
        <v>448</v>
      </c>
      <c r="E407" t="s">
        <v>41</v>
      </c>
      <c r="F407" t="s">
        <v>368</v>
      </c>
      <c r="G407" t="s">
        <v>808</v>
      </c>
      <c r="H407">
        <f t="shared" si="6"/>
        <v>1</v>
      </c>
      <c r="I407" t="s">
        <v>516</v>
      </c>
      <c r="J407" t="s">
        <v>362</v>
      </c>
      <c r="K407" t="str">
        <f>VLOOKUP(J407,Organisation!$A$2:$C$499,3,FALSE)</f>
        <v>CORG00001</v>
      </c>
      <c r="L407" t="str">
        <f>VLOOKUP(J407,Organisation!$A$2:$E$499,4,FALSE)</f>
        <v>Academic</v>
      </c>
      <c r="M407" t="s">
        <v>416</v>
      </c>
      <c r="N407" t="s">
        <v>451</v>
      </c>
      <c r="O407" t="s">
        <v>14</v>
      </c>
      <c r="P407" s="3" t="s">
        <v>809</v>
      </c>
      <c r="Q407" t="s">
        <v>810</v>
      </c>
      <c r="S407" s="1">
        <v>1</v>
      </c>
      <c r="T407" t="str">
        <f>"Update Collaborator Set Organisation = '"&amp;J407&amp;"' where User_ID = '"&amp;B407&amp;"'; "</f>
        <v xml:space="preserve">Update Collaborator Set Organisation = 'University of Queensland' where User_ID = 'CU00406'; </v>
      </c>
      <c r="U407" t="str">
        <f>"Update dcollab.collab_user Set Pi = True where User_ID = '"&amp;A407&amp;"'; "</f>
        <v xml:space="preserve">Update dcollab.collab_user Set Pi = True where User_ID = 'CUSR00017'; </v>
      </c>
    </row>
    <row r="408" spans="1:21">
      <c r="A408" t="s">
        <v>10063</v>
      </c>
      <c r="B408" t="s">
        <v>4319</v>
      </c>
      <c r="D408" t="s">
        <v>420</v>
      </c>
      <c r="E408" t="s">
        <v>60</v>
      </c>
      <c r="F408" t="s">
        <v>4320</v>
      </c>
      <c r="G408" t="s">
        <v>4321</v>
      </c>
      <c r="H408">
        <f t="shared" si="6"/>
        <v>1</v>
      </c>
      <c r="I408" t="s">
        <v>4322</v>
      </c>
      <c r="J408" t="s">
        <v>424</v>
      </c>
      <c r="K408" t="str">
        <f>VLOOKUP(J408,Organisation!$A$2:$C$499,3,FALSE)</f>
        <v>CORG00086</v>
      </c>
      <c r="L408" t="str">
        <f>VLOOKUP(J408,Organisation!$A$2:$E$499,4,FALSE)</f>
        <v>Academic</v>
      </c>
      <c r="M408" t="s">
        <v>425</v>
      </c>
      <c r="N408" t="s">
        <v>426</v>
      </c>
      <c r="O408" t="s">
        <v>427</v>
      </c>
      <c r="P408" s="3" t="s">
        <v>428</v>
      </c>
      <c r="Q408" t="s">
        <v>4323</v>
      </c>
      <c r="S408" s="1">
        <v>1</v>
      </c>
      <c r="T408" t="str">
        <f>"Update Collaborator Set Organisation = '"&amp;J408&amp;"' where User_ID = '"&amp;B408&amp;"'; "</f>
        <v xml:space="preserve">Update Collaborator Set Organisation = 'Institute of Pharmacology and Toxicology of Ukraine' where User_ID = 'CU00407'; </v>
      </c>
    </row>
    <row r="409" spans="1:21">
      <c r="A409" t="s">
        <v>10064</v>
      </c>
      <c r="B409" t="s">
        <v>419</v>
      </c>
      <c r="C409" t="s">
        <v>10540</v>
      </c>
      <c r="D409" t="s">
        <v>420</v>
      </c>
      <c r="E409" t="s">
        <v>41</v>
      </c>
      <c r="F409" t="s">
        <v>421</v>
      </c>
      <c r="G409" t="s">
        <v>422</v>
      </c>
      <c r="H409">
        <f t="shared" si="6"/>
        <v>1</v>
      </c>
      <c r="I409" t="s">
        <v>423</v>
      </c>
      <c r="J409" t="s">
        <v>424</v>
      </c>
      <c r="K409" t="str">
        <f>VLOOKUP(J409,Organisation!$A$2:$C$499,3,FALSE)</f>
        <v>CORG00086</v>
      </c>
      <c r="L409" t="str">
        <f>VLOOKUP(J409,Organisation!$A$2:$E$499,4,FALSE)</f>
        <v>Academic</v>
      </c>
      <c r="M409" t="s">
        <v>425</v>
      </c>
      <c r="N409" t="s">
        <v>426</v>
      </c>
      <c r="O409" t="s">
        <v>427</v>
      </c>
      <c r="P409" s="3" t="s">
        <v>428</v>
      </c>
      <c r="Q409" t="s">
        <v>429</v>
      </c>
      <c r="S409" s="1">
        <v>1</v>
      </c>
      <c r="T409" t="str">
        <f>"Update Collaborator Set Organisation = '"&amp;J409&amp;"' where User_ID = '"&amp;B409&amp;"'; "</f>
        <v xml:space="preserve">Update Collaborator Set Organisation = 'Institute of Pharmacology and Toxicology of Ukraine' where User_ID = 'CU00408'; </v>
      </c>
      <c r="U409" t="str">
        <f>"Update dcollab.collab_user Set Pi = True where User_ID = '"&amp;A409&amp;"'; "</f>
        <v xml:space="preserve">Update dcollab.collab_user Set Pi = True where User_ID = 'CUSR00476'; </v>
      </c>
    </row>
    <row r="410" spans="1:21">
      <c r="A410" t="s">
        <v>10065</v>
      </c>
      <c r="B410" t="s">
        <v>3767</v>
      </c>
      <c r="D410" t="s">
        <v>263</v>
      </c>
      <c r="E410" t="s">
        <v>60</v>
      </c>
      <c r="F410" t="s">
        <v>3768</v>
      </c>
      <c r="G410" t="s">
        <v>3769</v>
      </c>
      <c r="H410">
        <f t="shared" si="6"/>
        <v>1</v>
      </c>
      <c r="I410" t="s">
        <v>415</v>
      </c>
      <c r="J410" t="s">
        <v>267</v>
      </c>
      <c r="K410" t="str">
        <f>VLOOKUP(J410,Organisation!$A$2:$C$499,3,FALSE)</f>
        <v>CORG00220</v>
      </c>
      <c r="L410" t="str">
        <f>VLOOKUP(J410,Organisation!$A$2:$E$499,4,FALSE)</f>
        <v>Academic</v>
      </c>
      <c r="M410" t="s">
        <v>170</v>
      </c>
      <c r="N410" t="s">
        <v>268</v>
      </c>
      <c r="O410" t="s">
        <v>269</v>
      </c>
      <c r="P410" s="3" t="s">
        <v>3770</v>
      </c>
      <c r="Q410" t="s">
        <v>3771</v>
      </c>
      <c r="S410" s="1">
        <v>1</v>
      </c>
      <c r="T410" t="str">
        <f>"Update Collaborator Set Organisation = '"&amp;J410&amp;"' where User_ID = '"&amp;B410&amp;"'; "</f>
        <v xml:space="preserve">Update Collaborator Set Organisation = 'University of Bristol' where User_ID = 'CU00409'; </v>
      </c>
    </row>
    <row r="411" spans="1:21">
      <c r="A411" t="s">
        <v>10066</v>
      </c>
      <c r="B411" t="s">
        <v>262</v>
      </c>
      <c r="C411" t="s">
        <v>10540</v>
      </c>
      <c r="D411" t="s">
        <v>263</v>
      </c>
      <c r="E411" t="s">
        <v>41</v>
      </c>
      <c r="F411" t="s">
        <v>264</v>
      </c>
      <c r="G411" t="s">
        <v>265</v>
      </c>
      <c r="H411">
        <f t="shared" si="6"/>
        <v>1</v>
      </c>
      <c r="I411" t="s">
        <v>266</v>
      </c>
      <c r="J411" t="s">
        <v>267</v>
      </c>
      <c r="K411" t="str">
        <f>VLOOKUP(J411,Organisation!$A$2:$C$499,3,FALSE)</f>
        <v>CORG00220</v>
      </c>
      <c r="L411" t="str">
        <f>VLOOKUP(J411,Organisation!$A$2:$E$499,4,FALSE)</f>
        <v>Academic</v>
      </c>
      <c r="M411" t="s">
        <v>170</v>
      </c>
      <c r="N411" t="s">
        <v>268</v>
      </c>
      <c r="O411" t="s">
        <v>269</v>
      </c>
      <c r="P411" s="3" t="s">
        <v>270</v>
      </c>
      <c r="Q411" t="s">
        <v>271</v>
      </c>
      <c r="S411" s="1">
        <v>1</v>
      </c>
      <c r="T411" t="str">
        <f>"Update Collaborator Set Organisation = '"&amp;J411&amp;"' where User_ID = '"&amp;B411&amp;"'; "</f>
        <v xml:space="preserve">Update Collaborator Set Organisation = 'University of Bristol' where User_ID = 'CU00410'; </v>
      </c>
      <c r="U411" t="str">
        <f>"Update dcollab.collab_user Set Pi = True where User_ID = '"&amp;A411&amp;"'; "</f>
        <v xml:space="preserve">Update dcollab.collab_user Set Pi = True where User_ID = 'CUSR00478'; </v>
      </c>
    </row>
    <row r="412" spans="1:21">
      <c r="A412" t="s">
        <v>10067</v>
      </c>
      <c r="B412" t="s">
        <v>3651</v>
      </c>
      <c r="C412" t="s">
        <v>10540</v>
      </c>
      <c r="D412" t="s">
        <v>3040</v>
      </c>
      <c r="E412" t="s">
        <v>41</v>
      </c>
      <c r="F412" t="s">
        <v>3652</v>
      </c>
      <c r="G412" t="s">
        <v>3653</v>
      </c>
      <c r="H412">
        <f t="shared" si="6"/>
        <v>1</v>
      </c>
      <c r="I412" t="s">
        <v>71</v>
      </c>
      <c r="J412" t="s">
        <v>3654</v>
      </c>
      <c r="K412" t="str">
        <f>VLOOKUP(J412,Organisation!$A$2:$C$499,3,FALSE)</f>
        <v>CORG00017</v>
      </c>
      <c r="L412" t="str">
        <f>VLOOKUP(J412,Organisation!$A$2:$E$499,4,FALSE)</f>
        <v>Academic</v>
      </c>
      <c r="M412" t="s">
        <v>3655</v>
      </c>
      <c r="N412" t="s">
        <v>3656</v>
      </c>
      <c r="O412" t="s">
        <v>557</v>
      </c>
      <c r="P412" s="3" t="s">
        <v>3657</v>
      </c>
      <c r="Q412" t="s">
        <v>3658</v>
      </c>
      <c r="S412" s="1">
        <v>1</v>
      </c>
      <c r="T412" t="str">
        <f>"Update Collaborator Set Organisation = '"&amp;J412&amp;"' where User_ID = '"&amp;B412&amp;"'; "</f>
        <v xml:space="preserve">Update Collaborator Set Organisation = 'Bergische Universität Wuppertal' where User_ID = 'CU00411'; </v>
      </c>
      <c r="U412" t="str">
        <f>"Update dcollab.collab_user Set Pi = True where User_ID = '"&amp;A412&amp;"'; "</f>
        <v xml:space="preserve">Update dcollab.collab_user Set Pi = True where User_ID = 'CUSR00479'; </v>
      </c>
    </row>
    <row r="413" spans="1:21">
      <c r="A413" t="s">
        <v>10069</v>
      </c>
      <c r="B413" t="s">
        <v>3435</v>
      </c>
      <c r="C413" t="s">
        <v>10540</v>
      </c>
      <c r="D413" t="s">
        <v>3436</v>
      </c>
      <c r="E413" t="s">
        <v>18</v>
      </c>
      <c r="F413" t="s">
        <v>19</v>
      </c>
      <c r="G413" t="s">
        <v>3437</v>
      </c>
      <c r="H413">
        <f t="shared" si="6"/>
        <v>1</v>
      </c>
      <c r="I413" t="s">
        <v>3438</v>
      </c>
      <c r="J413" t="s">
        <v>3439</v>
      </c>
      <c r="K413" t="str">
        <f>VLOOKUP(J413,Organisation!$A$2:$C$499,3,FALSE)</f>
        <v>CORG00309</v>
      </c>
      <c r="L413" t="str">
        <f>VLOOKUP(J413,Organisation!$A$2:$E$499,4,FALSE)</f>
        <v>Academic</v>
      </c>
      <c r="M413" t="s">
        <v>73</v>
      </c>
      <c r="N413" t="s">
        <v>3440</v>
      </c>
      <c r="O413" t="s">
        <v>557</v>
      </c>
      <c r="P413" s="3" t="s">
        <v>3441</v>
      </c>
      <c r="Q413" t="s">
        <v>3442</v>
      </c>
      <c r="S413" s="1">
        <v>1</v>
      </c>
      <c r="T413" t="str">
        <f>"Update Collaborator Set Organisation = '"&amp;J413&amp;"' where User_ID = '"&amp;B413&amp;"'; "</f>
        <v xml:space="preserve">Update Collaborator Set Organisation = 'Würzburg University' where User_ID = 'CU00412'; </v>
      </c>
      <c r="U413" t="str">
        <f>"Update dcollab.collab_user Set Pi = True where User_ID = '"&amp;A413&amp;"'; "</f>
        <v xml:space="preserve">Update dcollab.collab_user Set Pi = True where User_ID = 'CUSR00481'; </v>
      </c>
    </row>
    <row r="414" spans="1:21">
      <c r="A414" t="s">
        <v>10070</v>
      </c>
      <c r="B414" t="s">
        <v>5370</v>
      </c>
      <c r="C414" t="s">
        <v>10540</v>
      </c>
      <c r="D414" t="s">
        <v>5371</v>
      </c>
      <c r="E414" t="s">
        <v>60</v>
      </c>
      <c r="F414" t="s">
        <v>5372</v>
      </c>
      <c r="G414" t="s">
        <v>5373</v>
      </c>
      <c r="H414">
        <f t="shared" si="6"/>
        <v>1</v>
      </c>
      <c r="I414" t="s">
        <v>33</v>
      </c>
      <c r="J414" t="s">
        <v>5374</v>
      </c>
      <c r="K414" t="str">
        <f>VLOOKUP(J414,Organisation!$A$2:$C$499,3,FALSE)</f>
        <v>CORG00126</v>
      </c>
      <c r="L414" t="str">
        <f>VLOOKUP(J414,Organisation!$A$2:$E$499,4,FALSE)</f>
        <v>Academic</v>
      </c>
      <c r="M414" t="s">
        <v>1492</v>
      </c>
      <c r="N414" t="s">
        <v>5375</v>
      </c>
      <c r="O414" t="s">
        <v>2369</v>
      </c>
      <c r="P414" s="3" t="s">
        <v>5376</v>
      </c>
      <c r="Q414" t="s">
        <v>5377</v>
      </c>
      <c r="S414" s="1">
        <v>1</v>
      </c>
      <c r="T414" t="str">
        <f>"Update Collaborator Set Organisation = '"&amp;J414&amp;"' where User_ID = '"&amp;B414&amp;"'; "</f>
        <v xml:space="preserve">Update Collaborator Set Organisation = 'Monash University Malaysia' where User_ID = 'CU00413'; </v>
      </c>
      <c r="U414" t="str">
        <f>"Update dcollab.collab_user Set Pi = True where User_ID = '"&amp;A414&amp;"'; "</f>
        <v xml:space="preserve">Update dcollab.collab_user Set Pi = True where User_ID = 'CUSR00482'; </v>
      </c>
    </row>
    <row r="415" spans="1:21">
      <c r="A415" t="s">
        <v>10074</v>
      </c>
      <c r="B415" t="s">
        <v>5384</v>
      </c>
      <c r="D415" t="s">
        <v>520</v>
      </c>
      <c r="E415" t="s">
        <v>110</v>
      </c>
      <c r="F415" t="s">
        <v>1180</v>
      </c>
      <c r="G415" t="s">
        <v>5385</v>
      </c>
      <c r="H415">
        <f t="shared" si="6"/>
        <v>2</v>
      </c>
      <c r="I415" t="s">
        <v>1412</v>
      </c>
      <c r="J415" t="s">
        <v>524</v>
      </c>
      <c r="K415" t="str">
        <f>VLOOKUP(J415,Organisation!$A$2:$C$499,3,FALSE)</f>
        <v>CORG00255</v>
      </c>
      <c r="L415" t="str">
        <f>VLOOKUP(J415,Organisation!$A$2:$E$499,4,FALSE)</f>
        <v>Academic</v>
      </c>
      <c r="M415" t="s">
        <v>1321</v>
      </c>
      <c r="N415" t="s">
        <v>526</v>
      </c>
      <c r="O415" t="s">
        <v>14</v>
      </c>
      <c r="P415" s="3" t="s">
        <v>5386</v>
      </c>
      <c r="Q415" t="s">
        <v>5387</v>
      </c>
      <c r="S415" s="1">
        <v>1</v>
      </c>
      <c r="T415" t="str">
        <f>"Update Collaborator Set Organisation = '"&amp;J415&amp;"' where User_ID = '"&amp;B415&amp;"'; "</f>
        <v xml:space="preserve">Update Collaborator Set Organisation = 'University of Newcastle' where User_ID = 'CU00414'; </v>
      </c>
    </row>
    <row r="416" spans="1:21">
      <c r="A416" t="s">
        <v>10075</v>
      </c>
      <c r="B416" t="s">
        <v>3570</v>
      </c>
      <c r="C416" t="s">
        <v>10540</v>
      </c>
      <c r="D416" t="s">
        <v>520</v>
      </c>
      <c r="E416" t="s">
        <v>41</v>
      </c>
      <c r="F416" t="s">
        <v>249</v>
      </c>
      <c r="G416" t="s">
        <v>3571</v>
      </c>
      <c r="H416">
        <f t="shared" si="6"/>
        <v>1</v>
      </c>
      <c r="I416" t="s">
        <v>516</v>
      </c>
      <c r="J416" t="s">
        <v>524</v>
      </c>
      <c r="K416" t="str">
        <f>VLOOKUP(J416,Organisation!$A$2:$C$499,3,FALSE)</f>
        <v>CORG00255</v>
      </c>
      <c r="L416" t="str">
        <f>VLOOKUP(J416,Organisation!$A$2:$E$499,4,FALSE)</f>
        <v>Academic</v>
      </c>
      <c r="M416" t="s">
        <v>3572</v>
      </c>
      <c r="N416" t="s">
        <v>526</v>
      </c>
      <c r="O416" t="s">
        <v>14</v>
      </c>
      <c r="P416" s="3" t="s">
        <v>3573</v>
      </c>
      <c r="Q416" t="s">
        <v>3574</v>
      </c>
      <c r="S416" s="1">
        <v>1</v>
      </c>
      <c r="T416" t="str">
        <f>"Update Collaborator Set Organisation = '"&amp;J416&amp;"' where User_ID = '"&amp;B416&amp;"'; "</f>
        <v xml:space="preserve">Update Collaborator Set Organisation = 'University of Newcastle' where User_ID = 'CU00415'; </v>
      </c>
      <c r="U416" t="str">
        <f>"Update dcollab.collab_user Set Pi = True where User_ID = '"&amp;A416&amp;"'; "</f>
        <v xml:space="preserve">Update dcollab.collab_user Set Pi = True where User_ID = 'CUSR00487'; </v>
      </c>
    </row>
    <row r="417" spans="1:21">
      <c r="A417" t="s">
        <v>9813</v>
      </c>
      <c r="B417" t="s">
        <v>4505</v>
      </c>
      <c r="D417" t="s">
        <v>1260</v>
      </c>
      <c r="E417" t="s">
        <v>7</v>
      </c>
      <c r="F417" t="s">
        <v>4506</v>
      </c>
      <c r="G417" t="s">
        <v>4507</v>
      </c>
      <c r="H417">
        <f t="shared" si="6"/>
        <v>1</v>
      </c>
      <c r="I417" t="s">
        <v>1939</v>
      </c>
      <c r="J417" t="s">
        <v>1262</v>
      </c>
      <c r="K417" t="str">
        <f>VLOOKUP(J417,Organisation!$A$2:$C$499,3,FALSE)</f>
        <v>CORG00251</v>
      </c>
      <c r="L417" t="str">
        <f>VLOOKUP(J417,Organisation!$A$2:$E$499,4,FALSE)</f>
        <v>Academic</v>
      </c>
      <c r="M417" t="s">
        <v>4508</v>
      </c>
      <c r="N417" t="s">
        <v>4509</v>
      </c>
      <c r="O417" t="s">
        <v>8808</v>
      </c>
      <c r="P417" s="3" t="s">
        <v>4510</v>
      </c>
      <c r="Q417" t="s">
        <v>4511</v>
      </c>
      <c r="S417" s="1">
        <v>0</v>
      </c>
      <c r="T417" t="str">
        <f>"Update Collaborator Set Organisation = '"&amp;J417&amp;"' where User_ID = '"&amp;B417&amp;"'; "</f>
        <v xml:space="preserve">Update Collaborator Set Organisation = 'University of Nebraska Medical Center' where User_ID = 'CU00416'; </v>
      </c>
    </row>
    <row r="418" spans="1:21">
      <c r="A418" t="s">
        <v>10077</v>
      </c>
      <c r="B418" t="s">
        <v>4208</v>
      </c>
      <c r="D418" t="s">
        <v>1094</v>
      </c>
      <c r="E418" t="s">
        <v>7</v>
      </c>
      <c r="F418" t="s">
        <v>4209</v>
      </c>
      <c r="G418" t="s">
        <v>4210</v>
      </c>
      <c r="H418">
        <f t="shared" si="6"/>
        <v>1</v>
      </c>
      <c r="I418" t="s">
        <v>282</v>
      </c>
      <c r="J418" t="s">
        <v>1097</v>
      </c>
      <c r="K418" t="str">
        <f>VLOOKUP(J418,Organisation!$A$2:$C$499,3,FALSE)</f>
        <v>CORG00175</v>
      </c>
      <c r="L418" t="str">
        <f>VLOOKUP(J418,Organisation!$A$2:$E$499,4,FALSE)</f>
        <v>Academic</v>
      </c>
      <c r="M418" t="s">
        <v>73</v>
      </c>
      <c r="N418" t="s">
        <v>1098</v>
      </c>
      <c r="O418" t="s">
        <v>211</v>
      </c>
      <c r="P418" s="3" t="s">
        <v>4211</v>
      </c>
      <c r="Q418" t="s">
        <v>4212</v>
      </c>
      <c r="S418" s="1">
        <v>1</v>
      </c>
      <c r="T418" t="str">
        <f>"Update Collaborator Set Organisation = '"&amp;J418&amp;"' where User_ID = '"&amp;B418&amp;"'; "</f>
        <v xml:space="preserve">Update Collaborator Set Organisation = 'Sri Venkateswara University' where User_ID = 'CU00417'; </v>
      </c>
    </row>
    <row r="419" spans="1:21">
      <c r="A419" t="s">
        <v>10078</v>
      </c>
      <c r="B419" t="s">
        <v>4162</v>
      </c>
      <c r="C419" t="s">
        <v>10540</v>
      </c>
      <c r="D419" t="s">
        <v>1094</v>
      </c>
      <c r="E419" t="s">
        <v>60</v>
      </c>
      <c r="F419" t="s">
        <v>4163</v>
      </c>
      <c r="G419" t="s">
        <v>4164</v>
      </c>
      <c r="H419">
        <f t="shared" si="6"/>
        <v>1</v>
      </c>
      <c r="I419" t="s">
        <v>190</v>
      </c>
      <c r="J419" t="s">
        <v>1097</v>
      </c>
      <c r="K419" t="str">
        <f>VLOOKUP(J419,Organisation!$A$2:$C$499,3,FALSE)</f>
        <v>CORG00175</v>
      </c>
      <c r="L419" t="str">
        <f>VLOOKUP(J419,Organisation!$A$2:$E$499,4,FALSE)</f>
        <v>Academic</v>
      </c>
      <c r="M419" t="s">
        <v>73</v>
      </c>
      <c r="N419" t="s">
        <v>1098</v>
      </c>
      <c r="O419" t="s">
        <v>211</v>
      </c>
      <c r="P419" s="3" t="s">
        <v>4165</v>
      </c>
      <c r="Q419" t="s">
        <v>4166</v>
      </c>
      <c r="S419" s="1">
        <v>1</v>
      </c>
      <c r="T419" t="str">
        <f>"Update Collaborator Set Organisation = '"&amp;J419&amp;"' where User_ID = '"&amp;B419&amp;"'; "</f>
        <v xml:space="preserve">Update Collaborator Set Organisation = 'Sri Venkateswara University' where User_ID = 'CU00418'; </v>
      </c>
      <c r="U419" t="str">
        <f>"Update dcollab.collab_user Set Pi = True where User_ID = '"&amp;A419&amp;"'; "</f>
        <v xml:space="preserve">Update dcollab.collab_user Set Pi = True where User_ID = 'CUSR00490'; </v>
      </c>
    </row>
    <row r="420" spans="1:21">
      <c r="A420" t="s">
        <v>10079</v>
      </c>
      <c r="B420" t="s">
        <v>1093</v>
      </c>
      <c r="D420" t="s">
        <v>1094</v>
      </c>
      <c r="E420" t="s">
        <v>60</v>
      </c>
      <c r="F420" t="s">
        <v>1095</v>
      </c>
      <c r="G420" t="s">
        <v>1096</v>
      </c>
      <c r="H420">
        <f t="shared" si="6"/>
        <v>1</v>
      </c>
      <c r="I420" t="s">
        <v>82</v>
      </c>
      <c r="J420" t="s">
        <v>1097</v>
      </c>
      <c r="K420" t="str">
        <f>VLOOKUP(J420,Organisation!$A$2:$C$499,3,FALSE)</f>
        <v>CORG00175</v>
      </c>
      <c r="L420" t="str">
        <f>VLOOKUP(J420,Organisation!$A$2:$E$499,4,FALSE)</f>
        <v>Academic</v>
      </c>
      <c r="M420" t="s">
        <v>73</v>
      </c>
      <c r="N420" t="s">
        <v>1098</v>
      </c>
      <c r="O420" t="s">
        <v>211</v>
      </c>
      <c r="P420" s="3" t="s">
        <v>1099</v>
      </c>
      <c r="Q420" t="s">
        <v>1100</v>
      </c>
      <c r="S420" s="1">
        <v>1</v>
      </c>
      <c r="T420" t="str">
        <f>"Update Collaborator Set Organisation = '"&amp;J420&amp;"' where User_ID = '"&amp;B420&amp;"'; "</f>
        <v xml:space="preserve">Update Collaborator Set Organisation = 'Sri Venkateswara University' where User_ID = 'CU00419'; </v>
      </c>
    </row>
    <row r="421" spans="1:21">
      <c r="A421" t="s">
        <v>10080</v>
      </c>
      <c r="B421" t="s">
        <v>4377</v>
      </c>
      <c r="C421" t="s">
        <v>10540</v>
      </c>
      <c r="D421" t="s">
        <v>4143</v>
      </c>
      <c r="E421" t="s">
        <v>60</v>
      </c>
      <c r="F421" t="s">
        <v>4378</v>
      </c>
      <c r="G421" t="s">
        <v>4379</v>
      </c>
      <c r="H421">
        <f t="shared" si="6"/>
        <v>1</v>
      </c>
      <c r="I421" t="s">
        <v>625</v>
      </c>
      <c r="J421" t="s">
        <v>4147</v>
      </c>
      <c r="K421" t="str">
        <f>VLOOKUP(J421,Organisation!$A$2:$C$499,3,FALSE)</f>
        <v>CORG00005</v>
      </c>
      <c r="L421" t="str">
        <f>VLOOKUP(J421,Organisation!$A$2:$E$499,4,FALSE)</f>
        <v>Academic</v>
      </c>
      <c r="M421" t="s">
        <v>4148</v>
      </c>
      <c r="N421" t="s">
        <v>4149</v>
      </c>
      <c r="O421" t="s">
        <v>704</v>
      </c>
      <c r="P421" s="3" t="s">
        <v>4380</v>
      </c>
      <c r="Q421" t="s">
        <v>4381</v>
      </c>
      <c r="S421" s="1">
        <v>1</v>
      </c>
      <c r="T421" t="str">
        <f>"Update Collaborator Set Organisation = '"&amp;J421&amp;"' where User_ID = '"&amp;B421&amp;"'; "</f>
        <v xml:space="preserve">Update Collaborator Set Organisation = 'Aix-Marseille University' where User_ID = 'CU00420'; </v>
      </c>
      <c r="U421" t="str">
        <f>"Update dcollab.collab_user Set Pi = True where User_ID = '"&amp;A421&amp;"'; "</f>
        <v xml:space="preserve">Update dcollab.collab_user Set Pi = True where User_ID = 'CUSR00492'; </v>
      </c>
    </row>
    <row r="422" spans="1:21">
      <c r="A422" t="s">
        <v>10081</v>
      </c>
      <c r="B422" t="s">
        <v>4142</v>
      </c>
      <c r="D422" t="s">
        <v>4143</v>
      </c>
      <c r="E422" t="s">
        <v>60</v>
      </c>
      <c r="F422" t="s">
        <v>4144</v>
      </c>
      <c r="G422" t="s">
        <v>4145</v>
      </c>
      <c r="H422">
        <f t="shared" si="6"/>
        <v>1</v>
      </c>
      <c r="I422" t="s">
        <v>4146</v>
      </c>
      <c r="J422" t="s">
        <v>4147</v>
      </c>
      <c r="K422" t="str">
        <f>VLOOKUP(J422,Organisation!$A$2:$C$499,3,FALSE)</f>
        <v>CORG00005</v>
      </c>
      <c r="L422" t="str">
        <f>VLOOKUP(J422,Organisation!$A$2:$E$499,4,FALSE)</f>
        <v>Academic</v>
      </c>
      <c r="M422" t="s">
        <v>4148</v>
      </c>
      <c r="N422" t="s">
        <v>4149</v>
      </c>
      <c r="O422" t="s">
        <v>704</v>
      </c>
      <c r="P422" s="3" t="s">
        <v>4150</v>
      </c>
      <c r="Q422" t="s">
        <v>4151</v>
      </c>
      <c r="S422" s="1">
        <v>1</v>
      </c>
      <c r="T422" t="str">
        <f>"Update Collaborator Set Organisation = '"&amp;J422&amp;"' where User_ID = '"&amp;B422&amp;"'; "</f>
        <v xml:space="preserve">Update Collaborator Set Organisation = 'Aix-Marseille University' where User_ID = 'CU00421'; </v>
      </c>
    </row>
    <row r="423" spans="1:21">
      <c r="A423" t="s">
        <v>10082</v>
      </c>
      <c r="B423" t="s">
        <v>861</v>
      </c>
      <c r="C423" t="s">
        <v>10540</v>
      </c>
      <c r="D423" t="s">
        <v>862</v>
      </c>
      <c r="E423" t="s">
        <v>60</v>
      </c>
      <c r="F423" t="s">
        <v>863</v>
      </c>
      <c r="G423" t="s">
        <v>864</v>
      </c>
      <c r="H423">
        <f t="shared" si="6"/>
        <v>1</v>
      </c>
      <c r="I423" t="s">
        <v>71</v>
      </c>
      <c r="J423" t="s">
        <v>865</v>
      </c>
      <c r="K423" t="str">
        <f>VLOOKUP(J423,Organisation!$A$2:$C$499,3,FALSE)</f>
        <v>CORG00262</v>
      </c>
      <c r="L423" t="str">
        <f>VLOOKUP(J423,Organisation!$A$2:$E$499,4,FALSE)</f>
        <v>Academic</v>
      </c>
      <c r="M423" t="s">
        <v>640</v>
      </c>
      <c r="N423" t="s">
        <v>866</v>
      </c>
      <c r="O423" t="s">
        <v>408</v>
      </c>
      <c r="P423" s="3" t="s">
        <v>867</v>
      </c>
      <c r="Q423" t="s">
        <v>868</v>
      </c>
      <c r="S423" s="1">
        <v>1</v>
      </c>
      <c r="T423" t="str">
        <f>"Update Collaborator Set Organisation = '"&amp;J423&amp;"' where User_ID = '"&amp;B423&amp;"'; "</f>
        <v xml:space="preserve">Update Collaborator Set Organisation = 'University of Porto' where User_ID = 'CU00422'; </v>
      </c>
      <c r="U423" t="str">
        <f>"Update dcollab.collab_user Set Pi = True where User_ID = '"&amp;A423&amp;"'; "</f>
        <v xml:space="preserve">Update dcollab.collab_user Set Pi = True where User_ID = 'CUSR00494'; </v>
      </c>
    </row>
    <row r="424" spans="1:21">
      <c r="A424" t="s">
        <v>10083</v>
      </c>
      <c r="B424" t="s">
        <v>2100</v>
      </c>
      <c r="D424" t="s">
        <v>862</v>
      </c>
      <c r="E424" t="s">
        <v>228</v>
      </c>
      <c r="F424" t="s">
        <v>2101</v>
      </c>
      <c r="G424" t="s">
        <v>2102</v>
      </c>
      <c r="H424">
        <f t="shared" si="6"/>
        <v>1</v>
      </c>
      <c r="I424" t="s">
        <v>2103</v>
      </c>
      <c r="J424" t="s">
        <v>865</v>
      </c>
      <c r="K424" t="str">
        <f>VLOOKUP(J424,Organisation!$A$2:$C$499,3,FALSE)</f>
        <v>CORG00262</v>
      </c>
      <c r="L424" t="str">
        <f>VLOOKUP(J424,Organisation!$A$2:$E$499,4,FALSE)</f>
        <v>Academic</v>
      </c>
      <c r="M424" t="s">
        <v>640</v>
      </c>
      <c r="N424" t="s">
        <v>866</v>
      </c>
      <c r="O424" t="s">
        <v>408</v>
      </c>
      <c r="P424" s="3" t="s">
        <v>2104</v>
      </c>
      <c r="Q424" t="s">
        <v>2105</v>
      </c>
      <c r="S424" s="1">
        <v>1</v>
      </c>
      <c r="T424" t="str">
        <f>"Update Collaborator Set Organisation = '"&amp;J424&amp;"' where User_ID = '"&amp;B424&amp;"'; "</f>
        <v xml:space="preserve">Update Collaborator Set Organisation = 'University of Porto' where User_ID = 'CU00423'; </v>
      </c>
    </row>
    <row r="425" spans="1:21">
      <c r="A425" t="s">
        <v>10084</v>
      </c>
      <c r="B425" t="s">
        <v>2825</v>
      </c>
      <c r="C425" t="s">
        <v>10540</v>
      </c>
      <c r="D425" t="s">
        <v>2826</v>
      </c>
      <c r="E425" t="s">
        <v>60</v>
      </c>
      <c r="F425" t="s">
        <v>2827</v>
      </c>
      <c r="G425" t="s">
        <v>2828</v>
      </c>
      <c r="H425">
        <f t="shared" si="6"/>
        <v>1</v>
      </c>
      <c r="I425" t="s">
        <v>625</v>
      </c>
      <c r="J425" t="s">
        <v>2829</v>
      </c>
      <c r="K425" t="str">
        <f>VLOOKUP(J425,Organisation!$A$2:$C$499,3,FALSE)</f>
        <v>CORG00047</v>
      </c>
      <c r="L425" t="str">
        <f>VLOOKUP(J425,Organisation!$A$2:$E$499,4,FALSE)</f>
        <v>Academic</v>
      </c>
      <c r="M425" t="s">
        <v>35</v>
      </c>
      <c r="N425" t="s">
        <v>2830</v>
      </c>
      <c r="O425" t="s">
        <v>55</v>
      </c>
      <c r="P425" s="3" t="s">
        <v>2831</v>
      </c>
      <c r="Q425" t="s">
        <v>2832</v>
      </c>
      <c r="S425" s="1">
        <v>1</v>
      </c>
      <c r="T425" t="str">
        <f>"Update Collaborator Set Organisation = '"&amp;J425&amp;"' where User_ID = '"&amp;B425&amp;"'; "</f>
        <v xml:space="preserve">Update Collaborator Set Organisation = 'Damanhour University' where User_ID = 'CU00424'; </v>
      </c>
      <c r="U425" t="str">
        <f>"Update dcollab.collab_user Set Pi = True where User_ID = '"&amp;A425&amp;"'; "</f>
        <v xml:space="preserve">Update dcollab.collab_user Set Pi = True where User_ID = 'CUSR00496'; </v>
      </c>
    </row>
    <row r="426" spans="1:21">
      <c r="A426" t="s">
        <v>10085</v>
      </c>
      <c r="B426" t="s">
        <v>1312</v>
      </c>
      <c r="C426" t="s">
        <v>10540</v>
      </c>
      <c r="D426" t="s">
        <v>1020</v>
      </c>
      <c r="E426" t="s">
        <v>216</v>
      </c>
      <c r="F426" t="s">
        <v>1313</v>
      </c>
      <c r="G426" t="s">
        <v>1314</v>
      </c>
      <c r="H426">
        <f t="shared" si="6"/>
        <v>1</v>
      </c>
      <c r="I426" t="s">
        <v>1315</v>
      </c>
      <c r="J426" t="s">
        <v>596</v>
      </c>
      <c r="K426" t="str">
        <f>VLOOKUP(J426,Organisation!$A$2:$C$499,3,FALSE)</f>
        <v>CORG00216</v>
      </c>
      <c r="L426" t="str">
        <f>VLOOKUP(J426,Organisation!$A$2:$E$499,4,FALSE)</f>
        <v>Academic</v>
      </c>
      <c r="M426" t="s">
        <v>597</v>
      </c>
      <c r="N426" t="s">
        <v>1024</v>
      </c>
      <c r="O426" t="s">
        <v>223</v>
      </c>
      <c r="P426" s="3" t="s">
        <v>1316</v>
      </c>
      <c r="Q426" t="s">
        <v>1317</v>
      </c>
      <c r="S426" s="1">
        <v>1</v>
      </c>
      <c r="T426" t="str">
        <f>"Update Collaborator Set Organisation = '"&amp;J426&amp;"' where User_ID = '"&amp;B426&amp;"'; "</f>
        <v xml:space="preserve">Update Collaborator Set Organisation = 'University of Auckland' where User_ID = 'CU00425'; </v>
      </c>
      <c r="U426" t="str">
        <f>"Update dcollab.collab_user Set Pi = True where User_ID = '"&amp;A426&amp;"'; "</f>
        <v xml:space="preserve">Update dcollab.collab_user Set Pi = True where User_ID = 'CUSR00497'; </v>
      </c>
    </row>
    <row r="427" spans="1:21">
      <c r="A427" t="s">
        <v>10091</v>
      </c>
      <c r="B427" t="s">
        <v>2371</v>
      </c>
      <c r="D427" t="s">
        <v>59</v>
      </c>
      <c r="E427" t="s">
        <v>60</v>
      </c>
      <c r="F427" t="s">
        <v>61</v>
      </c>
      <c r="G427" t="s">
        <v>2372</v>
      </c>
      <c r="H427">
        <f t="shared" si="6"/>
        <v>1</v>
      </c>
      <c r="I427" t="s">
        <v>182</v>
      </c>
      <c r="J427" t="s">
        <v>8775</v>
      </c>
      <c r="K427" t="str">
        <f>VLOOKUP(J427,Organisation!$A$2:$C$499,3,FALSE)</f>
        <v>CORG00128</v>
      </c>
      <c r="L427" t="str">
        <f>VLOOKUP(J427,Organisation!$A$2:$E$499,4,FALSE)</f>
        <v>Academic</v>
      </c>
      <c r="M427" t="s">
        <v>2373</v>
      </c>
      <c r="N427" t="s">
        <v>484</v>
      </c>
      <c r="O427" t="s">
        <v>55</v>
      </c>
      <c r="P427" s="3" t="s">
        <v>2374</v>
      </c>
      <c r="Q427" t="s">
        <v>2375</v>
      </c>
      <c r="S427" s="1">
        <v>1</v>
      </c>
      <c r="T427" t="str">
        <f>"Update Collaborator Set Organisation = '"&amp;J427&amp;"' where User_ID = '"&amp;B427&amp;"'; "</f>
        <v xml:space="preserve">Update Collaborator Set Organisation = 'Nahda University Beni Suef' where User_ID = 'CU00426'; </v>
      </c>
    </row>
    <row r="428" spans="1:21">
      <c r="A428" t="s">
        <v>10087</v>
      </c>
      <c r="B428" t="s">
        <v>3980</v>
      </c>
      <c r="C428" t="s">
        <v>10540</v>
      </c>
      <c r="D428" t="s">
        <v>3981</v>
      </c>
      <c r="E428" t="s">
        <v>60</v>
      </c>
      <c r="F428" t="s">
        <v>3982</v>
      </c>
      <c r="G428" t="s">
        <v>3983</v>
      </c>
      <c r="H428">
        <f t="shared" si="6"/>
        <v>1</v>
      </c>
      <c r="I428" t="s">
        <v>3984</v>
      </c>
      <c r="J428" t="s">
        <v>2041</v>
      </c>
      <c r="K428" t="str">
        <f>VLOOKUP(J428,Organisation!$A$2:$C$499,3,FALSE)</f>
        <v>CORG00085</v>
      </c>
      <c r="L428" t="str">
        <f>VLOOKUP(J428,Organisation!$A$2:$E$499,4,FALSE)</f>
        <v>Academic</v>
      </c>
      <c r="M428" t="s">
        <v>2042</v>
      </c>
      <c r="N428" t="s">
        <v>2043</v>
      </c>
      <c r="O428" t="s">
        <v>1600</v>
      </c>
      <c r="P428" s="3" t="s">
        <v>2044</v>
      </c>
      <c r="Q428" t="s">
        <v>3985</v>
      </c>
      <c r="S428" s="1">
        <v>1</v>
      </c>
      <c r="T428" t="str">
        <f>"Update Collaborator Set Organisation = '"&amp;J428&amp;"' where User_ID = '"&amp;B428&amp;"'; "</f>
        <v xml:space="preserve">Update Collaborator Set Organisation = 'Institute of Petrochemistry and Catalysis' where User_ID = 'CU00427'; </v>
      </c>
      <c r="U428" t="str">
        <f>"Update dcollab.collab_user Set Pi = True where User_ID = '"&amp;A428&amp;"'; "</f>
        <v xml:space="preserve">Update dcollab.collab_user Set Pi = True where User_ID = 'CUSR00499'; </v>
      </c>
    </row>
    <row r="429" spans="1:21">
      <c r="A429" t="s">
        <v>10088</v>
      </c>
      <c r="B429" t="s">
        <v>4496</v>
      </c>
      <c r="D429" t="s">
        <v>3981</v>
      </c>
      <c r="E429" t="s">
        <v>60</v>
      </c>
      <c r="F429" t="s">
        <v>4497</v>
      </c>
      <c r="G429" t="s">
        <v>4498</v>
      </c>
      <c r="H429">
        <f t="shared" si="6"/>
        <v>1</v>
      </c>
      <c r="I429" t="s">
        <v>136</v>
      </c>
      <c r="J429" t="s">
        <v>2041</v>
      </c>
      <c r="K429" t="str">
        <f>VLOOKUP(J429,Organisation!$A$2:$C$499,3,FALSE)</f>
        <v>CORG00085</v>
      </c>
      <c r="L429" t="str">
        <f>VLOOKUP(J429,Organisation!$A$2:$E$499,4,FALSE)</f>
        <v>Academic</v>
      </c>
      <c r="M429" t="s">
        <v>2042</v>
      </c>
      <c r="N429" t="s">
        <v>2043</v>
      </c>
      <c r="O429" t="s">
        <v>1600</v>
      </c>
      <c r="P429" s="3" t="s">
        <v>2044</v>
      </c>
      <c r="Q429" t="s">
        <v>4499</v>
      </c>
      <c r="S429" s="1">
        <v>1</v>
      </c>
      <c r="T429" t="str">
        <f>"Update Collaborator Set Organisation = '"&amp;J429&amp;"' where User_ID = '"&amp;B429&amp;"'; "</f>
        <v xml:space="preserve">Update Collaborator Set Organisation = 'Institute of Petrochemistry and Catalysis' where User_ID = 'CU00428'; </v>
      </c>
    </row>
    <row r="430" spans="1:21">
      <c r="A430" t="s">
        <v>10089</v>
      </c>
      <c r="B430" t="s">
        <v>1716</v>
      </c>
      <c r="C430" t="s">
        <v>10540</v>
      </c>
      <c r="D430" t="s">
        <v>1717</v>
      </c>
      <c r="E430" t="s">
        <v>41</v>
      </c>
      <c r="F430" t="s">
        <v>360</v>
      </c>
      <c r="G430" t="s">
        <v>1718</v>
      </c>
      <c r="H430">
        <f t="shared" si="6"/>
        <v>1</v>
      </c>
      <c r="J430" t="s">
        <v>8757</v>
      </c>
      <c r="K430" t="str">
        <f>VLOOKUP(J430,Organisation!$A$2:$C$499,3,FALSE)</f>
        <v>CORG00052</v>
      </c>
      <c r="L430" t="str">
        <f>VLOOKUP(J430,Organisation!$A$2:$E$499,4,FALSE)</f>
        <v>Academic</v>
      </c>
      <c r="M430" t="s">
        <v>1720</v>
      </c>
      <c r="N430" t="s">
        <v>1721</v>
      </c>
      <c r="O430" t="s">
        <v>253</v>
      </c>
      <c r="P430" s="3" t="s">
        <v>1722</v>
      </c>
      <c r="Q430" t="s">
        <v>1723</v>
      </c>
      <c r="S430" s="1">
        <v>1</v>
      </c>
      <c r="T430" t="str">
        <f>"Update Collaborator Set Organisation = '"&amp;J430&amp;"' where User_ID = '"&amp;B430&amp;"'; "</f>
        <v xml:space="preserve">Update Collaborator Set Organisation = 'Ecole Polytechnique Fédérale de Lausanne' where User_ID = 'CU00429'; </v>
      </c>
      <c r="U430" t="str">
        <f>"Update dcollab.collab_user Set Pi = True where User_ID = '"&amp;A430&amp;"'; "</f>
        <v xml:space="preserve">Update dcollab.collab_user Set Pi = True where User_ID = 'CUSR00501'; </v>
      </c>
    </row>
    <row r="431" spans="1:21">
      <c r="A431" t="s">
        <v>10090</v>
      </c>
      <c r="B431" t="s">
        <v>3144</v>
      </c>
      <c r="D431" t="s">
        <v>1717</v>
      </c>
      <c r="E431" t="s">
        <v>60</v>
      </c>
      <c r="F431" t="s">
        <v>3145</v>
      </c>
      <c r="G431" t="s">
        <v>3146</v>
      </c>
      <c r="H431">
        <f t="shared" si="6"/>
        <v>1</v>
      </c>
      <c r="J431" t="s">
        <v>8757</v>
      </c>
      <c r="K431" t="str">
        <f>VLOOKUP(J431,Organisation!$A$2:$C$499,3,FALSE)</f>
        <v>CORG00052</v>
      </c>
      <c r="L431" t="str">
        <f>VLOOKUP(J431,Organisation!$A$2:$E$499,4,FALSE)</f>
        <v>Academic</v>
      </c>
      <c r="M431" t="s">
        <v>1720</v>
      </c>
      <c r="N431" t="s">
        <v>1721</v>
      </c>
      <c r="O431" t="s">
        <v>253</v>
      </c>
      <c r="P431" s="3" t="s">
        <v>3147</v>
      </c>
      <c r="Q431" t="s">
        <v>3148</v>
      </c>
      <c r="S431" s="1">
        <v>0</v>
      </c>
      <c r="T431" t="str">
        <f>"Update Collaborator Set Organisation = '"&amp;J431&amp;"' where User_ID = '"&amp;B431&amp;"'; "</f>
        <v xml:space="preserve">Update Collaborator Set Organisation = 'Ecole Polytechnique Fédérale de Lausanne' where User_ID = 'CU00430'; </v>
      </c>
    </row>
    <row r="432" spans="1:21">
      <c r="A432" t="s">
        <v>10092</v>
      </c>
      <c r="B432" t="s">
        <v>4673</v>
      </c>
      <c r="D432" t="s">
        <v>59</v>
      </c>
      <c r="E432" t="s">
        <v>7</v>
      </c>
      <c r="F432" t="s">
        <v>19</v>
      </c>
      <c r="G432" t="s">
        <v>4674</v>
      </c>
      <c r="H432">
        <f t="shared" si="6"/>
        <v>1</v>
      </c>
      <c r="I432" t="s">
        <v>182</v>
      </c>
      <c r="J432" t="s">
        <v>8775</v>
      </c>
      <c r="K432" t="str">
        <f>VLOOKUP(J432,Organisation!$A$2:$C$499,3,FALSE)</f>
        <v>CORG00128</v>
      </c>
      <c r="L432" t="str">
        <f>VLOOKUP(J432,Organisation!$A$2:$E$499,4,FALSE)</f>
        <v>Academic</v>
      </c>
      <c r="M432" t="s">
        <v>4675</v>
      </c>
      <c r="N432" t="s">
        <v>4676</v>
      </c>
      <c r="O432" t="s">
        <v>55</v>
      </c>
      <c r="P432" s="3" t="s">
        <v>4677</v>
      </c>
      <c r="Q432" t="s">
        <v>4678</v>
      </c>
      <c r="S432" s="1">
        <v>1</v>
      </c>
      <c r="T432" t="str">
        <f>"Update Collaborator Set Organisation = '"&amp;J432&amp;"' where User_ID = '"&amp;B432&amp;"'; "</f>
        <v xml:space="preserve">Update Collaborator Set Organisation = 'Nahda University Beni Suef' where User_ID = 'CU00431'; </v>
      </c>
    </row>
    <row r="433" spans="1:21">
      <c r="A433" t="s">
        <v>10093</v>
      </c>
      <c r="B433" t="s">
        <v>89</v>
      </c>
      <c r="D433" t="s">
        <v>59</v>
      </c>
      <c r="E433" t="s">
        <v>41</v>
      </c>
      <c r="F433" t="s">
        <v>90</v>
      </c>
      <c r="G433" t="s">
        <v>91</v>
      </c>
      <c r="H433">
        <f t="shared" si="6"/>
        <v>1</v>
      </c>
      <c r="I433" t="s">
        <v>71</v>
      </c>
      <c r="J433" t="s">
        <v>92</v>
      </c>
      <c r="K433" t="str">
        <f>VLOOKUP(J433,Organisation!$A$2:$C$499,3,FALSE)</f>
        <v>CORG00011</v>
      </c>
      <c r="L433" t="str">
        <f>VLOOKUP(J433,Organisation!$A$2:$E$499,4,FALSE)</f>
        <v>Academic</v>
      </c>
      <c r="M433" t="s">
        <v>93</v>
      </c>
      <c r="N433" t="s">
        <v>94</v>
      </c>
      <c r="O433" t="s">
        <v>55</v>
      </c>
      <c r="P433" s="3" t="s">
        <v>95</v>
      </c>
      <c r="Q433" t="s">
        <v>96</v>
      </c>
      <c r="R433" t="s">
        <v>97</v>
      </c>
      <c r="S433" s="1">
        <v>1</v>
      </c>
      <c r="T433" t="str">
        <f>"Update Collaborator Set Organisation = '"&amp;J433&amp;"' where User_ID = '"&amp;B433&amp;"'; "</f>
        <v xml:space="preserve">Update Collaborator Set Organisation = 'Assiut University' where User_ID = 'CU00432'; </v>
      </c>
    </row>
    <row r="434" spans="1:21">
      <c r="A434" t="s">
        <v>10101</v>
      </c>
      <c r="B434" t="s">
        <v>3540</v>
      </c>
      <c r="D434" t="s">
        <v>2627</v>
      </c>
      <c r="E434" t="s">
        <v>60</v>
      </c>
      <c r="F434" t="s">
        <v>3541</v>
      </c>
      <c r="G434" t="s">
        <v>3533</v>
      </c>
      <c r="H434">
        <f t="shared" si="6"/>
        <v>2</v>
      </c>
      <c r="I434" t="s">
        <v>2803</v>
      </c>
      <c r="J434" t="s">
        <v>2631</v>
      </c>
      <c r="K434" t="str">
        <f>VLOOKUP(J434,Organisation!$A$2:$C$499,3,FALSE)</f>
        <v>CORG00137</v>
      </c>
      <c r="L434" t="str">
        <f>VLOOKUP(J434,Organisation!$A$2:$E$499,4,FALSE)</f>
        <v>Academic</v>
      </c>
      <c r="M434" t="s">
        <v>2632</v>
      </c>
      <c r="N434" t="s">
        <v>2633</v>
      </c>
      <c r="O434" t="s">
        <v>2634</v>
      </c>
      <c r="P434" s="3" t="s">
        <v>3538</v>
      </c>
      <c r="Q434" t="s">
        <v>3542</v>
      </c>
      <c r="S434" s="1">
        <v>1</v>
      </c>
      <c r="T434" t="str">
        <f>"Update Collaborator Set Organisation = '"&amp;J434&amp;"' where User_ID = '"&amp;B434&amp;"'; "</f>
        <v xml:space="preserve">Update Collaborator Set Organisation = 'National Technical University of Athens' where User_ID = 'CU00433'; </v>
      </c>
    </row>
    <row r="435" spans="1:21">
      <c r="A435" t="s">
        <v>10102</v>
      </c>
      <c r="B435" t="s">
        <v>2626</v>
      </c>
      <c r="C435" t="s">
        <v>10540</v>
      </c>
      <c r="D435" t="s">
        <v>2627</v>
      </c>
      <c r="E435" t="s">
        <v>41</v>
      </c>
      <c r="F435" t="s">
        <v>2628</v>
      </c>
      <c r="G435" t="s">
        <v>2629</v>
      </c>
      <c r="H435">
        <f t="shared" si="6"/>
        <v>1</v>
      </c>
      <c r="I435" t="s">
        <v>2630</v>
      </c>
      <c r="J435" t="s">
        <v>2631</v>
      </c>
      <c r="K435" t="str">
        <f>VLOOKUP(J435,Organisation!$A$2:$C$499,3,FALSE)</f>
        <v>CORG00137</v>
      </c>
      <c r="L435" t="str">
        <f>VLOOKUP(J435,Organisation!$A$2:$E$499,4,FALSE)</f>
        <v>Academic</v>
      </c>
      <c r="M435" t="s">
        <v>2632</v>
      </c>
      <c r="N435" t="s">
        <v>2633</v>
      </c>
      <c r="O435" t="s">
        <v>2634</v>
      </c>
      <c r="P435" s="3" t="s">
        <v>2635</v>
      </c>
      <c r="Q435" t="s">
        <v>2636</v>
      </c>
      <c r="S435" s="1">
        <v>1</v>
      </c>
      <c r="T435" t="str">
        <f>"Update Collaborator Set Organisation = '"&amp;J435&amp;"' where User_ID = '"&amp;B435&amp;"'; "</f>
        <v xml:space="preserve">Update Collaborator Set Organisation = 'National Technical University of Athens' where User_ID = 'CU00434'; </v>
      </c>
      <c r="U435" t="str">
        <f>"Update dcollab.collab_user Set Pi = True where User_ID = '"&amp;A435&amp;"'; "</f>
        <v xml:space="preserve">Update dcollab.collab_user Set Pi = True where User_ID = 'CUSR00514'; </v>
      </c>
    </row>
    <row r="436" spans="1:21">
      <c r="A436" t="s">
        <v>10094</v>
      </c>
      <c r="B436" t="s">
        <v>179</v>
      </c>
      <c r="D436" t="s">
        <v>59</v>
      </c>
      <c r="E436" t="s">
        <v>7</v>
      </c>
      <c r="F436" t="s">
        <v>180</v>
      </c>
      <c r="G436" t="s">
        <v>181</v>
      </c>
      <c r="H436">
        <f t="shared" si="6"/>
        <v>1</v>
      </c>
      <c r="I436" t="s">
        <v>182</v>
      </c>
      <c r="J436" t="s">
        <v>8775</v>
      </c>
      <c r="K436" t="str">
        <f>VLOOKUP(J436,Organisation!$A$2:$C$499,3,FALSE)</f>
        <v>CORG00128</v>
      </c>
      <c r="L436" t="str">
        <f>VLOOKUP(J436,Organisation!$A$2:$E$499,4,FALSE)</f>
        <v>Academic</v>
      </c>
      <c r="M436" t="s">
        <v>183</v>
      </c>
      <c r="N436" t="s">
        <v>184</v>
      </c>
      <c r="O436" t="s">
        <v>55</v>
      </c>
      <c r="P436" s="3" t="s">
        <v>185</v>
      </c>
      <c r="Q436" t="s">
        <v>186</v>
      </c>
      <c r="S436" s="1">
        <v>1</v>
      </c>
      <c r="T436" t="str">
        <f>"Update Collaborator Set Organisation = '"&amp;J436&amp;"' where User_ID = '"&amp;B436&amp;"'; "</f>
        <v xml:space="preserve">Update Collaborator Set Organisation = 'Nahda University Beni Suef' where User_ID = 'CU00435'; </v>
      </c>
    </row>
    <row r="437" spans="1:21">
      <c r="A437" t="s">
        <v>10106</v>
      </c>
      <c r="B437" t="s">
        <v>4131</v>
      </c>
      <c r="D437" t="s">
        <v>2355</v>
      </c>
      <c r="E437" t="s">
        <v>7</v>
      </c>
      <c r="F437" t="s">
        <v>4132</v>
      </c>
      <c r="G437" t="s">
        <v>4133</v>
      </c>
      <c r="H437">
        <f t="shared" si="6"/>
        <v>1</v>
      </c>
      <c r="I437" t="s">
        <v>4134</v>
      </c>
      <c r="J437" t="s">
        <v>2358</v>
      </c>
      <c r="K437" t="str">
        <f>VLOOKUP(J437,Organisation!$A$2:$C$499,3,FALSE)</f>
        <v>CORG00116</v>
      </c>
      <c r="L437" t="str">
        <f>VLOOKUP(J437,Organisation!$A$2:$E$499,4,FALSE)</f>
        <v>Academic</v>
      </c>
      <c r="M437" t="s">
        <v>2359</v>
      </c>
      <c r="N437" t="s">
        <v>2360</v>
      </c>
      <c r="O437" t="s">
        <v>8808</v>
      </c>
      <c r="P437" s="3" t="s">
        <v>4135</v>
      </c>
      <c r="Q437" t="s">
        <v>4136</v>
      </c>
      <c r="S437" s="1">
        <v>0</v>
      </c>
      <c r="T437" t="str">
        <f>"Update Collaborator Set Organisation = '"&amp;J437&amp;"' where User_ID = '"&amp;B437&amp;"'; "</f>
        <v xml:space="preserve">Update Collaborator Set Organisation = 'Medical University of South Carolina' where User_ID = 'CU00436'; </v>
      </c>
    </row>
    <row r="438" spans="1:21">
      <c r="A438" t="s">
        <v>10107</v>
      </c>
      <c r="B438" t="s">
        <v>2354</v>
      </c>
      <c r="C438" t="s">
        <v>10540</v>
      </c>
      <c r="D438" t="s">
        <v>2355</v>
      </c>
      <c r="E438" t="s">
        <v>41</v>
      </c>
      <c r="F438" t="s">
        <v>368</v>
      </c>
      <c r="G438" t="s">
        <v>2356</v>
      </c>
      <c r="H438">
        <f t="shared" si="6"/>
        <v>1</v>
      </c>
      <c r="I438" t="s">
        <v>2357</v>
      </c>
      <c r="J438" t="s">
        <v>2358</v>
      </c>
      <c r="K438" t="str">
        <f>VLOOKUP(J438,Organisation!$A$2:$C$499,3,FALSE)</f>
        <v>CORG00116</v>
      </c>
      <c r="L438" t="str">
        <f>VLOOKUP(J438,Organisation!$A$2:$E$499,4,FALSE)</f>
        <v>Academic</v>
      </c>
      <c r="M438" t="s">
        <v>2359</v>
      </c>
      <c r="N438" t="s">
        <v>2360</v>
      </c>
      <c r="O438" t="s">
        <v>8808</v>
      </c>
      <c r="P438" s="3" t="s">
        <v>2361</v>
      </c>
      <c r="Q438" t="s">
        <v>2362</v>
      </c>
      <c r="S438" s="1">
        <v>1</v>
      </c>
      <c r="T438" t="str">
        <f>"Update Collaborator Set Organisation = '"&amp;J438&amp;"' where User_ID = '"&amp;B438&amp;"'; "</f>
        <v xml:space="preserve">Update Collaborator Set Organisation = 'Medical University of South Carolina' where User_ID = 'CU00437'; </v>
      </c>
      <c r="U438" t="str">
        <f>"Update dcollab.collab_user Set Pi = True where User_ID = '"&amp;A438&amp;"'; "</f>
        <v xml:space="preserve">Update dcollab.collab_user Set Pi = True where User_ID = 'CUSR00519'; </v>
      </c>
    </row>
    <row r="439" spans="1:21">
      <c r="A439" t="s">
        <v>10108</v>
      </c>
      <c r="B439" t="s">
        <v>3319</v>
      </c>
      <c r="D439" t="s">
        <v>2258</v>
      </c>
      <c r="E439" t="s">
        <v>7</v>
      </c>
      <c r="F439" t="s">
        <v>3320</v>
      </c>
      <c r="G439" t="s">
        <v>3321</v>
      </c>
      <c r="H439">
        <f t="shared" si="6"/>
        <v>1</v>
      </c>
      <c r="I439" t="s">
        <v>259</v>
      </c>
      <c r="J439" t="s">
        <v>1539</v>
      </c>
      <c r="K439" t="str">
        <f>VLOOKUP(J439,Organisation!$A$2:$C$499,3,FALSE)</f>
        <v>CORG00252</v>
      </c>
      <c r="L439" t="str">
        <f>VLOOKUP(J439,Organisation!$A$2:$E$499,4,FALSE)</f>
        <v>Academic</v>
      </c>
      <c r="M439" t="s">
        <v>2261</v>
      </c>
      <c r="N439" t="s">
        <v>2262</v>
      </c>
      <c r="O439" t="s">
        <v>14</v>
      </c>
      <c r="P439" s="3" t="s">
        <v>3322</v>
      </c>
      <c r="Q439" t="s">
        <v>3323</v>
      </c>
      <c r="R439" t="s">
        <v>3324</v>
      </c>
      <c r="S439" s="1">
        <v>1</v>
      </c>
      <c r="T439" t="str">
        <f>"Update Collaborator Set Organisation = '"&amp;J439&amp;"' where User_ID = '"&amp;B439&amp;"'; "</f>
        <v xml:space="preserve">Update Collaborator Set Organisation = 'University of New England' where User_ID = 'CU00438'; </v>
      </c>
    </row>
    <row r="440" spans="1:21">
      <c r="A440" t="s">
        <v>10109</v>
      </c>
      <c r="B440" t="s">
        <v>2257</v>
      </c>
      <c r="C440" t="s">
        <v>10540</v>
      </c>
      <c r="D440" t="s">
        <v>2258</v>
      </c>
      <c r="E440" t="s">
        <v>41</v>
      </c>
      <c r="F440" t="s">
        <v>2259</v>
      </c>
      <c r="G440" t="s">
        <v>2260</v>
      </c>
      <c r="H440">
        <f t="shared" si="6"/>
        <v>1</v>
      </c>
      <c r="I440" t="s">
        <v>672</v>
      </c>
      <c r="J440" t="s">
        <v>1539</v>
      </c>
      <c r="K440" t="str">
        <f>VLOOKUP(J440,Organisation!$A$2:$C$499,3,FALSE)</f>
        <v>CORG00252</v>
      </c>
      <c r="L440" t="str">
        <f>VLOOKUP(J440,Organisation!$A$2:$E$499,4,FALSE)</f>
        <v>Academic</v>
      </c>
      <c r="M440" t="s">
        <v>2261</v>
      </c>
      <c r="N440" t="s">
        <v>2262</v>
      </c>
      <c r="O440" t="s">
        <v>14</v>
      </c>
      <c r="P440" s="3" t="s">
        <v>2263</v>
      </c>
      <c r="Q440" t="s">
        <v>2264</v>
      </c>
      <c r="S440" s="1">
        <v>1</v>
      </c>
      <c r="T440" t="str">
        <f>"Update Collaborator Set Organisation = '"&amp;J440&amp;"' where User_ID = '"&amp;B440&amp;"'; "</f>
        <v xml:space="preserve">Update Collaborator Set Organisation = 'University of New England' where User_ID = 'CU00439'; </v>
      </c>
      <c r="U440" t="str">
        <f>"Update dcollab.collab_user Set Pi = True where User_ID = '"&amp;A440&amp;"'; "</f>
        <v xml:space="preserve">Update dcollab.collab_user Set Pi = True where User_ID = 'CUSR00521'; </v>
      </c>
    </row>
    <row r="441" spans="1:21">
      <c r="A441" t="s">
        <v>10110</v>
      </c>
      <c r="B441" t="s">
        <v>2699</v>
      </c>
      <c r="D441" t="s">
        <v>2700</v>
      </c>
      <c r="E441" t="s">
        <v>60</v>
      </c>
      <c r="F441" t="s">
        <v>2701</v>
      </c>
      <c r="G441" t="s">
        <v>2702</v>
      </c>
      <c r="H441">
        <f t="shared" si="6"/>
        <v>1</v>
      </c>
      <c r="I441" t="s">
        <v>136</v>
      </c>
      <c r="J441" t="s">
        <v>83</v>
      </c>
      <c r="K441" t="str">
        <f>VLOOKUP(J441,Organisation!$A$2:$C$499,3,FALSE)</f>
        <v>CORG00181</v>
      </c>
      <c r="L441" t="str">
        <f>VLOOKUP(J441,Organisation!$A$2:$E$499,4,FALSE)</f>
        <v>Academic</v>
      </c>
      <c r="M441" t="s">
        <v>84</v>
      </c>
      <c r="N441" t="s">
        <v>2703</v>
      </c>
      <c r="O441" t="s">
        <v>86</v>
      </c>
      <c r="P441" s="3" t="s">
        <v>2704</v>
      </c>
      <c r="Q441" t="s">
        <v>2705</v>
      </c>
      <c r="S441" s="1">
        <v>1</v>
      </c>
      <c r="T441" t="str">
        <f>"Update Collaborator Set Organisation = '"&amp;J441&amp;"' where User_ID = '"&amp;B441&amp;"'; "</f>
        <v xml:space="preserve">Update Collaborator Set Organisation = 'Sultan Qaboos University' where User_ID = 'CU00440'; </v>
      </c>
    </row>
    <row r="442" spans="1:21">
      <c r="A442" t="s">
        <v>10111</v>
      </c>
      <c r="B442" t="s">
        <v>3636</v>
      </c>
      <c r="C442" t="s">
        <v>10540</v>
      </c>
      <c r="D442" t="s">
        <v>2700</v>
      </c>
      <c r="E442" t="s">
        <v>60</v>
      </c>
      <c r="F442" t="s">
        <v>3637</v>
      </c>
      <c r="G442" t="s">
        <v>3638</v>
      </c>
      <c r="H442">
        <f t="shared" si="6"/>
        <v>1</v>
      </c>
      <c r="I442" t="s">
        <v>3639</v>
      </c>
      <c r="J442" t="s">
        <v>3640</v>
      </c>
      <c r="K442" t="str">
        <f>VLOOKUP(J442,Organisation!$A$2:$C$499,3,FALSE)</f>
        <v>CORG00068</v>
      </c>
      <c r="L442" t="str">
        <f>VLOOKUP(J442,Organisation!$A$2:$E$499,4,FALSE)</f>
        <v>Academic</v>
      </c>
      <c r="M442" t="s">
        <v>84</v>
      </c>
      <c r="N442" t="s">
        <v>3641</v>
      </c>
      <c r="O442" t="s">
        <v>86</v>
      </c>
      <c r="P442" s="3" t="s">
        <v>3642</v>
      </c>
      <c r="Q442" t="s">
        <v>3643</v>
      </c>
      <c r="S442" s="1">
        <v>1</v>
      </c>
      <c r="T442" t="str">
        <f>"Update Collaborator Set Organisation = '"&amp;J442&amp;"' where User_ID = '"&amp;B442&amp;"'; "</f>
        <v xml:space="preserve">Update Collaborator Set Organisation = 'Gulf College' where User_ID = 'CU00441'; </v>
      </c>
      <c r="U442" t="str">
        <f>"Update dcollab.collab_user Set Pi = True where User_ID = '"&amp;A442&amp;"'; "</f>
        <v xml:space="preserve">Update dcollab.collab_user Set Pi = True where User_ID = 'CUSR00523'; </v>
      </c>
    </row>
    <row r="443" spans="1:21">
      <c r="A443" t="s">
        <v>9916</v>
      </c>
      <c r="B443" t="s">
        <v>3365</v>
      </c>
      <c r="D443" t="s">
        <v>1077</v>
      </c>
      <c r="E443" t="s">
        <v>386</v>
      </c>
      <c r="F443" t="s">
        <v>3366</v>
      </c>
      <c r="G443" t="s">
        <v>3367</v>
      </c>
      <c r="H443">
        <f t="shared" si="6"/>
        <v>1</v>
      </c>
      <c r="I443" t="s">
        <v>343</v>
      </c>
      <c r="J443" t="s">
        <v>1080</v>
      </c>
      <c r="K443" t="str">
        <f>VLOOKUP(J443,Organisation!$A$2:$C$499,3,FALSE)</f>
        <v>CORG00237</v>
      </c>
      <c r="L443" t="str">
        <f>VLOOKUP(J443,Organisation!$A$2:$E$499,4,FALSE)</f>
        <v>Academic</v>
      </c>
      <c r="M443" t="s">
        <v>170</v>
      </c>
      <c r="N443" t="s">
        <v>3368</v>
      </c>
      <c r="O443" t="s">
        <v>269</v>
      </c>
      <c r="P443" s="3" t="s">
        <v>3369</v>
      </c>
      <c r="Q443" t="s">
        <v>3370</v>
      </c>
      <c r="S443" s="1">
        <v>0</v>
      </c>
      <c r="T443" t="str">
        <f>"Update Collaborator Set Organisation = '"&amp;J443&amp;"' where User_ID = '"&amp;B443&amp;"'; "</f>
        <v xml:space="preserve">Update Collaborator Set Organisation = 'University of Leeds' where User_ID = 'CU00442'; </v>
      </c>
    </row>
    <row r="444" spans="1:21">
      <c r="A444" t="s">
        <v>10112</v>
      </c>
      <c r="B444" t="s">
        <v>1655</v>
      </c>
      <c r="D444" t="s">
        <v>1656</v>
      </c>
      <c r="E444" t="s">
        <v>60</v>
      </c>
      <c r="F444" t="s">
        <v>1657</v>
      </c>
      <c r="G444" t="s">
        <v>1658</v>
      </c>
      <c r="H444">
        <f t="shared" si="6"/>
        <v>1</v>
      </c>
      <c r="I444" t="s">
        <v>1073</v>
      </c>
      <c r="J444" t="s">
        <v>517</v>
      </c>
      <c r="K444" t="str">
        <f>VLOOKUP(J444,Organisation!$A$2:$C$499,3,FALSE)</f>
        <v>CORG00125</v>
      </c>
      <c r="L444" t="str">
        <f>VLOOKUP(J444,Organisation!$A$2:$E$499,4,FALSE)</f>
        <v>Academic</v>
      </c>
      <c r="M444" t="s">
        <v>1659</v>
      </c>
      <c r="N444" t="s">
        <v>1660</v>
      </c>
      <c r="O444" t="s">
        <v>14</v>
      </c>
      <c r="P444" s="3" t="s">
        <v>1661</v>
      </c>
      <c r="Q444" t="s">
        <v>1662</v>
      </c>
      <c r="S444" s="1">
        <v>1</v>
      </c>
      <c r="T444" t="str">
        <f>"Update Collaborator Set Organisation = '"&amp;J444&amp;"' where User_ID = '"&amp;B444&amp;"'; "</f>
        <v xml:space="preserve">Update Collaborator Set Organisation = 'Monash University' where User_ID = 'CU00443'; </v>
      </c>
    </row>
    <row r="445" spans="1:21">
      <c r="A445" t="s">
        <v>10113</v>
      </c>
      <c r="B445" t="s">
        <v>3592</v>
      </c>
      <c r="C445" t="s">
        <v>10540</v>
      </c>
      <c r="D445" t="s">
        <v>1656</v>
      </c>
      <c r="E445" t="s">
        <v>60</v>
      </c>
      <c r="F445" t="s">
        <v>3593</v>
      </c>
      <c r="G445" t="s">
        <v>3594</v>
      </c>
      <c r="H445">
        <f t="shared" si="6"/>
        <v>2</v>
      </c>
      <c r="I445" t="s">
        <v>516</v>
      </c>
      <c r="J445" t="s">
        <v>517</v>
      </c>
      <c r="K445" t="str">
        <f>VLOOKUP(J445,Organisation!$A$2:$C$499,3,FALSE)</f>
        <v>CORG00125</v>
      </c>
      <c r="L445" t="str">
        <f>VLOOKUP(J445,Organisation!$A$2:$E$499,4,FALSE)</f>
        <v>Academic</v>
      </c>
      <c r="M445" t="s">
        <v>1659</v>
      </c>
      <c r="N445" t="s">
        <v>3595</v>
      </c>
      <c r="O445" t="s">
        <v>14</v>
      </c>
      <c r="P445" s="3" t="s">
        <v>3596</v>
      </c>
      <c r="Q445" t="s">
        <v>3597</v>
      </c>
      <c r="S445" s="1">
        <v>1</v>
      </c>
      <c r="T445" t="str">
        <f>"Update Collaborator Set Organisation = '"&amp;J445&amp;"' where User_ID = '"&amp;B445&amp;"'; "</f>
        <v xml:space="preserve">Update Collaborator Set Organisation = 'Monash University' where User_ID = 'CU00444'; </v>
      </c>
      <c r="U445" t="str">
        <f>"Update dcollab.collab_user Set Pi = True where User_ID = '"&amp;A445&amp;"'; "</f>
        <v xml:space="preserve">Update dcollab.collab_user Set Pi = True where User_ID = 'CUSR00525'; </v>
      </c>
    </row>
    <row r="446" spans="1:21">
      <c r="A446" t="s">
        <v>9824</v>
      </c>
      <c r="B446" t="s">
        <v>4950</v>
      </c>
      <c r="D446" t="s">
        <v>3058</v>
      </c>
      <c r="E446" t="s">
        <v>7</v>
      </c>
      <c r="F446" t="s">
        <v>4927</v>
      </c>
      <c r="G446" t="s">
        <v>4951</v>
      </c>
      <c r="H446">
        <f t="shared" si="6"/>
        <v>1</v>
      </c>
      <c r="I446" t="s">
        <v>343</v>
      </c>
      <c r="J446" t="s">
        <v>3062</v>
      </c>
      <c r="K446" t="str">
        <f>VLOOKUP(J446,Organisation!$A$2:$C$499,3,FALSE)</f>
        <v>CORG00105</v>
      </c>
      <c r="L446" t="str">
        <f>VLOOKUP(J446,Organisation!$A$2:$E$499,4,FALSE)</f>
        <v>Academic</v>
      </c>
      <c r="M446" t="s">
        <v>3063</v>
      </c>
      <c r="N446" t="s">
        <v>3064</v>
      </c>
      <c r="O446" t="s">
        <v>557</v>
      </c>
      <c r="P446" s="3" t="s">
        <v>4952</v>
      </c>
      <c r="Q446" t="s">
        <v>4953</v>
      </c>
      <c r="S446" s="1">
        <v>1</v>
      </c>
      <c r="T446" t="str">
        <f>"Update Collaborator Set Organisation = '"&amp;J446&amp;"' where User_ID = '"&amp;B446&amp;"'; "</f>
        <v xml:space="preserve">Update Collaborator Set Organisation = 'Leuphana University Lueneburg' where User_ID = 'CU00445'; </v>
      </c>
    </row>
    <row r="447" spans="1:21">
      <c r="A447" t="s">
        <v>10114</v>
      </c>
      <c r="B447" t="s">
        <v>4217</v>
      </c>
      <c r="C447" t="s">
        <v>10540</v>
      </c>
      <c r="D447" t="s">
        <v>4218</v>
      </c>
      <c r="E447" t="s">
        <v>60</v>
      </c>
      <c r="F447" t="s">
        <v>4219</v>
      </c>
      <c r="G447" t="s">
        <v>4220</v>
      </c>
      <c r="H447">
        <f t="shared" si="6"/>
        <v>1</v>
      </c>
      <c r="I447" t="s">
        <v>71</v>
      </c>
      <c r="J447" t="s">
        <v>92</v>
      </c>
      <c r="K447" t="str">
        <f>VLOOKUP(J447,Organisation!$A$2:$C$499,3,FALSE)</f>
        <v>CORG00011</v>
      </c>
      <c r="L447" t="str">
        <f>VLOOKUP(J447,Organisation!$A$2:$E$499,4,FALSE)</f>
        <v>Academic</v>
      </c>
      <c r="M447" t="s">
        <v>3193</v>
      </c>
      <c r="N447" t="s">
        <v>4221</v>
      </c>
      <c r="O447" t="s">
        <v>55</v>
      </c>
      <c r="P447" s="3" t="s">
        <v>4222</v>
      </c>
      <c r="Q447" t="s">
        <v>4223</v>
      </c>
      <c r="S447" s="1">
        <v>1</v>
      </c>
      <c r="T447" t="str">
        <f>"Update Collaborator Set Organisation = '"&amp;J447&amp;"' where User_ID = '"&amp;B447&amp;"'; "</f>
        <v xml:space="preserve">Update Collaborator Set Organisation = 'Assiut University' where User_ID = 'CU00446'; </v>
      </c>
      <c r="U447" t="str">
        <f>"Update dcollab.collab_user Set Pi = True where User_ID = '"&amp;A447&amp;"'; "</f>
        <v xml:space="preserve">Update dcollab.collab_user Set Pi = True where User_ID = 'CUSR00526'; </v>
      </c>
    </row>
    <row r="448" spans="1:21">
      <c r="A448" t="s">
        <v>10115</v>
      </c>
      <c r="B448" t="s">
        <v>4743</v>
      </c>
      <c r="C448" t="s">
        <v>10540</v>
      </c>
      <c r="D448" t="s">
        <v>4464</v>
      </c>
      <c r="E448" t="s">
        <v>41</v>
      </c>
      <c r="F448" t="s">
        <v>4744</v>
      </c>
      <c r="G448" t="s">
        <v>4745</v>
      </c>
      <c r="H448">
        <f t="shared" si="6"/>
        <v>1</v>
      </c>
      <c r="I448" t="s">
        <v>4746</v>
      </c>
      <c r="J448" t="s">
        <v>4467</v>
      </c>
      <c r="K448" t="str">
        <f>VLOOKUP(J448,Organisation!$A$2:$C$499,3,FALSE)</f>
        <v>CORG00069</v>
      </c>
      <c r="L448" t="str">
        <f>VLOOKUP(J448,Organisation!$A$2:$E$499,4,FALSE)</f>
        <v>Academic</v>
      </c>
      <c r="M448" t="s">
        <v>4468</v>
      </c>
      <c r="N448" t="s">
        <v>4469</v>
      </c>
      <c r="O448" t="s">
        <v>8809</v>
      </c>
      <c r="P448" s="3" t="s">
        <v>4747</v>
      </c>
      <c r="Q448" t="s">
        <v>4748</v>
      </c>
      <c r="S448" s="1">
        <v>1</v>
      </c>
      <c r="T448" t="str">
        <f>"Update Collaborator Set Organisation = '"&amp;J448&amp;"' where User_ID = '"&amp;B448&amp;"'; "</f>
        <v xml:space="preserve">Update Collaborator Set Organisation = 'Hacettepe University' where User_ID = 'CU00447'; </v>
      </c>
      <c r="U448" t="str">
        <f>"Update dcollab.collab_user Set Pi = True where User_ID = '"&amp;A448&amp;"'; "</f>
        <v xml:space="preserve">Update dcollab.collab_user Set Pi = True where User_ID = 'CUSR00530'; </v>
      </c>
    </row>
    <row r="449" spans="1:21">
      <c r="A449" t="s">
        <v>10116</v>
      </c>
      <c r="B449" t="s">
        <v>4463</v>
      </c>
      <c r="D449" t="s">
        <v>4464</v>
      </c>
      <c r="E449" t="s">
        <v>60</v>
      </c>
      <c r="F449" t="s">
        <v>4465</v>
      </c>
      <c r="G449" t="s">
        <v>4466</v>
      </c>
      <c r="H449">
        <f t="shared" si="6"/>
        <v>1</v>
      </c>
      <c r="J449" t="s">
        <v>4467</v>
      </c>
      <c r="K449" t="str">
        <f>VLOOKUP(J449,Organisation!$A$2:$C$499,3,FALSE)</f>
        <v>CORG00069</v>
      </c>
      <c r="L449" t="str">
        <f>VLOOKUP(J449,Organisation!$A$2:$E$499,4,FALSE)</f>
        <v>Academic</v>
      </c>
      <c r="M449" t="s">
        <v>4468</v>
      </c>
      <c r="N449" t="s">
        <v>4469</v>
      </c>
      <c r="O449" t="s">
        <v>8809</v>
      </c>
      <c r="Q449" t="s">
        <v>4471</v>
      </c>
      <c r="S449" s="1">
        <v>1</v>
      </c>
      <c r="T449" t="str">
        <f>"Update Collaborator Set Organisation = '"&amp;J449&amp;"' where User_ID = '"&amp;B449&amp;"'; "</f>
        <v xml:space="preserve">Update Collaborator Set Organisation = 'Hacettepe University' where User_ID = 'CU00448'; </v>
      </c>
    </row>
    <row r="450" spans="1:21">
      <c r="A450" t="s">
        <v>10117</v>
      </c>
      <c r="B450" t="s">
        <v>1836</v>
      </c>
      <c r="C450" t="s">
        <v>10540</v>
      </c>
      <c r="D450" t="s">
        <v>1837</v>
      </c>
      <c r="E450" t="s">
        <v>60</v>
      </c>
      <c r="F450" t="s">
        <v>1838</v>
      </c>
      <c r="G450" t="s">
        <v>1839</v>
      </c>
      <c r="H450">
        <f t="shared" ref="H450:H513" si="7">COUNTIF($G$2:$G$900,G450)</f>
        <v>1</v>
      </c>
      <c r="I450" t="s">
        <v>1840</v>
      </c>
      <c r="J450" t="s">
        <v>1841</v>
      </c>
      <c r="K450" t="str">
        <f>VLOOKUP(J450,Organisation!$A$2:$C$499,3,FALSE)</f>
        <v>CORG00026</v>
      </c>
      <c r="L450" t="str">
        <f>VLOOKUP(J450,Organisation!$A$2:$E$499,4,FALSE)</f>
        <v>Academic</v>
      </c>
      <c r="M450" t="s">
        <v>1842</v>
      </c>
      <c r="N450" t="s">
        <v>1843</v>
      </c>
      <c r="O450" t="s">
        <v>55</v>
      </c>
      <c r="P450" s="3" t="s">
        <v>1844</v>
      </c>
      <c r="Q450" t="s">
        <v>1845</v>
      </c>
      <c r="S450" s="1">
        <v>1</v>
      </c>
      <c r="T450" t="str">
        <f>"Update Collaborator Set Organisation = '"&amp;J450&amp;"' where User_ID = '"&amp;B450&amp;"'; "</f>
        <v xml:space="preserve">Update Collaborator Set Organisation = 'Cairo University' where User_ID = 'CU00449'; </v>
      </c>
      <c r="U450" t="str">
        <f>"Update dcollab.collab_user Set Pi = True where User_ID = '"&amp;A450&amp;"'; "</f>
        <v xml:space="preserve">Update dcollab.collab_user Set Pi = True where User_ID = 'CUSR00532'; </v>
      </c>
    </row>
    <row r="451" spans="1:21">
      <c r="A451" t="s">
        <v>10118</v>
      </c>
      <c r="B451" t="s">
        <v>203</v>
      </c>
      <c r="D451" t="s">
        <v>204</v>
      </c>
      <c r="E451" t="s">
        <v>7</v>
      </c>
      <c r="F451" t="s">
        <v>205</v>
      </c>
      <c r="G451" t="s">
        <v>206</v>
      </c>
      <c r="H451">
        <f t="shared" si="7"/>
        <v>1</v>
      </c>
      <c r="I451" t="s">
        <v>207</v>
      </c>
      <c r="J451" t="s">
        <v>208</v>
      </c>
      <c r="K451" t="str">
        <f>VLOOKUP(J451,Organisation!$A$2:$C$499,3,FALSE)</f>
        <v>CORG00090</v>
      </c>
      <c r="L451" t="str">
        <f>VLOOKUP(J451,Organisation!$A$2:$E$499,4,FALSE)</f>
        <v>Academic</v>
      </c>
      <c r="M451" t="s">
        <v>209</v>
      </c>
      <c r="N451" t="s">
        <v>210</v>
      </c>
      <c r="O451" t="s">
        <v>211</v>
      </c>
      <c r="P451" s="3" t="s">
        <v>212</v>
      </c>
      <c r="Q451" t="s">
        <v>213</v>
      </c>
      <c r="S451" s="1">
        <v>1</v>
      </c>
      <c r="T451" t="str">
        <f>"Update Collaborator Set Organisation = '"&amp;J451&amp;"' where User_ID = '"&amp;B451&amp;"'; "</f>
        <v xml:space="preserve">Update Collaborator Set Organisation = 'Jain University' where User_ID = 'CU00450'; </v>
      </c>
    </row>
    <row r="452" spans="1:21">
      <c r="A452" t="s">
        <v>10119</v>
      </c>
      <c r="B452" t="s">
        <v>976</v>
      </c>
      <c r="C452" t="s">
        <v>10540</v>
      </c>
      <c r="D452" t="s">
        <v>204</v>
      </c>
      <c r="E452" t="s">
        <v>60</v>
      </c>
      <c r="F452" t="s">
        <v>977</v>
      </c>
      <c r="G452" t="s">
        <v>978</v>
      </c>
      <c r="H452">
        <f t="shared" si="7"/>
        <v>1</v>
      </c>
      <c r="I452" t="s">
        <v>979</v>
      </c>
      <c r="J452" t="s">
        <v>208</v>
      </c>
      <c r="K452" t="str">
        <f>VLOOKUP(J452,Organisation!$A$2:$C$499,3,FALSE)</f>
        <v>CORG00090</v>
      </c>
      <c r="L452" t="str">
        <f>VLOOKUP(J452,Organisation!$A$2:$E$499,4,FALSE)</f>
        <v>Academic</v>
      </c>
      <c r="M452" t="s">
        <v>209</v>
      </c>
      <c r="N452" t="s">
        <v>210</v>
      </c>
      <c r="O452" t="s">
        <v>211</v>
      </c>
      <c r="P452" s="3" t="s">
        <v>980</v>
      </c>
      <c r="Q452" t="s">
        <v>981</v>
      </c>
      <c r="S452" s="1">
        <v>1</v>
      </c>
      <c r="T452" t="str">
        <f>"Update Collaborator Set Organisation = '"&amp;J452&amp;"' where User_ID = '"&amp;B452&amp;"'; "</f>
        <v xml:space="preserve">Update Collaborator Set Organisation = 'Jain University' where User_ID = 'CU00451'; </v>
      </c>
      <c r="U452" t="str">
        <f>"Update dcollab.collab_user Set Pi = True where User_ID = '"&amp;A452&amp;"'; "</f>
        <v xml:space="preserve">Update dcollab.collab_user Set Pi = True where User_ID = 'CUSR00534'; </v>
      </c>
    </row>
    <row r="453" spans="1:21">
      <c r="A453" t="s">
        <v>10120</v>
      </c>
      <c r="B453" t="s">
        <v>4755</v>
      </c>
      <c r="C453" t="s">
        <v>10540</v>
      </c>
      <c r="D453" t="s">
        <v>4756</v>
      </c>
      <c r="E453" t="s">
        <v>60</v>
      </c>
      <c r="F453" t="s">
        <v>4757</v>
      </c>
      <c r="G453" t="s">
        <v>4751</v>
      </c>
      <c r="H453">
        <f t="shared" si="7"/>
        <v>4</v>
      </c>
      <c r="I453" t="s">
        <v>672</v>
      </c>
      <c r="J453" t="s">
        <v>2228</v>
      </c>
      <c r="K453" t="str">
        <f>VLOOKUP(J453,Organisation!$A$2:$C$499,3,FALSE)</f>
        <v>CORG00235</v>
      </c>
      <c r="L453" t="str">
        <f>VLOOKUP(J453,Organisation!$A$2:$E$499,4,FALSE)</f>
        <v>Academic</v>
      </c>
      <c r="M453" t="s">
        <v>4759</v>
      </c>
      <c r="N453" t="s">
        <v>4760</v>
      </c>
      <c r="O453" t="s">
        <v>609</v>
      </c>
      <c r="P453" s="3" t="s">
        <v>4761</v>
      </c>
      <c r="Q453" t="s">
        <v>4762</v>
      </c>
      <c r="S453" s="1">
        <v>1</v>
      </c>
      <c r="T453" t="str">
        <f>"Update Collaborator Set Organisation = '"&amp;J453&amp;"' where User_ID = '"&amp;B453&amp;"'; "</f>
        <v xml:space="preserve">Update Collaborator Set Organisation = 'University of KwaZulu-Natal' where User_ID = 'CU00452'; </v>
      </c>
      <c r="U453" t="str">
        <f>"Update dcollab.collab_user Set Pi = True where User_ID = '"&amp;A453&amp;"'; "</f>
        <v xml:space="preserve">Update dcollab.collab_user Set Pi = True where User_ID = 'CUSR00535'; </v>
      </c>
    </row>
    <row r="454" spans="1:21">
      <c r="A454" t="s">
        <v>10121</v>
      </c>
      <c r="B454" t="s">
        <v>4224</v>
      </c>
      <c r="C454" t="s">
        <v>10540</v>
      </c>
      <c r="D454" t="s">
        <v>1409</v>
      </c>
      <c r="E454" t="s">
        <v>60</v>
      </c>
      <c r="F454" t="s">
        <v>4225</v>
      </c>
      <c r="G454" t="s">
        <v>4226</v>
      </c>
      <c r="H454">
        <f t="shared" si="7"/>
        <v>1</v>
      </c>
      <c r="I454" t="s">
        <v>190</v>
      </c>
      <c r="J454" t="s">
        <v>1413</v>
      </c>
      <c r="K454" t="str">
        <f>VLOOKUP(J454,Organisation!$A$2:$C$499,3,FALSE)</f>
        <v>CORG00202</v>
      </c>
      <c r="L454" t="str">
        <f>VLOOKUP(J454,Organisation!$A$2:$E$499,4,FALSE)</f>
        <v>Academic</v>
      </c>
      <c r="M454" t="s">
        <v>1414</v>
      </c>
      <c r="N454" t="s">
        <v>1415</v>
      </c>
      <c r="O454" t="s">
        <v>75</v>
      </c>
      <c r="P454" s="3" t="s">
        <v>4227</v>
      </c>
      <c r="Q454" t="s">
        <v>4228</v>
      </c>
      <c r="S454" s="1">
        <v>1</v>
      </c>
      <c r="T454" t="str">
        <f>"Update Collaborator Set Organisation = '"&amp;J454&amp;"' where User_ID = '"&amp;B454&amp;"'; "</f>
        <v xml:space="preserve">Update Collaborator Set Organisation = 'Université de Montréal' where User_ID = 'CU00453'; </v>
      </c>
      <c r="U454" t="str">
        <f>"Update dcollab.collab_user Set Pi = True where User_ID = '"&amp;A454&amp;"'; "</f>
        <v xml:space="preserve">Update dcollab.collab_user Set Pi = True where User_ID = 'CUSR00536'; </v>
      </c>
    </row>
    <row r="455" spans="1:21">
      <c r="A455" t="s">
        <v>10122</v>
      </c>
      <c r="B455" t="s">
        <v>1408</v>
      </c>
      <c r="D455" t="s">
        <v>1409</v>
      </c>
      <c r="E455" t="s">
        <v>386</v>
      </c>
      <c r="F455" t="s">
        <v>1410</v>
      </c>
      <c r="G455" t="s">
        <v>1411</v>
      </c>
      <c r="H455">
        <f t="shared" si="7"/>
        <v>1</v>
      </c>
      <c r="I455" t="s">
        <v>1412</v>
      </c>
      <c r="J455" t="s">
        <v>1413</v>
      </c>
      <c r="K455" t="str">
        <f>VLOOKUP(J455,Organisation!$A$2:$C$499,3,FALSE)</f>
        <v>CORG00202</v>
      </c>
      <c r="L455" t="str">
        <f>VLOOKUP(J455,Organisation!$A$2:$E$499,4,FALSE)</f>
        <v>Academic</v>
      </c>
      <c r="M455" t="s">
        <v>1414</v>
      </c>
      <c r="N455" t="s">
        <v>1415</v>
      </c>
      <c r="O455" t="s">
        <v>75</v>
      </c>
      <c r="P455" s="3" t="s">
        <v>1416</v>
      </c>
      <c r="Q455" t="s">
        <v>1417</v>
      </c>
      <c r="S455" s="1">
        <v>1</v>
      </c>
      <c r="T455" t="str">
        <f>"Update Collaborator Set Organisation = '"&amp;J455&amp;"' where User_ID = '"&amp;B455&amp;"'; "</f>
        <v xml:space="preserve">Update Collaborator Set Organisation = 'Université de Montréal' where User_ID = 'CU00454'; </v>
      </c>
    </row>
    <row r="456" spans="1:21">
      <c r="A456" t="s">
        <v>10123</v>
      </c>
      <c r="B456" t="s">
        <v>3154</v>
      </c>
      <c r="D456" t="s">
        <v>2021</v>
      </c>
      <c r="E456" t="s">
        <v>110</v>
      </c>
      <c r="F456" t="s">
        <v>3155</v>
      </c>
      <c r="G456" t="s">
        <v>3156</v>
      </c>
      <c r="H456">
        <f t="shared" si="7"/>
        <v>1</v>
      </c>
      <c r="I456" t="s">
        <v>136</v>
      </c>
      <c r="J456" t="s">
        <v>2024</v>
      </c>
      <c r="K456" t="str">
        <f>VLOOKUP(J456,Organisation!$A$2:$C$499,3,FALSE)</f>
        <v>CORG00138</v>
      </c>
      <c r="L456" t="str">
        <f>VLOOKUP(J456,Organisation!$A$2:$E$499,4,FALSE)</f>
        <v>Academic</v>
      </c>
      <c r="M456" t="s">
        <v>73</v>
      </c>
      <c r="N456" t="s">
        <v>2025</v>
      </c>
      <c r="O456" t="s">
        <v>1235</v>
      </c>
      <c r="P456" s="3" t="s">
        <v>3157</v>
      </c>
      <c r="Q456" t="s">
        <v>3158</v>
      </c>
      <c r="S456" s="1">
        <v>1</v>
      </c>
      <c r="T456" t="str">
        <f>"Update Collaborator Set Organisation = '"&amp;J456&amp;"' where User_ID = '"&amp;B456&amp;"'; "</f>
        <v xml:space="preserve">Update Collaborator Set Organisation = 'National University of Ireland Galway' where User_ID = 'CU00455'; </v>
      </c>
    </row>
    <row r="457" spans="1:21">
      <c r="A457" t="s">
        <v>10124</v>
      </c>
      <c r="B457" t="s">
        <v>3748</v>
      </c>
      <c r="C457" t="s">
        <v>10540</v>
      </c>
      <c r="D457" t="s">
        <v>2021</v>
      </c>
      <c r="E457" t="s">
        <v>41</v>
      </c>
      <c r="F457" t="s">
        <v>360</v>
      </c>
      <c r="G457" t="s">
        <v>3749</v>
      </c>
      <c r="H457">
        <f t="shared" si="7"/>
        <v>1</v>
      </c>
      <c r="I457" t="s">
        <v>3750</v>
      </c>
      <c r="J457" t="s">
        <v>2024</v>
      </c>
      <c r="K457" t="str">
        <f>VLOOKUP(J457,Organisation!$A$2:$C$499,3,FALSE)</f>
        <v>CORG00138</v>
      </c>
      <c r="L457" t="str">
        <f>VLOOKUP(J457,Organisation!$A$2:$E$499,4,FALSE)</f>
        <v>Academic</v>
      </c>
      <c r="M457" t="s">
        <v>73</v>
      </c>
      <c r="N457" t="s">
        <v>2025</v>
      </c>
      <c r="O457" t="s">
        <v>1235</v>
      </c>
      <c r="P457" s="3" t="s">
        <v>3751</v>
      </c>
      <c r="Q457" t="s">
        <v>3752</v>
      </c>
      <c r="S457" s="1">
        <v>1</v>
      </c>
      <c r="T457" t="str">
        <f>"Update Collaborator Set Organisation = '"&amp;J457&amp;"' where User_ID = '"&amp;B457&amp;"'; "</f>
        <v xml:space="preserve">Update Collaborator Set Organisation = 'National University of Ireland Galway' where User_ID = 'CU00456'; </v>
      </c>
      <c r="U457" t="str">
        <f>"Update dcollab.collab_user Set Pi = True where User_ID = '"&amp;A457&amp;"'; "</f>
        <v xml:space="preserve">Update dcollab.collab_user Set Pi = True where User_ID = 'CUSR00539'; </v>
      </c>
    </row>
    <row r="458" spans="1:21">
      <c r="A458" t="s">
        <v>10125</v>
      </c>
      <c r="B458" t="s">
        <v>2020</v>
      </c>
      <c r="D458" t="s">
        <v>2021</v>
      </c>
      <c r="E458" t="s">
        <v>110</v>
      </c>
      <c r="F458" t="s">
        <v>2022</v>
      </c>
      <c r="G458" t="s">
        <v>2023</v>
      </c>
      <c r="H458">
        <f t="shared" si="7"/>
        <v>1</v>
      </c>
      <c r="I458" t="s">
        <v>343</v>
      </c>
      <c r="J458" t="s">
        <v>2024</v>
      </c>
      <c r="K458" t="str">
        <f>VLOOKUP(J458,Organisation!$A$2:$C$499,3,FALSE)</f>
        <v>CORG00138</v>
      </c>
      <c r="L458" t="str">
        <f>VLOOKUP(J458,Organisation!$A$2:$E$499,4,FALSE)</f>
        <v>Academic</v>
      </c>
      <c r="M458" t="s">
        <v>73</v>
      </c>
      <c r="N458" t="s">
        <v>2025</v>
      </c>
      <c r="O458" t="s">
        <v>1235</v>
      </c>
      <c r="P458" s="3" t="s">
        <v>2026</v>
      </c>
      <c r="Q458" t="s">
        <v>2027</v>
      </c>
      <c r="S458" s="1">
        <v>1</v>
      </c>
      <c r="T458" t="str">
        <f>"Update Collaborator Set Organisation = '"&amp;J458&amp;"' where User_ID = '"&amp;B458&amp;"'; "</f>
        <v xml:space="preserve">Update Collaborator Set Organisation = 'National University of Ireland Galway' where User_ID = 'CU00457'; </v>
      </c>
    </row>
    <row r="459" spans="1:21">
      <c r="A459" t="s">
        <v>10126</v>
      </c>
      <c r="B459" t="s">
        <v>5474</v>
      </c>
      <c r="D459" t="s">
        <v>495</v>
      </c>
      <c r="E459" t="s">
        <v>216</v>
      </c>
      <c r="F459" t="s">
        <v>5475</v>
      </c>
      <c r="G459" t="s">
        <v>5476</v>
      </c>
      <c r="H459">
        <f t="shared" si="7"/>
        <v>1</v>
      </c>
      <c r="I459" t="s">
        <v>5477</v>
      </c>
      <c r="J459" t="s">
        <v>499</v>
      </c>
      <c r="K459" t="str">
        <f>VLOOKUP(J459,Organisation!$A$2:$C$499,3,FALSE)</f>
        <v>CORG00256</v>
      </c>
      <c r="L459" t="str">
        <f>VLOOKUP(J459,Organisation!$A$2:$E$499,4,FALSE)</f>
        <v>Academic</v>
      </c>
      <c r="M459" t="s">
        <v>2804</v>
      </c>
      <c r="N459" t="s">
        <v>2805</v>
      </c>
      <c r="O459" t="s">
        <v>8808</v>
      </c>
      <c r="P459" s="3" t="s">
        <v>502</v>
      </c>
      <c r="Q459" t="s">
        <v>5478</v>
      </c>
      <c r="S459" s="1">
        <v>1</v>
      </c>
      <c r="T459" t="str">
        <f>"Update Collaborator Set Organisation = '"&amp;J459&amp;"' where User_ID = '"&amp;B459&amp;"'; "</f>
        <v xml:space="preserve">Update Collaborator Set Organisation = 'University of North Carolina at Chapel Hill' where User_ID = 'CU00458'; </v>
      </c>
    </row>
    <row r="460" spans="1:21">
      <c r="A460" t="s">
        <v>10127</v>
      </c>
      <c r="B460" t="s">
        <v>2800</v>
      </c>
      <c r="D460" t="s">
        <v>495</v>
      </c>
      <c r="E460" t="s">
        <v>60</v>
      </c>
      <c r="F460" t="s">
        <v>2801</v>
      </c>
      <c r="G460" t="s">
        <v>2802</v>
      </c>
      <c r="H460">
        <f t="shared" si="7"/>
        <v>1</v>
      </c>
      <c r="I460" t="s">
        <v>2803</v>
      </c>
      <c r="J460" t="s">
        <v>499</v>
      </c>
      <c r="K460" t="str">
        <f>VLOOKUP(J460,Organisation!$A$2:$C$499,3,FALSE)</f>
        <v>CORG00256</v>
      </c>
      <c r="L460" t="str">
        <f>VLOOKUP(J460,Organisation!$A$2:$E$499,4,FALSE)</f>
        <v>Academic</v>
      </c>
      <c r="M460" t="s">
        <v>2804</v>
      </c>
      <c r="N460" t="s">
        <v>2805</v>
      </c>
      <c r="O460" t="s">
        <v>8808</v>
      </c>
      <c r="P460" s="3" t="s">
        <v>502</v>
      </c>
      <c r="Q460" t="s">
        <v>2806</v>
      </c>
      <c r="S460" s="1">
        <v>1</v>
      </c>
      <c r="T460" t="str">
        <f>"Update Collaborator Set Organisation = '"&amp;J460&amp;"' where User_ID = '"&amp;B460&amp;"'; "</f>
        <v xml:space="preserve">Update Collaborator Set Organisation = 'University of North Carolina at Chapel Hill' where User_ID = 'CU00459'; </v>
      </c>
    </row>
    <row r="461" spans="1:21">
      <c r="A461" t="s">
        <v>10129</v>
      </c>
      <c r="B461" t="s">
        <v>4984</v>
      </c>
      <c r="C461" t="s">
        <v>10540</v>
      </c>
      <c r="D461" t="s">
        <v>4985</v>
      </c>
      <c r="E461" t="s">
        <v>1035</v>
      </c>
      <c r="F461" t="s">
        <v>4986</v>
      </c>
      <c r="G461" t="s">
        <v>4987</v>
      </c>
      <c r="H461">
        <f t="shared" si="7"/>
        <v>1</v>
      </c>
      <c r="I461" t="s">
        <v>190</v>
      </c>
      <c r="J461" t="s">
        <v>4988</v>
      </c>
      <c r="K461" t="str">
        <f>VLOOKUP(J461,Organisation!$A$2:$C$499,3,FALSE)</f>
        <v>CORG00113</v>
      </c>
      <c r="L461" t="str">
        <f>VLOOKUP(J461,Organisation!$A$2:$E$499,4,FALSE)</f>
        <v>Academic</v>
      </c>
      <c r="M461" t="s">
        <v>73</v>
      </c>
      <c r="N461" t="s">
        <v>4989</v>
      </c>
      <c r="O461" t="s">
        <v>8860</v>
      </c>
      <c r="P461" s="3" t="s">
        <v>4991</v>
      </c>
      <c r="Q461" t="s">
        <v>4992</v>
      </c>
      <c r="S461" s="1">
        <v>1</v>
      </c>
      <c r="T461" t="str">
        <f>"Update Collaborator Set Organisation = '"&amp;J461&amp;"' where User_ID = '"&amp;B461&amp;"'; "</f>
        <v xml:space="preserve">Update Collaborator Set Organisation = 'Masaryk University' where User_ID = 'CU00460'; </v>
      </c>
      <c r="U461" t="str">
        <f>"Update dcollab.collab_user Set Pi = True where User_ID = '"&amp;A461&amp;"'; "</f>
        <v xml:space="preserve">Update dcollab.collab_user Set Pi = True where User_ID = 'CUSR00556'; </v>
      </c>
    </row>
    <row r="462" spans="1:21">
      <c r="A462" t="s">
        <v>9876</v>
      </c>
      <c r="B462" t="s">
        <v>2933</v>
      </c>
      <c r="D462" t="s">
        <v>1340</v>
      </c>
      <c r="E462" t="s">
        <v>110</v>
      </c>
      <c r="F462" t="s">
        <v>2934</v>
      </c>
      <c r="G462" t="s">
        <v>2935</v>
      </c>
      <c r="H462">
        <f t="shared" si="7"/>
        <v>1</v>
      </c>
      <c r="I462" t="s">
        <v>241</v>
      </c>
      <c r="J462" t="s">
        <v>1343</v>
      </c>
      <c r="K462" t="str">
        <f>VLOOKUP(J462,Organisation!$A$2:$C$499,3,FALSE)</f>
        <v>CORG00021</v>
      </c>
      <c r="L462" t="str">
        <f>VLOOKUP(J462,Organisation!$A$2:$E$499,4,FALSE)</f>
        <v>Academic</v>
      </c>
      <c r="M462" t="s">
        <v>35</v>
      </c>
      <c r="N462" t="s">
        <v>1344</v>
      </c>
      <c r="O462" t="s">
        <v>211</v>
      </c>
      <c r="P462" s="3" t="s">
        <v>2936</v>
      </c>
      <c r="Q462" t="s">
        <v>2937</v>
      </c>
      <c r="S462" s="1">
        <v>1</v>
      </c>
      <c r="T462" t="str">
        <f>"Update Collaborator Set Organisation = '"&amp;J462&amp;"' where User_ID = '"&amp;B462&amp;"'; "</f>
        <v xml:space="preserve">Update Collaborator Set Organisation = 'Bombay College of Pharmacy' where User_ID = 'CU00461'; </v>
      </c>
    </row>
    <row r="463" spans="1:21">
      <c r="A463" t="s">
        <v>9877</v>
      </c>
      <c r="B463" t="s">
        <v>3507</v>
      </c>
      <c r="D463" t="s">
        <v>1340</v>
      </c>
      <c r="E463" t="s">
        <v>7</v>
      </c>
      <c r="F463" t="s">
        <v>3508</v>
      </c>
      <c r="G463" t="s">
        <v>3509</v>
      </c>
      <c r="H463">
        <f t="shared" si="7"/>
        <v>1</v>
      </c>
      <c r="I463" t="s">
        <v>343</v>
      </c>
      <c r="J463" t="s">
        <v>1343</v>
      </c>
      <c r="K463" t="str">
        <f>VLOOKUP(J463,Organisation!$A$2:$C$499,3,FALSE)</f>
        <v>CORG00021</v>
      </c>
      <c r="L463" t="str">
        <f>VLOOKUP(J463,Organisation!$A$2:$E$499,4,FALSE)</f>
        <v>Academic</v>
      </c>
      <c r="M463" t="s">
        <v>35</v>
      </c>
      <c r="N463" t="s">
        <v>1344</v>
      </c>
      <c r="O463" t="s">
        <v>211</v>
      </c>
      <c r="P463" s="3" t="s">
        <v>3510</v>
      </c>
      <c r="Q463" t="s">
        <v>3511</v>
      </c>
      <c r="S463" s="1">
        <v>1</v>
      </c>
      <c r="T463" t="str">
        <f>"Update Collaborator Set Organisation = '"&amp;J463&amp;"' where User_ID = '"&amp;B463&amp;"'; "</f>
        <v xml:space="preserve">Update Collaborator Set Organisation = 'Bombay College of Pharmacy' where User_ID = 'CU00462'; </v>
      </c>
    </row>
    <row r="464" spans="1:21">
      <c r="A464" t="s">
        <v>9686</v>
      </c>
      <c r="B464" t="s">
        <v>384</v>
      </c>
      <c r="D464" t="s">
        <v>385</v>
      </c>
      <c r="E464" t="s">
        <v>386</v>
      </c>
      <c r="F464" t="s">
        <v>387</v>
      </c>
      <c r="G464" t="s">
        <v>388</v>
      </c>
      <c r="H464">
        <f t="shared" si="7"/>
        <v>1</v>
      </c>
      <c r="I464" t="s">
        <v>207</v>
      </c>
      <c r="J464" t="s">
        <v>389</v>
      </c>
      <c r="K464" t="str">
        <f>VLOOKUP(J464,Organisation!$A$2:$C$499,3,FALSE)</f>
        <v>CORG00271</v>
      </c>
      <c r="L464" t="str">
        <f>VLOOKUP(J464,Organisation!$A$2:$E$499,4,FALSE)</f>
        <v>Academic</v>
      </c>
      <c r="M464" t="s">
        <v>390</v>
      </c>
      <c r="N464" t="s">
        <v>391</v>
      </c>
      <c r="O464" t="s">
        <v>14</v>
      </c>
      <c r="P464" s="3" t="s">
        <v>392</v>
      </c>
      <c r="Q464" t="s">
        <v>393</v>
      </c>
      <c r="S464" s="1">
        <v>1</v>
      </c>
      <c r="T464" t="str">
        <f>"Update Collaborator Set Organisation = '"&amp;J464&amp;"' where User_ID = '"&amp;B464&amp;"'; "</f>
        <v xml:space="preserve">Update Collaborator Set Organisation = 'University of Sydney' where User_ID = 'CU00463'; </v>
      </c>
    </row>
    <row r="465" spans="1:21">
      <c r="A465" t="s">
        <v>9635</v>
      </c>
      <c r="B465" t="s">
        <v>4382</v>
      </c>
      <c r="C465" t="s">
        <v>10540</v>
      </c>
      <c r="D465" t="s">
        <v>2194</v>
      </c>
      <c r="E465" t="s">
        <v>60</v>
      </c>
      <c r="F465" t="s">
        <v>3833</v>
      </c>
      <c r="G465" t="s">
        <v>4383</v>
      </c>
      <c r="H465">
        <f t="shared" si="7"/>
        <v>1</v>
      </c>
      <c r="I465" t="s">
        <v>415</v>
      </c>
      <c r="J465" t="s">
        <v>362</v>
      </c>
      <c r="K465" t="str">
        <f>VLOOKUP(J465,Organisation!$A$2:$C$499,3,FALSE)</f>
        <v>CORG00001</v>
      </c>
      <c r="L465" t="str">
        <f>VLOOKUP(J465,Organisation!$A$2:$E$499,4,FALSE)</f>
        <v>Academic</v>
      </c>
      <c r="M465" t="s">
        <v>416</v>
      </c>
      <c r="N465" t="s">
        <v>4384</v>
      </c>
      <c r="O465" t="s">
        <v>14</v>
      </c>
      <c r="P465" s="3" t="s">
        <v>4385</v>
      </c>
      <c r="Q465" t="s">
        <v>4386</v>
      </c>
      <c r="S465" s="1">
        <v>1</v>
      </c>
      <c r="T465" t="str">
        <f>"Update Collaborator Set Organisation = '"&amp;J465&amp;"' where User_ID = '"&amp;B465&amp;"'; "</f>
        <v xml:space="preserve">Update Collaborator Set Organisation = 'University of Queensland' where User_ID = 'CU00464'; </v>
      </c>
      <c r="U465" t="str">
        <f>"Update dcollab.collab_user Set Pi = True where User_ID = '"&amp;A465&amp;"'; "</f>
        <v xml:space="preserve">Update dcollab.collab_user Set Pi = True where User_ID = 'CUSR00047'; </v>
      </c>
    </row>
    <row r="466" spans="1:21">
      <c r="A466" t="s">
        <v>9737</v>
      </c>
      <c r="B466" t="s">
        <v>1476</v>
      </c>
      <c r="D466" t="s">
        <v>1172</v>
      </c>
      <c r="E466" t="s">
        <v>7</v>
      </c>
      <c r="F466" t="s">
        <v>531</v>
      </c>
      <c r="G466" t="s">
        <v>1477</v>
      </c>
      <c r="H466">
        <f t="shared" si="7"/>
        <v>1</v>
      </c>
      <c r="I466" t="s">
        <v>343</v>
      </c>
      <c r="J466" t="s">
        <v>362</v>
      </c>
      <c r="K466" t="str">
        <f>VLOOKUP(J466,Organisation!$A$2:$C$499,3,FALSE)</f>
        <v>CORG00001</v>
      </c>
      <c r="L466" t="str">
        <f>VLOOKUP(J466,Organisation!$A$2:$E$499,4,FALSE)</f>
        <v>Academic</v>
      </c>
      <c r="M466" t="s">
        <v>416</v>
      </c>
      <c r="N466" t="s">
        <v>1478</v>
      </c>
      <c r="O466" t="s">
        <v>14</v>
      </c>
      <c r="P466" s="3" t="s">
        <v>1479</v>
      </c>
      <c r="Q466" t="s">
        <v>1480</v>
      </c>
      <c r="S466" s="1">
        <v>0</v>
      </c>
      <c r="T466" t="str">
        <f>"Update Collaborator Set Organisation = '"&amp;J466&amp;"' where User_ID = '"&amp;B466&amp;"'; "</f>
        <v xml:space="preserve">Update Collaborator Set Organisation = 'University of Queensland' where User_ID = 'CU00465'; </v>
      </c>
    </row>
    <row r="467" spans="1:21">
      <c r="A467" t="s">
        <v>9738</v>
      </c>
      <c r="B467" t="s">
        <v>1688</v>
      </c>
      <c r="D467" t="s">
        <v>1172</v>
      </c>
      <c r="E467" t="s">
        <v>60</v>
      </c>
      <c r="F467" t="s">
        <v>531</v>
      </c>
      <c r="G467" t="s">
        <v>1689</v>
      </c>
      <c r="H467">
        <f t="shared" si="7"/>
        <v>1</v>
      </c>
      <c r="I467" t="s">
        <v>1690</v>
      </c>
      <c r="J467" t="s">
        <v>362</v>
      </c>
      <c r="K467" t="str">
        <f>VLOOKUP(J467,Organisation!$A$2:$C$499,3,FALSE)</f>
        <v>CORG00001</v>
      </c>
      <c r="L467" t="str">
        <f>VLOOKUP(J467,Organisation!$A$2:$E$499,4,FALSE)</f>
        <v>Academic</v>
      </c>
      <c r="M467" t="s">
        <v>416</v>
      </c>
      <c r="N467" t="s">
        <v>1691</v>
      </c>
      <c r="O467" t="s">
        <v>14</v>
      </c>
      <c r="P467" s="3" t="s">
        <v>1692</v>
      </c>
      <c r="Q467" t="s">
        <v>1693</v>
      </c>
      <c r="S467" s="1">
        <v>1</v>
      </c>
      <c r="T467" t="str">
        <f>"Update Collaborator Set Organisation = '"&amp;J467&amp;"' where User_ID = '"&amp;B467&amp;"'; "</f>
        <v xml:space="preserve">Update Collaborator Set Organisation = 'University of Queensland' where User_ID = 'CU00466'; </v>
      </c>
    </row>
    <row r="468" spans="1:21">
      <c r="A468" t="s">
        <v>10130</v>
      </c>
      <c r="B468" t="s">
        <v>2492</v>
      </c>
      <c r="C468" t="s">
        <v>10540</v>
      </c>
      <c r="D468" t="s">
        <v>505</v>
      </c>
      <c r="E468" t="s">
        <v>60</v>
      </c>
      <c r="F468" t="s">
        <v>2493</v>
      </c>
      <c r="G468" t="s">
        <v>2494</v>
      </c>
      <c r="H468">
        <f t="shared" si="7"/>
        <v>1</v>
      </c>
      <c r="I468" t="s">
        <v>672</v>
      </c>
      <c r="J468" t="s">
        <v>220</v>
      </c>
      <c r="K468" t="str">
        <f>VLOOKUP(J468,Organisation!$A$2:$C$499,3,FALSE)</f>
        <v>CORG00300</v>
      </c>
      <c r="L468" t="str">
        <f>VLOOKUP(J468,Organisation!$A$2:$E$499,4,FALSE)</f>
        <v>Academic</v>
      </c>
      <c r="M468" t="s">
        <v>509</v>
      </c>
      <c r="N468" t="s">
        <v>510</v>
      </c>
      <c r="O468" t="s">
        <v>223</v>
      </c>
      <c r="P468" s="3" t="s">
        <v>2495</v>
      </c>
      <c r="Q468" t="s">
        <v>2496</v>
      </c>
      <c r="S468" s="1">
        <v>1</v>
      </c>
      <c r="T468" t="str">
        <f>"Update Collaborator Set Organisation = '"&amp;J468&amp;"' where User_ID = '"&amp;B468&amp;"'; "</f>
        <v xml:space="preserve">Update Collaborator Set Organisation = 'Victoria University of Wellington' where User_ID = 'CU00467'; </v>
      </c>
      <c r="U468" t="str">
        <f>"Update dcollab.collab_user Set Pi = True where User_ID = '"&amp;A468&amp;"'; "</f>
        <v xml:space="preserve">Update dcollab.collab_user Set Pi = True where User_ID = 'CUSR00557'; </v>
      </c>
    </row>
    <row r="469" spans="1:21">
      <c r="A469" t="s">
        <v>10131</v>
      </c>
      <c r="B469" t="s">
        <v>504</v>
      </c>
      <c r="D469" t="s">
        <v>505</v>
      </c>
      <c r="E469" t="s">
        <v>7</v>
      </c>
      <c r="F469" t="s">
        <v>506</v>
      </c>
      <c r="G469" t="s">
        <v>507</v>
      </c>
      <c r="H469">
        <f t="shared" si="7"/>
        <v>1</v>
      </c>
      <c r="I469" t="s">
        <v>508</v>
      </c>
      <c r="J469" t="s">
        <v>220</v>
      </c>
      <c r="K469" t="str">
        <f>VLOOKUP(J469,Organisation!$A$2:$C$499,3,FALSE)</f>
        <v>CORG00300</v>
      </c>
      <c r="L469" t="str">
        <f>VLOOKUP(J469,Organisation!$A$2:$E$499,4,FALSE)</f>
        <v>Academic</v>
      </c>
      <c r="M469" t="s">
        <v>509</v>
      </c>
      <c r="N469" t="s">
        <v>510</v>
      </c>
      <c r="O469" t="s">
        <v>223</v>
      </c>
      <c r="Q469" t="s">
        <v>511</v>
      </c>
      <c r="S469" s="1">
        <v>1</v>
      </c>
      <c r="T469" t="str">
        <f>"Update Collaborator Set Organisation = '"&amp;J469&amp;"' where User_ID = '"&amp;B469&amp;"'; "</f>
        <v xml:space="preserve">Update Collaborator Set Organisation = 'Victoria University of Wellington' where User_ID = 'CU00468'; </v>
      </c>
    </row>
    <row r="470" spans="1:21">
      <c r="A470" t="s">
        <v>9733</v>
      </c>
      <c r="B470" t="s">
        <v>768</v>
      </c>
      <c r="D470" t="s">
        <v>769</v>
      </c>
      <c r="E470" t="s">
        <v>60</v>
      </c>
      <c r="F470" t="s">
        <v>770</v>
      </c>
      <c r="G470" t="s">
        <v>771</v>
      </c>
      <c r="H470">
        <f t="shared" si="7"/>
        <v>1</v>
      </c>
      <c r="I470" t="s">
        <v>625</v>
      </c>
      <c r="J470" t="s">
        <v>8760</v>
      </c>
      <c r="K470" t="str">
        <f>VLOOKUP(J470,Organisation!$A$2:$C$499,3,FALSE)</f>
        <v>CORG00071</v>
      </c>
      <c r="L470" t="str">
        <f>VLOOKUP(J470,Organisation!$A$2:$E$499,4,FALSE)</f>
        <v>Academic</v>
      </c>
      <c r="M470" t="s">
        <v>772</v>
      </c>
      <c r="N470" t="s">
        <v>773</v>
      </c>
      <c r="O470" t="s">
        <v>704</v>
      </c>
      <c r="Q470" t="s">
        <v>774</v>
      </c>
      <c r="S470" s="1">
        <v>1</v>
      </c>
      <c r="T470" t="str">
        <f>"Update Collaborator Set Organisation = '"&amp;J470&amp;"' where User_ID = '"&amp;B470&amp;"'; "</f>
        <v xml:space="preserve">Update Collaborator Set Organisation = 'Hautes Etudes Ingénieur' where User_ID = 'CU00469'; </v>
      </c>
    </row>
    <row r="471" spans="1:21">
      <c r="A471" t="s">
        <v>10132</v>
      </c>
      <c r="B471" t="s">
        <v>5092</v>
      </c>
      <c r="D471" t="s">
        <v>5093</v>
      </c>
      <c r="E471" t="s">
        <v>60</v>
      </c>
      <c r="F471" t="s">
        <v>5094</v>
      </c>
      <c r="G471" t="s">
        <v>5095</v>
      </c>
      <c r="H471">
        <f t="shared" si="7"/>
        <v>1</v>
      </c>
      <c r="I471" t="s">
        <v>4448</v>
      </c>
      <c r="J471" t="s">
        <v>5096</v>
      </c>
      <c r="K471" t="str">
        <f>VLOOKUP(J471,Organisation!$A$2:$C$499,3,FALSE)</f>
        <v>CORG00016</v>
      </c>
      <c r="L471" t="str">
        <f>VLOOKUP(J471,Organisation!$A$2:$E$499,4,FALSE)</f>
        <v>Academic</v>
      </c>
      <c r="M471" t="s">
        <v>640</v>
      </c>
      <c r="N471" t="s">
        <v>5097</v>
      </c>
      <c r="O471" t="s">
        <v>8808</v>
      </c>
      <c r="P471" s="3" t="s">
        <v>5098</v>
      </c>
      <c r="Q471" t="s">
        <v>5099</v>
      </c>
      <c r="S471" s="1">
        <v>0</v>
      </c>
      <c r="T471" t="str">
        <f>"Update Collaborator Set Organisation = '"&amp;J471&amp;"' where User_ID = '"&amp;B471&amp;"'; "</f>
        <v xml:space="preserve">Update Collaborator Set Organisation = 'Baylor University' where User_ID = 'CU00470'; </v>
      </c>
    </row>
    <row r="472" spans="1:21">
      <c r="A472" t="s">
        <v>10133</v>
      </c>
      <c r="B472" t="s">
        <v>5335</v>
      </c>
      <c r="C472" t="s">
        <v>10540</v>
      </c>
      <c r="D472" t="s">
        <v>5093</v>
      </c>
      <c r="E472" t="s">
        <v>41</v>
      </c>
      <c r="F472" t="s">
        <v>2561</v>
      </c>
      <c r="G472" t="s">
        <v>5336</v>
      </c>
      <c r="H472">
        <f t="shared" si="7"/>
        <v>1</v>
      </c>
      <c r="I472" t="s">
        <v>71</v>
      </c>
      <c r="J472" t="s">
        <v>5096</v>
      </c>
      <c r="K472" t="str">
        <f>VLOOKUP(J472,Organisation!$A$2:$C$499,3,FALSE)</f>
        <v>CORG00016</v>
      </c>
      <c r="L472" t="str">
        <f>VLOOKUP(J472,Organisation!$A$2:$E$499,4,FALSE)</f>
        <v>Academic</v>
      </c>
      <c r="M472" t="s">
        <v>640</v>
      </c>
      <c r="N472" t="s">
        <v>5097</v>
      </c>
      <c r="O472" t="s">
        <v>8808</v>
      </c>
      <c r="P472" s="3" t="s">
        <v>5337</v>
      </c>
      <c r="Q472" t="s">
        <v>5338</v>
      </c>
      <c r="S472" s="1">
        <v>1</v>
      </c>
      <c r="T472" t="str">
        <f>"Update Collaborator Set Organisation = '"&amp;J472&amp;"' where User_ID = '"&amp;B472&amp;"'; "</f>
        <v xml:space="preserve">Update Collaborator Set Organisation = 'Baylor University' where User_ID = 'CU00471'; </v>
      </c>
      <c r="U472" t="str">
        <f>"Update dcollab.collab_user Set Pi = True where User_ID = '"&amp;A472&amp;"'; "</f>
        <v xml:space="preserve">Update dcollab.collab_user Set Pi = True where User_ID = 'CUSR00560'; </v>
      </c>
    </row>
    <row r="473" spans="1:21">
      <c r="A473" t="s">
        <v>9996</v>
      </c>
      <c r="B473" t="s">
        <v>3996</v>
      </c>
      <c r="D473" t="s">
        <v>3987</v>
      </c>
      <c r="E473" t="s">
        <v>7</v>
      </c>
      <c r="F473" t="s">
        <v>3997</v>
      </c>
      <c r="G473" t="s">
        <v>3989</v>
      </c>
      <c r="H473">
        <f t="shared" si="7"/>
        <v>2</v>
      </c>
      <c r="I473" t="s">
        <v>282</v>
      </c>
      <c r="J473" t="s">
        <v>3990</v>
      </c>
      <c r="K473" t="str">
        <f>VLOOKUP(J473,Organisation!$A$2:$C$499,3,FALSE)</f>
        <v>CORG00169</v>
      </c>
      <c r="L473" t="str">
        <f>VLOOKUP(J473,Organisation!$A$2:$E$499,4,FALSE)</f>
        <v>Academic</v>
      </c>
      <c r="M473" t="s">
        <v>84</v>
      </c>
      <c r="N473" t="s">
        <v>3992</v>
      </c>
      <c r="O473" t="s">
        <v>211</v>
      </c>
      <c r="P473" s="3" t="s">
        <v>3998</v>
      </c>
      <c r="Q473" t="s">
        <v>3999</v>
      </c>
      <c r="S473" s="1">
        <v>1</v>
      </c>
      <c r="T473" t="str">
        <f>"Update Collaborator Set Organisation = '"&amp;J473&amp;"' where User_ID = '"&amp;B473&amp;"'; "</f>
        <v xml:space="preserve">Update Collaborator Set Organisation = 'Sardar Patel University' where User_ID = 'CU00472'; </v>
      </c>
    </row>
    <row r="474" spans="1:21">
      <c r="A474" t="s">
        <v>10134</v>
      </c>
      <c r="B474" t="s">
        <v>560</v>
      </c>
      <c r="D474" t="s">
        <v>561</v>
      </c>
      <c r="E474" t="s">
        <v>60</v>
      </c>
      <c r="F474" t="s">
        <v>562</v>
      </c>
      <c r="G474" t="s">
        <v>563</v>
      </c>
      <c r="H474">
        <f t="shared" si="7"/>
        <v>1</v>
      </c>
      <c r="I474" t="s">
        <v>564</v>
      </c>
      <c r="J474" t="s">
        <v>517</v>
      </c>
      <c r="K474" t="str">
        <f>VLOOKUP(J474,Organisation!$A$2:$C$499,3,FALSE)</f>
        <v>CORG00125</v>
      </c>
      <c r="L474" t="str">
        <f>VLOOKUP(J474,Organisation!$A$2:$E$499,4,FALSE)</f>
        <v>Academic</v>
      </c>
      <c r="M474" t="s">
        <v>565</v>
      </c>
      <c r="N474" t="s">
        <v>566</v>
      </c>
      <c r="O474" t="s">
        <v>14</v>
      </c>
      <c r="P474" s="3" t="s">
        <v>567</v>
      </c>
      <c r="Q474" t="s">
        <v>568</v>
      </c>
      <c r="S474" s="1">
        <v>0</v>
      </c>
      <c r="T474" t="str">
        <f>"Update Collaborator Set Organisation = '"&amp;J474&amp;"' where User_ID = '"&amp;B474&amp;"'; "</f>
        <v xml:space="preserve">Update Collaborator Set Organisation = 'Monash University' where User_ID = 'CU00473'; </v>
      </c>
    </row>
    <row r="475" spans="1:21">
      <c r="A475" t="s">
        <v>10135</v>
      </c>
      <c r="B475" t="s">
        <v>3861</v>
      </c>
      <c r="C475" t="s">
        <v>10540</v>
      </c>
      <c r="D475" t="s">
        <v>561</v>
      </c>
      <c r="E475" t="s">
        <v>41</v>
      </c>
      <c r="F475" t="s">
        <v>3862</v>
      </c>
      <c r="G475" t="s">
        <v>3863</v>
      </c>
      <c r="H475">
        <f t="shared" si="7"/>
        <v>1</v>
      </c>
      <c r="I475" t="s">
        <v>71</v>
      </c>
      <c r="J475" t="s">
        <v>517</v>
      </c>
      <c r="K475" t="str">
        <f>VLOOKUP(J475,Organisation!$A$2:$C$499,3,FALSE)</f>
        <v>CORG00125</v>
      </c>
      <c r="L475" t="str">
        <f>VLOOKUP(J475,Organisation!$A$2:$E$499,4,FALSE)</f>
        <v>Academic</v>
      </c>
      <c r="M475" t="s">
        <v>565</v>
      </c>
      <c r="N475" t="s">
        <v>566</v>
      </c>
      <c r="O475" t="s">
        <v>14</v>
      </c>
      <c r="P475" s="3" t="s">
        <v>567</v>
      </c>
      <c r="Q475" t="s">
        <v>3864</v>
      </c>
      <c r="S475" s="1">
        <v>1</v>
      </c>
      <c r="T475" t="str">
        <f>"Update Collaborator Set Organisation = '"&amp;J475&amp;"' where User_ID = '"&amp;B475&amp;"'; "</f>
        <v xml:space="preserve">Update Collaborator Set Organisation = 'Monash University' where User_ID = 'CU00474'; </v>
      </c>
      <c r="U475" t="str">
        <f>"Update dcollab.collab_user Set Pi = True where User_ID = '"&amp;A475&amp;"'; "</f>
        <v xml:space="preserve">Update dcollab.collab_user Set Pi = True where User_ID = 'CUSR00562'; </v>
      </c>
    </row>
    <row r="476" spans="1:21">
      <c r="A476" t="s">
        <v>10136</v>
      </c>
      <c r="B476" t="s">
        <v>4707</v>
      </c>
      <c r="C476" t="s">
        <v>10540</v>
      </c>
      <c r="D476" t="s">
        <v>4708</v>
      </c>
      <c r="E476" t="s">
        <v>60</v>
      </c>
      <c r="F476" t="s">
        <v>4709</v>
      </c>
      <c r="G476" t="s">
        <v>4710</v>
      </c>
      <c r="H476">
        <f t="shared" si="7"/>
        <v>1</v>
      </c>
      <c r="I476" t="s">
        <v>4711</v>
      </c>
      <c r="J476" t="s">
        <v>4289</v>
      </c>
      <c r="K476" t="str">
        <f>VLOOKUP(J476,Organisation!$A$2:$C$499,3,FALSE)</f>
        <v>CORG00273</v>
      </c>
      <c r="L476" t="str">
        <f>VLOOKUP(J476,Organisation!$A$2:$E$499,4,FALSE)</f>
        <v>Academic</v>
      </c>
      <c r="M476" t="s">
        <v>4712</v>
      </c>
      <c r="N476" t="s">
        <v>4713</v>
      </c>
      <c r="O476" t="s">
        <v>14</v>
      </c>
      <c r="P476" s="3" t="s">
        <v>4714</v>
      </c>
      <c r="Q476" t="s">
        <v>4715</v>
      </c>
      <c r="S476" s="1">
        <v>1</v>
      </c>
      <c r="T476" t="str">
        <f>"Update Collaborator Set Organisation = '"&amp;J476&amp;"' where User_ID = '"&amp;B476&amp;"'; "</f>
        <v xml:space="preserve">Update Collaborator Set Organisation = 'University of Technology Sydney' where User_ID = 'CU00475'; </v>
      </c>
      <c r="U476" t="str">
        <f>"Update dcollab.collab_user Set Pi = True where User_ID = '"&amp;A476&amp;"'; "</f>
        <v xml:space="preserve">Update dcollab.collab_user Set Pi = True where User_ID = 'CUSR00563'; </v>
      </c>
    </row>
    <row r="477" spans="1:21">
      <c r="A477" t="s">
        <v>10137</v>
      </c>
      <c r="B477" t="s">
        <v>4352</v>
      </c>
      <c r="C477" t="s">
        <v>10540</v>
      </c>
      <c r="D477" t="s">
        <v>4353</v>
      </c>
      <c r="E477" t="s">
        <v>41</v>
      </c>
      <c r="F477" t="s">
        <v>4354</v>
      </c>
      <c r="G477" t="s">
        <v>4355</v>
      </c>
      <c r="H477">
        <f t="shared" si="7"/>
        <v>1</v>
      </c>
      <c r="I477" t="s">
        <v>4356</v>
      </c>
      <c r="J477" t="s">
        <v>8743</v>
      </c>
      <c r="K477" t="str">
        <f>VLOOKUP(J477,Organisation!$A$2:$C$499,3,FALSE)</f>
        <v>CORG00314</v>
      </c>
      <c r="L477" t="str">
        <f>VLOOKUP(J477,Organisation!$A$2:$E$499,4,FALSE)</f>
        <v>Academic</v>
      </c>
      <c r="M477" t="s">
        <v>4358</v>
      </c>
      <c r="N477" t="s">
        <v>4359</v>
      </c>
      <c r="O477" t="s">
        <v>253</v>
      </c>
      <c r="P477" s="3" t="s">
        <v>4360</v>
      </c>
      <c r="Q477" t="s">
        <v>4361</v>
      </c>
      <c r="S477" s="1">
        <v>1</v>
      </c>
      <c r="T477" t="str">
        <f>"Update Collaborator Set Organisation = '"&amp;J477&amp;"' where User_ID = '"&amp;B477&amp;"'; "</f>
        <v xml:space="preserve">Update Collaborator Set Organisation = 'Zurich University of Applied Sciences' where User_ID = 'CU00476'; </v>
      </c>
      <c r="U477" t="str">
        <f>"Update dcollab.collab_user Set Pi = True where User_ID = '"&amp;A477&amp;"'; "</f>
        <v xml:space="preserve">Update dcollab.collab_user Set Pi = True where User_ID = 'CUSR00564'; </v>
      </c>
    </row>
    <row r="478" spans="1:21">
      <c r="A478" t="s">
        <v>9967</v>
      </c>
      <c r="B478" t="s">
        <v>834</v>
      </c>
      <c r="D478" t="s">
        <v>835</v>
      </c>
      <c r="E478" t="s">
        <v>60</v>
      </c>
      <c r="F478" t="s">
        <v>836</v>
      </c>
      <c r="G478" t="s">
        <v>837</v>
      </c>
      <c r="H478">
        <f t="shared" si="7"/>
        <v>1</v>
      </c>
      <c r="I478" t="s">
        <v>657</v>
      </c>
      <c r="J478" t="s">
        <v>838</v>
      </c>
      <c r="K478" t="str">
        <f>VLOOKUP(J478,Organisation!$A$2:$C$499,3,FALSE)</f>
        <v>CORG00213</v>
      </c>
      <c r="L478" t="str">
        <f>VLOOKUP(J478,Organisation!$A$2:$E$499,4,FALSE)</f>
        <v>Academic</v>
      </c>
      <c r="M478" t="s">
        <v>84</v>
      </c>
      <c r="N478" t="s">
        <v>839</v>
      </c>
      <c r="O478" t="s">
        <v>75</v>
      </c>
      <c r="P478" s="3" t="s">
        <v>840</v>
      </c>
      <c r="Q478" t="s">
        <v>841</v>
      </c>
      <c r="S478" s="1">
        <v>1</v>
      </c>
      <c r="T478" t="str">
        <f>"Update Collaborator Set Organisation = '"&amp;J478&amp;"' where User_ID = '"&amp;B478&amp;"'; "</f>
        <v xml:space="preserve">Update Collaborator Set Organisation = 'University of Alberta' where User_ID = 'CU00477'; </v>
      </c>
    </row>
    <row r="479" spans="1:21">
      <c r="A479" t="s">
        <v>10140</v>
      </c>
      <c r="B479" t="s">
        <v>707</v>
      </c>
      <c r="C479" t="s">
        <v>10540</v>
      </c>
      <c r="D479" t="s">
        <v>708</v>
      </c>
      <c r="E479" t="s">
        <v>60</v>
      </c>
      <c r="F479" t="s">
        <v>709</v>
      </c>
      <c r="G479" t="s">
        <v>710</v>
      </c>
      <c r="H479">
        <f t="shared" si="7"/>
        <v>1</v>
      </c>
      <c r="I479" t="s">
        <v>33</v>
      </c>
      <c r="J479" t="s">
        <v>711</v>
      </c>
      <c r="K479" t="str">
        <f>VLOOKUP(J479,Organisation!$A$2:$C$499,3,FALSE)</f>
        <v>CORG00158</v>
      </c>
      <c r="L479" t="str">
        <f>VLOOKUP(J479,Organisation!$A$2:$E$499,4,FALSE)</f>
        <v>Academic</v>
      </c>
      <c r="M479" t="s">
        <v>712</v>
      </c>
      <c r="N479" t="s">
        <v>713</v>
      </c>
      <c r="O479" t="s">
        <v>609</v>
      </c>
      <c r="P479" s="3" t="s">
        <v>714</v>
      </c>
      <c r="Q479" t="s">
        <v>715</v>
      </c>
      <c r="S479" s="1">
        <v>1</v>
      </c>
      <c r="T479" t="str">
        <f>"Update Collaborator Set Organisation = '"&amp;J479&amp;"' where User_ID = '"&amp;B479&amp;"'; "</f>
        <v xml:space="preserve">Update Collaborator Set Organisation = 'Rhodes University' where User_ID = 'CU00478'; </v>
      </c>
      <c r="U479" t="str">
        <f>"Update dcollab.collab_user Set Pi = True where User_ID = '"&amp;A479&amp;"'; "</f>
        <v xml:space="preserve">Update dcollab.collab_user Set Pi = True where User_ID = 'CUSR00567'; </v>
      </c>
    </row>
    <row r="480" spans="1:21">
      <c r="A480" t="s">
        <v>10138</v>
      </c>
      <c r="B480" t="s">
        <v>1212</v>
      </c>
      <c r="C480" t="s">
        <v>10540</v>
      </c>
      <c r="D480" t="s">
        <v>1213</v>
      </c>
      <c r="E480" t="s">
        <v>41</v>
      </c>
      <c r="F480" t="s">
        <v>1214</v>
      </c>
      <c r="G480" t="s">
        <v>1215</v>
      </c>
      <c r="H480">
        <f t="shared" si="7"/>
        <v>1</v>
      </c>
      <c r="I480" t="s">
        <v>1216</v>
      </c>
      <c r="J480" t="s">
        <v>389</v>
      </c>
      <c r="K480" t="str">
        <f>VLOOKUP(J480,Organisation!$A$2:$C$499,3,FALSE)</f>
        <v>CORG00271</v>
      </c>
      <c r="L480" t="str">
        <f>VLOOKUP(J480,Organisation!$A$2:$E$499,4,FALSE)</f>
        <v>Academic</v>
      </c>
      <c r="M480" t="s">
        <v>1217</v>
      </c>
      <c r="N480" t="s">
        <v>1218</v>
      </c>
      <c r="O480" t="s">
        <v>14</v>
      </c>
      <c r="P480" s="3" t="s">
        <v>1219</v>
      </c>
      <c r="Q480" t="s">
        <v>1220</v>
      </c>
      <c r="S480" s="1">
        <v>1</v>
      </c>
      <c r="T480" t="str">
        <f>"Update Collaborator Set Organisation = '"&amp;J480&amp;"' where User_ID = '"&amp;B480&amp;"'; "</f>
        <v xml:space="preserve">Update Collaborator Set Organisation = 'University of Sydney' where User_ID = 'CU00479'; </v>
      </c>
      <c r="U480" t="str">
        <f>"Update dcollab.collab_user Set Pi = True where User_ID = '"&amp;A480&amp;"'; "</f>
        <v xml:space="preserve">Update dcollab.collab_user Set Pi = True where User_ID = 'CUSR00565'; </v>
      </c>
    </row>
    <row r="481" spans="1:21">
      <c r="A481" t="s">
        <v>10139</v>
      </c>
      <c r="B481" t="s">
        <v>4347</v>
      </c>
      <c r="D481" t="s">
        <v>1213</v>
      </c>
      <c r="E481" t="s">
        <v>7</v>
      </c>
      <c r="F481" t="s">
        <v>4348</v>
      </c>
      <c r="G481" t="s">
        <v>4349</v>
      </c>
      <c r="H481">
        <f t="shared" si="7"/>
        <v>1</v>
      </c>
      <c r="I481" t="s">
        <v>152</v>
      </c>
      <c r="J481" t="s">
        <v>389</v>
      </c>
      <c r="K481" t="str">
        <f>VLOOKUP(J481,Organisation!$A$2:$C$499,3,FALSE)</f>
        <v>CORG00271</v>
      </c>
      <c r="L481" t="str">
        <f>VLOOKUP(J481,Organisation!$A$2:$E$499,4,FALSE)</f>
        <v>Academic</v>
      </c>
      <c r="M481" t="s">
        <v>1217</v>
      </c>
      <c r="N481" t="s">
        <v>1218</v>
      </c>
      <c r="O481" t="s">
        <v>14</v>
      </c>
      <c r="P481" s="3" t="s">
        <v>4350</v>
      </c>
      <c r="Q481" t="s">
        <v>4351</v>
      </c>
      <c r="S481" s="1">
        <v>1</v>
      </c>
      <c r="T481" t="str">
        <f>"Update Collaborator Set Organisation = '"&amp;J481&amp;"' where User_ID = '"&amp;B481&amp;"'; "</f>
        <v xml:space="preserve">Update Collaborator Set Organisation = 'University of Sydney' where User_ID = 'CU00480'; </v>
      </c>
    </row>
    <row r="482" spans="1:21">
      <c r="A482" t="s">
        <v>10141</v>
      </c>
      <c r="B482" t="s">
        <v>785</v>
      </c>
      <c r="D482" t="s">
        <v>786</v>
      </c>
      <c r="E482" t="s">
        <v>60</v>
      </c>
      <c r="F482" t="s">
        <v>787</v>
      </c>
      <c r="G482" t="s">
        <v>788</v>
      </c>
      <c r="H482">
        <f t="shared" si="7"/>
        <v>1</v>
      </c>
      <c r="I482" t="s">
        <v>789</v>
      </c>
      <c r="J482" t="s">
        <v>790</v>
      </c>
      <c r="K482" t="str">
        <f>VLOOKUP(J482,Organisation!$A$2:$C$499,3,FALSE)</f>
        <v>CORG00024</v>
      </c>
      <c r="L482" t="str">
        <f>VLOOKUP(J482,Organisation!$A$2:$E$499,4,FALSE)</f>
        <v>Academic</v>
      </c>
      <c r="M482" t="s">
        <v>791</v>
      </c>
      <c r="N482" t="s">
        <v>792</v>
      </c>
      <c r="O482" t="s">
        <v>8808</v>
      </c>
      <c r="P482" s="3" t="s">
        <v>793</v>
      </c>
      <c r="Q482" t="s">
        <v>794</v>
      </c>
      <c r="S482" s="1">
        <v>0</v>
      </c>
      <c r="T482" t="str">
        <f>"Update Collaborator Set Organisation = '"&amp;J482&amp;"' where User_ID = '"&amp;B482&amp;"'; "</f>
        <v xml:space="preserve">Update Collaborator Set Organisation = 'Broad Institute' where User_ID = 'CU00481'; </v>
      </c>
    </row>
    <row r="483" spans="1:21">
      <c r="A483" t="s">
        <v>9922</v>
      </c>
      <c r="B483" t="s">
        <v>3707</v>
      </c>
      <c r="D483" t="s">
        <v>247</v>
      </c>
      <c r="E483" t="s">
        <v>60</v>
      </c>
      <c r="F483" t="s">
        <v>3708</v>
      </c>
      <c r="G483" t="s">
        <v>3709</v>
      </c>
      <c r="H483">
        <f t="shared" si="7"/>
        <v>1</v>
      </c>
      <c r="I483" t="s">
        <v>3710</v>
      </c>
      <c r="J483" t="s">
        <v>3487</v>
      </c>
      <c r="K483" t="str">
        <f>VLOOKUP(J483,Organisation!$A$2:$C$499,3,FALSE)</f>
        <v>CORG00031</v>
      </c>
      <c r="L483" t="str">
        <f>VLOOKUP(J483,Organisation!$A$2:$E$499,4,FALSE)</f>
        <v>For-Profit</v>
      </c>
      <c r="N483" t="s">
        <v>3488</v>
      </c>
      <c r="O483" t="s">
        <v>269</v>
      </c>
      <c r="Q483" t="s">
        <v>3711</v>
      </c>
      <c r="S483" s="1">
        <v>1</v>
      </c>
      <c r="T483" t="str">
        <f>"Update Collaborator Set Organisation = '"&amp;J483&amp;"' where User_ID = '"&amp;B483&amp;"'; "</f>
        <v xml:space="preserve">Update Collaborator Set Organisation = 'Charles River' where User_ID = 'CU00482'; </v>
      </c>
    </row>
    <row r="484" spans="1:21">
      <c r="A484" t="s">
        <v>9923</v>
      </c>
      <c r="B484" t="s">
        <v>5214</v>
      </c>
      <c r="D484" t="s">
        <v>247</v>
      </c>
      <c r="E484" t="s">
        <v>60</v>
      </c>
      <c r="F484" t="s">
        <v>2745</v>
      </c>
      <c r="G484" t="s">
        <v>5215</v>
      </c>
      <c r="H484">
        <f t="shared" si="7"/>
        <v>1</v>
      </c>
      <c r="J484" t="s">
        <v>3487</v>
      </c>
      <c r="K484" t="str">
        <f>VLOOKUP(J484,Organisation!$A$2:$C$499,3,FALSE)</f>
        <v>CORG00031</v>
      </c>
      <c r="L484" t="str">
        <f>VLOOKUP(J484,Organisation!$A$2:$E$499,4,FALSE)</f>
        <v>For-Profit</v>
      </c>
      <c r="N484" t="s">
        <v>3488</v>
      </c>
      <c r="O484" t="s">
        <v>269</v>
      </c>
      <c r="Q484" t="s">
        <v>5216</v>
      </c>
      <c r="S484" s="1">
        <v>1</v>
      </c>
      <c r="T484" t="str">
        <f>"Update Collaborator Set Organisation = '"&amp;J484&amp;"' where User_ID = '"&amp;B484&amp;"'; "</f>
        <v xml:space="preserve">Update Collaborator Set Organisation = 'Charles River' where User_ID = 'CU00483'; </v>
      </c>
    </row>
    <row r="485" spans="1:21">
      <c r="A485" t="s">
        <v>9924</v>
      </c>
      <c r="B485" t="s">
        <v>3490</v>
      </c>
      <c r="D485" t="s">
        <v>247</v>
      </c>
      <c r="E485" t="s">
        <v>60</v>
      </c>
      <c r="F485" t="s">
        <v>463</v>
      </c>
      <c r="G485" t="s">
        <v>689</v>
      </c>
      <c r="H485">
        <f t="shared" si="7"/>
        <v>2</v>
      </c>
      <c r="J485" t="s">
        <v>3487</v>
      </c>
      <c r="K485" t="str">
        <f>VLOOKUP(J485,Organisation!$A$2:$C$499,3,FALSE)</f>
        <v>CORG00031</v>
      </c>
      <c r="L485" t="str">
        <f>VLOOKUP(J485,Organisation!$A$2:$E$499,4,FALSE)</f>
        <v>For-Profit</v>
      </c>
      <c r="N485" t="s">
        <v>3488</v>
      </c>
      <c r="O485" t="s">
        <v>269</v>
      </c>
      <c r="Q485" t="s">
        <v>3491</v>
      </c>
      <c r="S485" s="1">
        <v>1</v>
      </c>
      <c r="T485" t="str">
        <f>"Update Collaborator Set Organisation = '"&amp;J485&amp;"' where User_ID = '"&amp;B485&amp;"'; "</f>
        <v xml:space="preserve">Update Collaborator Set Organisation = 'Charles River' where User_ID = 'CU00484'; </v>
      </c>
    </row>
    <row r="486" spans="1:21">
      <c r="A486" t="s">
        <v>9925</v>
      </c>
      <c r="B486" t="s">
        <v>3485</v>
      </c>
      <c r="D486" t="s">
        <v>247</v>
      </c>
      <c r="E486" t="s">
        <v>60</v>
      </c>
      <c r="F486" t="s">
        <v>2721</v>
      </c>
      <c r="G486" t="s">
        <v>689</v>
      </c>
      <c r="H486">
        <f t="shared" si="7"/>
        <v>2</v>
      </c>
      <c r="I486" t="s">
        <v>3486</v>
      </c>
      <c r="J486" t="s">
        <v>3487</v>
      </c>
      <c r="K486" t="str">
        <f>VLOOKUP(J486,Organisation!$A$2:$C$499,3,FALSE)</f>
        <v>CORG00031</v>
      </c>
      <c r="L486" t="str">
        <f>VLOOKUP(J486,Organisation!$A$2:$E$499,4,FALSE)</f>
        <v>For-Profit</v>
      </c>
      <c r="N486" t="s">
        <v>3488</v>
      </c>
      <c r="O486" t="s">
        <v>269</v>
      </c>
      <c r="Q486" t="s">
        <v>3489</v>
      </c>
      <c r="S486" s="1">
        <v>1</v>
      </c>
      <c r="T486" t="str">
        <f>"Update Collaborator Set Organisation = '"&amp;J486&amp;"' where User_ID = '"&amp;B486&amp;"'; "</f>
        <v xml:space="preserve">Update Collaborator Set Organisation = 'Charles River' where User_ID = 'CU00485'; </v>
      </c>
    </row>
    <row r="487" spans="1:21">
      <c r="A487" t="s">
        <v>9926</v>
      </c>
      <c r="B487" t="s">
        <v>629</v>
      </c>
      <c r="D487" t="s">
        <v>247</v>
      </c>
      <c r="E487" t="s">
        <v>60</v>
      </c>
      <c r="F487" t="s">
        <v>630</v>
      </c>
      <c r="G487" t="s">
        <v>631</v>
      </c>
      <c r="H487">
        <f t="shared" si="7"/>
        <v>1</v>
      </c>
      <c r="I487" t="s">
        <v>632</v>
      </c>
      <c r="J487" t="s">
        <v>8766</v>
      </c>
      <c r="K487" t="str">
        <f>VLOOKUP(J487,Organisation!$A$2:$C$499,3,FALSE)</f>
        <v>CORG00118</v>
      </c>
      <c r="L487" t="str">
        <f>VLOOKUP(J487,Organisation!$A$2:$E$499,4,FALSE)</f>
        <v>Not-for-Profit</v>
      </c>
      <c r="N487" t="s">
        <v>633</v>
      </c>
      <c r="O487" t="s">
        <v>253</v>
      </c>
      <c r="Q487" t="s">
        <v>634</v>
      </c>
      <c r="S487" s="1">
        <v>1</v>
      </c>
      <c r="T487" t="str">
        <f>"Update Collaborator Set Organisation = '"&amp;J487&amp;"' where User_ID = '"&amp;B487&amp;"'; "</f>
        <v xml:space="preserve">Update Collaborator Set Organisation = 'Medicines for Malaria Venture' where User_ID = 'CU00486'; </v>
      </c>
    </row>
    <row r="488" spans="1:21">
      <c r="A488" t="s">
        <v>9927</v>
      </c>
      <c r="B488" t="s">
        <v>1671</v>
      </c>
      <c r="D488" t="s">
        <v>247</v>
      </c>
      <c r="E488" t="s">
        <v>41</v>
      </c>
      <c r="F488" t="s">
        <v>983</v>
      </c>
      <c r="G488" t="s">
        <v>1672</v>
      </c>
      <c r="H488">
        <f t="shared" si="7"/>
        <v>1</v>
      </c>
      <c r="I488" t="s">
        <v>1673</v>
      </c>
      <c r="J488" t="s">
        <v>8766</v>
      </c>
      <c r="K488" t="str">
        <f>VLOOKUP(J488,Organisation!$A$2:$C$499,3,FALSE)</f>
        <v>CORG00118</v>
      </c>
      <c r="L488" t="str">
        <f>VLOOKUP(J488,Organisation!$A$2:$E$499,4,FALSE)</f>
        <v>Not-for-Profit</v>
      </c>
      <c r="N488" t="s">
        <v>633</v>
      </c>
      <c r="O488" t="s">
        <v>253</v>
      </c>
      <c r="Q488" t="s">
        <v>1674</v>
      </c>
      <c r="S488" s="1">
        <v>1</v>
      </c>
      <c r="T488" t="str">
        <f>"Update Collaborator Set Organisation = '"&amp;J488&amp;"' where User_ID = '"&amp;B488&amp;"'; "</f>
        <v xml:space="preserve">Update Collaborator Set Organisation = 'Medicines for Malaria Venture' where User_ID = 'CU00487'; </v>
      </c>
    </row>
    <row r="489" spans="1:21">
      <c r="A489" t="s">
        <v>10144</v>
      </c>
      <c r="B489" t="s">
        <v>1802</v>
      </c>
      <c r="C489" t="s">
        <v>10540</v>
      </c>
      <c r="D489" t="s">
        <v>1803</v>
      </c>
      <c r="E489" t="s">
        <v>41</v>
      </c>
      <c r="F489" t="s">
        <v>1804</v>
      </c>
      <c r="G489" t="s">
        <v>1805</v>
      </c>
      <c r="H489">
        <f t="shared" si="7"/>
        <v>1</v>
      </c>
      <c r="I489" t="s">
        <v>1806</v>
      </c>
      <c r="J489" t="s">
        <v>8768</v>
      </c>
      <c r="K489" t="str">
        <f>VLOOKUP(J489,Organisation!$A$2:$C$499,3,FALSE)</f>
        <v>CORG00131</v>
      </c>
      <c r="L489" t="str">
        <f>VLOOKUP(J489,Organisation!$A$2:$E$499,4,FALSE)</f>
        <v>Academic</v>
      </c>
      <c r="M489" t="s">
        <v>1807</v>
      </c>
      <c r="N489" t="s">
        <v>1808</v>
      </c>
      <c r="O489" t="s">
        <v>55</v>
      </c>
      <c r="P489" s="3" t="s">
        <v>1809</v>
      </c>
      <c r="Q489" t="s">
        <v>1810</v>
      </c>
      <c r="S489" s="1">
        <v>1</v>
      </c>
      <c r="T489" t="str">
        <f>"Update Collaborator Set Organisation = '"&amp;J489&amp;"' where User_ID = '"&amp;B489&amp;"'; "</f>
        <v xml:space="preserve">Update Collaborator Set Organisation = 'National Center for Radiation Research and Technology' where User_ID = 'CU00488'; </v>
      </c>
      <c r="U489" t="str">
        <f>"Update dcollab.collab_user Set Pi = True where User_ID = '"&amp;A489&amp;"'; "</f>
        <v xml:space="preserve">Update dcollab.collab_user Set Pi = True where User_ID = 'CUSR00571'; </v>
      </c>
    </row>
    <row r="490" spans="1:21">
      <c r="A490" t="s">
        <v>10145</v>
      </c>
      <c r="B490" t="s">
        <v>2383</v>
      </c>
      <c r="D490" t="s">
        <v>1803</v>
      </c>
      <c r="E490" t="s">
        <v>60</v>
      </c>
      <c r="F490" t="s">
        <v>2384</v>
      </c>
      <c r="G490" t="s">
        <v>2385</v>
      </c>
      <c r="H490">
        <f t="shared" si="7"/>
        <v>1</v>
      </c>
      <c r="I490" t="s">
        <v>136</v>
      </c>
      <c r="J490" t="s">
        <v>8768</v>
      </c>
      <c r="K490" t="str">
        <f>VLOOKUP(J490,Organisation!$A$2:$C$499,3,FALSE)</f>
        <v>CORG00131</v>
      </c>
      <c r="L490" t="str">
        <f>VLOOKUP(J490,Organisation!$A$2:$E$499,4,FALSE)</f>
        <v>Academic</v>
      </c>
      <c r="M490" t="s">
        <v>1807</v>
      </c>
      <c r="N490" t="s">
        <v>1808</v>
      </c>
      <c r="O490" t="s">
        <v>55</v>
      </c>
      <c r="Q490" t="s">
        <v>2386</v>
      </c>
      <c r="S490" s="1">
        <v>1</v>
      </c>
      <c r="T490" t="str">
        <f>"Update Collaborator Set Organisation = '"&amp;J490&amp;"' where User_ID = '"&amp;B490&amp;"'; "</f>
        <v xml:space="preserve">Update Collaborator Set Organisation = 'National Center for Radiation Research and Technology' where User_ID = 'CU00489'; </v>
      </c>
    </row>
    <row r="491" spans="1:21">
      <c r="A491" t="s">
        <v>10146</v>
      </c>
      <c r="B491" t="s">
        <v>2756</v>
      </c>
      <c r="C491" t="s">
        <v>10540</v>
      </c>
      <c r="D491" t="s">
        <v>2757</v>
      </c>
      <c r="E491" t="s">
        <v>60</v>
      </c>
      <c r="F491" t="s">
        <v>2758</v>
      </c>
      <c r="G491" t="s">
        <v>2759</v>
      </c>
      <c r="H491">
        <f t="shared" si="7"/>
        <v>1</v>
      </c>
      <c r="I491" t="s">
        <v>71</v>
      </c>
      <c r="J491" t="s">
        <v>1446</v>
      </c>
      <c r="K491" t="str">
        <f>VLOOKUP(J491,Organisation!$A$2:$C$499,3,FALSE)</f>
        <v>CORG00301</v>
      </c>
      <c r="L491" t="str">
        <f>VLOOKUP(J491,Organisation!$A$2:$E$499,4,FALSE)</f>
        <v>Academic</v>
      </c>
      <c r="M491" t="s">
        <v>84</v>
      </c>
      <c r="N491" t="s">
        <v>2760</v>
      </c>
      <c r="O491" t="s">
        <v>211</v>
      </c>
      <c r="P491" s="3" t="s">
        <v>2761</v>
      </c>
      <c r="Q491" t="s">
        <v>2762</v>
      </c>
      <c r="S491" s="1">
        <v>1</v>
      </c>
      <c r="T491" t="str">
        <f>"Update Collaborator Set Organisation = '"&amp;J491&amp;"' where User_ID = '"&amp;B491&amp;"'; "</f>
        <v xml:space="preserve">Update Collaborator Set Organisation = 'VIT University' where User_ID = 'CU00490'; </v>
      </c>
      <c r="U491" t="str">
        <f>"Update dcollab.collab_user Set Pi = True where User_ID = '"&amp;A491&amp;"'; "</f>
        <v xml:space="preserve">Update dcollab.collab_user Set Pi = True where User_ID = 'CUSR00573'; </v>
      </c>
    </row>
    <row r="492" spans="1:21">
      <c r="A492" t="s">
        <v>10147</v>
      </c>
      <c r="B492" t="s">
        <v>4305</v>
      </c>
      <c r="D492" t="s">
        <v>2757</v>
      </c>
      <c r="E492" t="s">
        <v>386</v>
      </c>
      <c r="F492" t="s">
        <v>4306</v>
      </c>
      <c r="G492" t="s">
        <v>1582</v>
      </c>
      <c r="H492">
        <f t="shared" si="7"/>
        <v>3</v>
      </c>
      <c r="I492" t="s">
        <v>282</v>
      </c>
      <c r="J492" t="s">
        <v>1446</v>
      </c>
      <c r="K492" t="str">
        <f>VLOOKUP(J492,Organisation!$A$2:$C$499,3,FALSE)</f>
        <v>CORG00301</v>
      </c>
      <c r="L492" t="str">
        <f>VLOOKUP(J492,Organisation!$A$2:$E$499,4,FALSE)</f>
        <v>Academic</v>
      </c>
      <c r="M492" t="s">
        <v>84</v>
      </c>
      <c r="N492" t="s">
        <v>2760</v>
      </c>
      <c r="O492" t="s">
        <v>211</v>
      </c>
      <c r="P492" s="3" t="s">
        <v>4307</v>
      </c>
      <c r="Q492" t="s">
        <v>4308</v>
      </c>
      <c r="S492" s="1">
        <v>1</v>
      </c>
      <c r="T492" t="str">
        <f>"Update Collaborator Set Organisation = '"&amp;J492&amp;"' where User_ID = '"&amp;B492&amp;"'; "</f>
        <v xml:space="preserve">Update Collaborator Set Organisation = 'VIT University' where User_ID = 'CU00491'; </v>
      </c>
    </row>
    <row r="493" spans="1:21">
      <c r="A493" t="s">
        <v>10148</v>
      </c>
      <c r="B493" t="s">
        <v>3973</v>
      </c>
      <c r="C493" t="s">
        <v>10540</v>
      </c>
      <c r="D493" t="s">
        <v>412</v>
      </c>
      <c r="E493" t="s">
        <v>60</v>
      </c>
      <c r="F493" t="s">
        <v>3974</v>
      </c>
      <c r="G493" t="s">
        <v>3975</v>
      </c>
      <c r="H493">
        <f t="shared" si="7"/>
        <v>1</v>
      </c>
      <c r="I493" t="s">
        <v>3976</v>
      </c>
      <c r="J493" t="s">
        <v>362</v>
      </c>
      <c r="K493" t="str">
        <f>VLOOKUP(J493,Organisation!$A$2:$C$499,3,FALSE)</f>
        <v>CORG00001</v>
      </c>
      <c r="L493" t="str">
        <f>VLOOKUP(J493,Organisation!$A$2:$E$499,4,FALSE)</f>
        <v>Academic</v>
      </c>
      <c r="M493" t="s">
        <v>435</v>
      </c>
      <c r="N493" t="s">
        <v>3977</v>
      </c>
      <c r="O493" t="s">
        <v>14</v>
      </c>
      <c r="P493" s="3" t="s">
        <v>3978</v>
      </c>
      <c r="Q493" t="s">
        <v>3979</v>
      </c>
      <c r="S493" s="1">
        <v>1</v>
      </c>
      <c r="T493" t="str">
        <f>"Update Collaborator Set Organisation = '"&amp;J493&amp;"' where User_ID = '"&amp;B493&amp;"'; "</f>
        <v xml:space="preserve">Update Collaborator Set Organisation = 'University of Queensland' where User_ID = 'CU00492'; </v>
      </c>
      <c r="U493" t="str">
        <f>"Update dcollab.collab_user Set Pi = True where User_ID = '"&amp;A493&amp;"'; "</f>
        <v xml:space="preserve">Update dcollab.collab_user Set Pi = True where User_ID = 'CUSR00575'; </v>
      </c>
    </row>
    <row r="494" spans="1:21">
      <c r="A494" t="s">
        <v>10149</v>
      </c>
      <c r="B494" t="s">
        <v>5142</v>
      </c>
      <c r="D494" t="s">
        <v>412</v>
      </c>
      <c r="E494" t="s">
        <v>60</v>
      </c>
      <c r="F494" t="s">
        <v>5143</v>
      </c>
      <c r="G494" t="s">
        <v>5144</v>
      </c>
      <c r="H494">
        <f t="shared" si="7"/>
        <v>1</v>
      </c>
      <c r="I494" t="s">
        <v>657</v>
      </c>
      <c r="J494" t="s">
        <v>362</v>
      </c>
      <c r="K494" t="str">
        <f>VLOOKUP(J494,Organisation!$A$2:$C$499,3,FALSE)</f>
        <v>CORG00001</v>
      </c>
      <c r="L494" t="str">
        <f>VLOOKUP(J494,Organisation!$A$2:$E$499,4,FALSE)</f>
        <v>Academic</v>
      </c>
      <c r="M494" t="s">
        <v>435</v>
      </c>
      <c r="N494" t="s">
        <v>3977</v>
      </c>
      <c r="O494" t="s">
        <v>14</v>
      </c>
      <c r="P494" s="3" t="s">
        <v>5145</v>
      </c>
      <c r="Q494" t="s">
        <v>5146</v>
      </c>
      <c r="S494" s="1">
        <v>1</v>
      </c>
      <c r="T494" t="str">
        <f>"Update Collaborator Set Organisation = '"&amp;J494&amp;"' where User_ID = '"&amp;B494&amp;"'; "</f>
        <v xml:space="preserve">Update Collaborator Set Organisation = 'University of Queensland' where User_ID = 'CU00493'; </v>
      </c>
    </row>
    <row r="495" spans="1:21">
      <c r="A495" t="s">
        <v>10150</v>
      </c>
      <c r="B495" t="s">
        <v>411</v>
      </c>
      <c r="D495" t="s">
        <v>412</v>
      </c>
      <c r="E495" t="s">
        <v>60</v>
      </c>
      <c r="F495" t="s">
        <v>413</v>
      </c>
      <c r="G495" t="s">
        <v>414</v>
      </c>
      <c r="H495">
        <f t="shared" si="7"/>
        <v>1</v>
      </c>
      <c r="I495" t="s">
        <v>415</v>
      </c>
      <c r="J495" t="s">
        <v>362</v>
      </c>
      <c r="K495" t="str">
        <f>VLOOKUP(J495,Organisation!$A$2:$C$499,3,FALSE)</f>
        <v>CORG00001</v>
      </c>
      <c r="L495" t="str">
        <f>VLOOKUP(J495,Organisation!$A$2:$E$499,4,FALSE)</f>
        <v>Academic</v>
      </c>
      <c r="M495" t="s">
        <v>416</v>
      </c>
      <c r="N495" t="s">
        <v>417</v>
      </c>
      <c r="O495" t="s">
        <v>14</v>
      </c>
      <c r="Q495" t="s">
        <v>418</v>
      </c>
      <c r="S495" s="1">
        <v>1</v>
      </c>
      <c r="T495" t="str">
        <f>"Update Collaborator Set Organisation = '"&amp;J495&amp;"' where User_ID = '"&amp;B495&amp;"'; "</f>
        <v xml:space="preserve">Update Collaborator Set Organisation = 'University of Queensland' where User_ID = 'CU00494'; </v>
      </c>
    </row>
    <row r="496" spans="1:21">
      <c r="A496" t="s">
        <v>10051</v>
      </c>
      <c r="B496" t="s">
        <v>4813</v>
      </c>
      <c r="D496" t="s">
        <v>613</v>
      </c>
      <c r="E496" t="s">
        <v>7</v>
      </c>
      <c r="F496" t="s">
        <v>496</v>
      </c>
      <c r="G496" t="s">
        <v>4814</v>
      </c>
      <c r="H496">
        <f t="shared" si="7"/>
        <v>1</v>
      </c>
      <c r="I496" t="s">
        <v>152</v>
      </c>
      <c r="J496" t="s">
        <v>616</v>
      </c>
      <c r="K496" t="str">
        <f>VLOOKUP(J496,Organisation!$A$2:$C$499,3,FALSE)</f>
        <v>CORG00102</v>
      </c>
      <c r="L496" t="str">
        <f>VLOOKUP(J496,Organisation!$A$2:$E$499,4,FALSE)</f>
        <v>Academic</v>
      </c>
      <c r="M496" t="s">
        <v>617</v>
      </c>
      <c r="N496" t="s">
        <v>618</v>
      </c>
      <c r="O496" t="s">
        <v>14</v>
      </c>
      <c r="P496" s="3" t="s">
        <v>4815</v>
      </c>
      <c r="Q496" t="s">
        <v>4816</v>
      </c>
      <c r="S496" s="1">
        <v>1</v>
      </c>
      <c r="T496" t="str">
        <f>"Update Collaborator Set Organisation = '"&amp;J496&amp;"' where User_ID = '"&amp;B496&amp;"'; "</f>
        <v xml:space="preserve">Update Collaborator Set Organisation = 'La Trobe University' where User_ID = 'CU00495'; </v>
      </c>
    </row>
    <row r="497" spans="1:21">
      <c r="A497" t="s">
        <v>10151</v>
      </c>
      <c r="B497" t="s">
        <v>3763</v>
      </c>
      <c r="C497" t="s">
        <v>10540</v>
      </c>
      <c r="D497" t="s">
        <v>377</v>
      </c>
      <c r="E497" t="s">
        <v>60</v>
      </c>
      <c r="F497" t="s">
        <v>2164</v>
      </c>
      <c r="G497" t="s">
        <v>3764</v>
      </c>
      <c r="H497">
        <f t="shared" si="7"/>
        <v>1</v>
      </c>
      <c r="I497" t="s">
        <v>672</v>
      </c>
      <c r="J497" t="s">
        <v>381</v>
      </c>
      <c r="K497" t="str">
        <f>VLOOKUP(J497,Organisation!$A$2:$C$499,3,FALSE)</f>
        <v>CORG00229</v>
      </c>
      <c r="L497" t="str">
        <f>VLOOKUP(J497,Organisation!$A$2:$E$499,4,FALSE)</f>
        <v>Academic</v>
      </c>
      <c r="M497" t="s">
        <v>170</v>
      </c>
      <c r="N497" t="s">
        <v>382</v>
      </c>
      <c r="O497" t="s">
        <v>269</v>
      </c>
      <c r="P497" s="3" t="s">
        <v>3765</v>
      </c>
      <c r="Q497" t="s">
        <v>3766</v>
      </c>
      <c r="S497" s="1">
        <v>1</v>
      </c>
      <c r="T497" t="str">
        <f>"Update Collaborator Set Organisation = '"&amp;J497&amp;"' where User_ID = '"&amp;B497&amp;"'; "</f>
        <v xml:space="preserve">Update Collaborator Set Organisation = 'University of East Anglia' where User_ID = 'CU00496'; </v>
      </c>
      <c r="U497" t="str">
        <f>"Update dcollab.collab_user Set Pi = True where User_ID = '"&amp;A497&amp;"'; "</f>
        <v xml:space="preserve">Update dcollab.collab_user Set Pi = True where User_ID = 'CUSR00578'; </v>
      </c>
    </row>
    <row r="498" spans="1:21">
      <c r="A498" t="s">
        <v>10152</v>
      </c>
      <c r="B498" t="s">
        <v>376</v>
      </c>
      <c r="D498" t="s">
        <v>377</v>
      </c>
      <c r="E498" t="s">
        <v>60</v>
      </c>
      <c r="F498" t="s">
        <v>378</v>
      </c>
      <c r="G498" t="s">
        <v>379</v>
      </c>
      <c r="H498">
        <f t="shared" si="7"/>
        <v>1</v>
      </c>
      <c r="I498" t="s">
        <v>380</v>
      </c>
      <c r="J498" t="s">
        <v>381</v>
      </c>
      <c r="K498" t="str">
        <f>VLOOKUP(J498,Organisation!$A$2:$C$499,3,FALSE)</f>
        <v>CORG00229</v>
      </c>
      <c r="L498" t="str">
        <f>VLOOKUP(J498,Organisation!$A$2:$E$499,4,FALSE)</f>
        <v>Academic</v>
      </c>
      <c r="M498" t="s">
        <v>170</v>
      </c>
      <c r="N498" t="s">
        <v>382</v>
      </c>
      <c r="O498" t="s">
        <v>269</v>
      </c>
      <c r="Q498" t="s">
        <v>383</v>
      </c>
      <c r="S498" s="1">
        <v>0</v>
      </c>
      <c r="T498" t="str">
        <f>"Update Collaborator Set Organisation = '"&amp;J498&amp;"' where User_ID = '"&amp;B498&amp;"'; "</f>
        <v xml:space="preserve">Update Collaborator Set Organisation = 'University of East Anglia' where User_ID = 'CU00497'; </v>
      </c>
    </row>
    <row r="499" spans="1:21">
      <c r="A499" t="s">
        <v>10154</v>
      </c>
      <c r="B499" t="s">
        <v>4285</v>
      </c>
      <c r="C499" t="s">
        <v>10540</v>
      </c>
      <c r="D499" t="s">
        <v>4286</v>
      </c>
      <c r="E499" t="s">
        <v>60</v>
      </c>
      <c r="F499" t="s">
        <v>4287</v>
      </c>
      <c r="G499" t="s">
        <v>4288</v>
      </c>
      <c r="H499">
        <f t="shared" si="7"/>
        <v>1</v>
      </c>
      <c r="I499" t="s">
        <v>672</v>
      </c>
      <c r="J499" t="s">
        <v>4289</v>
      </c>
      <c r="K499" t="str">
        <f>VLOOKUP(J499,Organisation!$A$2:$C$499,3,FALSE)</f>
        <v>CORG00273</v>
      </c>
      <c r="L499" t="str">
        <f>VLOOKUP(J499,Organisation!$A$2:$E$499,4,FALSE)</f>
        <v>Academic</v>
      </c>
      <c r="M499" t="s">
        <v>4290</v>
      </c>
      <c r="N499" t="s">
        <v>4291</v>
      </c>
      <c r="O499" t="s">
        <v>14</v>
      </c>
      <c r="P499" s="3" t="s">
        <v>4292</v>
      </c>
      <c r="Q499" t="s">
        <v>4293</v>
      </c>
      <c r="S499" s="1">
        <v>1</v>
      </c>
      <c r="T499" t="str">
        <f>"Update Collaborator Set Organisation = '"&amp;J499&amp;"' where User_ID = '"&amp;B499&amp;"'; "</f>
        <v xml:space="preserve">Update Collaborator Set Organisation = 'University of Technology Sydney' where User_ID = 'CU00498'; </v>
      </c>
      <c r="U499" t="str">
        <f>"Update dcollab.collab_user Set Pi = True where User_ID = '"&amp;A499&amp;"'; "</f>
        <v xml:space="preserve">Update dcollab.collab_user Set Pi = True where User_ID = 'CUSR00581'; </v>
      </c>
    </row>
    <row r="500" spans="1:21">
      <c r="A500" t="s">
        <v>10155</v>
      </c>
      <c r="B500" t="s">
        <v>1442</v>
      </c>
      <c r="C500" t="s">
        <v>10540</v>
      </c>
      <c r="D500" t="s">
        <v>1443</v>
      </c>
      <c r="E500" t="s">
        <v>60</v>
      </c>
      <c r="F500" t="s">
        <v>1444</v>
      </c>
      <c r="G500" t="s">
        <v>1445</v>
      </c>
      <c r="H500">
        <f t="shared" si="7"/>
        <v>1</v>
      </c>
      <c r="I500" t="s">
        <v>282</v>
      </c>
      <c r="J500" t="s">
        <v>1446</v>
      </c>
      <c r="K500" t="str">
        <f>VLOOKUP(J500,Organisation!$A$2:$C$499,3,FALSE)</f>
        <v>CORG00301</v>
      </c>
      <c r="L500" t="str">
        <f>VLOOKUP(J500,Organisation!$A$2:$E$499,4,FALSE)</f>
        <v>Academic</v>
      </c>
      <c r="M500" t="s">
        <v>1447</v>
      </c>
      <c r="N500" t="s">
        <v>1448</v>
      </c>
      <c r="O500" t="s">
        <v>211</v>
      </c>
      <c r="P500" s="3" t="s">
        <v>1449</v>
      </c>
      <c r="Q500" t="s">
        <v>1450</v>
      </c>
      <c r="S500" s="1">
        <v>1</v>
      </c>
      <c r="T500" t="str">
        <f>"Update Collaborator Set Organisation = '"&amp;J500&amp;"' where User_ID = '"&amp;B500&amp;"'; "</f>
        <v xml:space="preserve">Update Collaborator Set Organisation = 'VIT University' where User_ID = 'CU00499'; </v>
      </c>
      <c r="U500" t="str">
        <f>"Update dcollab.collab_user Set Pi = True where User_ID = '"&amp;A500&amp;"'; "</f>
        <v xml:space="preserve">Update dcollab.collab_user Set Pi = True where User_ID = 'CUSR00582'; </v>
      </c>
    </row>
    <row r="501" spans="1:21">
      <c r="A501" t="s">
        <v>10156</v>
      </c>
      <c r="B501" t="s">
        <v>3963</v>
      </c>
      <c r="D501" t="s">
        <v>1443</v>
      </c>
      <c r="E501" t="s">
        <v>7</v>
      </c>
      <c r="F501" t="s">
        <v>3964</v>
      </c>
      <c r="G501" t="s">
        <v>3965</v>
      </c>
      <c r="H501">
        <f t="shared" si="7"/>
        <v>1</v>
      </c>
      <c r="I501" t="s">
        <v>282</v>
      </c>
      <c r="J501" t="s">
        <v>1446</v>
      </c>
      <c r="K501" t="str">
        <f>VLOOKUP(J501,Organisation!$A$2:$C$499,3,FALSE)</f>
        <v>CORG00301</v>
      </c>
      <c r="L501" t="str">
        <f>VLOOKUP(J501,Organisation!$A$2:$E$499,4,FALSE)</f>
        <v>Academic</v>
      </c>
      <c r="M501" t="s">
        <v>1447</v>
      </c>
      <c r="N501" t="s">
        <v>1448</v>
      </c>
      <c r="O501" t="s">
        <v>211</v>
      </c>
      <c r="P501" s="3" t="s">
        <v>3966</v>
      </c>
      <c r="Q501" t="s">
        <v>3967</v>
      </c>
      <c r="S501" s="1">
        <v>1</v>
      </c>
      <c r="T501" t="str">
        <f>"Update Collaborator Set Organisation = '"&amp;J501&amp;"' where User_ID = '"&amp;B501&amp;"'; "</f>
        <v xml:space="preserve">Update Collaborator Set Organisation = 'VIT University' where User_ID = 'CU00500'; </v>
      </c>
    </row>
    <row r="502" spans="1:21">
      <c r="A502" t="s">
        <v>10157</v>
      </c>
      <c r="B502" t="s">
        <v>5033</v>
      </c>
      <c r="C502" t="s">
        <v>10540</v>
      </c>
      <c r="D502" t="s">
        <v>2595</v>
      </c>
      <c r="E502" t="s">
        <v>60</v>
      </c>
      <c r="F502" t="s">
        <v>4572</v>
      </c>
      <c r="G502" t="s">
        <v>5034</v>
      </c>
      <c r="H502">
        <f t="shared" si="7"/>
        <v>1</v>
      </c>
      <c r="I502" t="s">
        <v>1216</v>
      </c>
      <c r="J502" t="s">
        <v>8767</v>
      </c>
      <c r="K502" t="str">
        <f>VLOOKUP(J502,Organisation!$A$2:$C$499,3,FALSE)</f>
        <v>CORG00119</v>
      </c>
      <c r="L502" t="str">
        <f>VLOOKUP(J502,Organisation!$A$2:$E$499,4,FALSE)</f>
        <v>Academic</v>
      </c>
      <c r="M502" t="s">
        <v>2600</v>
      </c>
      <c r="N502" t="s">
        <v>2601</v>
      </c>
      <c r="O502" t="s">
        <v>8808</v>
      </c>
      <c r="P502" s="3" t="s">
        <v>5035</v>
      </c>
      <c r="Q502" t="s">
        <v>5036</v>
      </c>
      <c r="S502" s="1">
        <v>1</v>
      </c>
      <c r="T502" t="str">
        <f>"Update Collaborator Set Organisation = '"&amp;J502&amp;"' where User_ID = '"&amp;B502&amp;"'; "</f>
        <v xml:space="preserve">Update Collaborator Set Organisation = 'Memorial Sloan Kettering Cancer Center' where User_ID = 'CU00501'; </v>
      </c>
      <c r="U502" t="str">
        <f>"Update dcollab.collab_user Set Pi = True where User_ID = '"&amp;A502&amp;"'; "</f>
        <v xml:space="preserve">Update dcollab.collab_user Set Pi = True where User_ID = 'CUSR00584'; </v>
      </c>
    </row>
    <row r="503" spans="1:21">
      <c r="A503" t="s">
        <v>10158</v>
      </c>
      <c r="B503" t="s">
        <v>3306</v>
      </c>
      <c r="D503" t="s">
        <v>2595</v>
      </c>
      <c r="E503" t="s">
        <v>110</v>
      </c>
      <c r="F503" t="s">
        <v>3307</v>
      </c>
      <c r="G503" t="s">
        <v>3308</v>
      </c>
      <c r="H503">
        <f t="shared" si="7"/>
        <v>1</v>
      </c>
      <c r="I503" t="s">
        <v>241</v>
      </c>
      <c r="J503" t="s">
        <v>8767</v>
      </c>
      <c r="K503" t="str">
        <f>VLOOKUP(J503,Organisation!$A$2:$C$499,3,FALSE)</f>
        <v>CORG00119</v>
      </c>
      <c r="L503" t="str">
        <f>VLOOKUP(J503,Organisation!$A$2:$E$499,4,FALSE)</f>
        <v>Academic</v>
      </c>
      <c r="M503" t="s">
        <v>2600</v>
      </c>
      <c r="N503" t="s">
        <v>2601</v>
      </c>
      <c r="O503" t="s">
        <v>8808</v>
      </c>
      <c r="P503" s="3" t="s">
        <v>3309</v>
      </c>
      <c r="Q503" t="s">
        <v>3310</v>
      </c>
      <c r="S503" s="1">
        <v>0</v>
      </c>
      <c r="T503" t="str">
        <f>"Update Collaborator Set Organisation = '"&amp;J503&amp;"' where User_ID = '"&amp;B503&amp;"'; "</f>
        <v xml:space="preserve">Update Collaborator Set Organisation = 'Memorial Sloan Kettering Cancer Center' where User_ID = 'CU00502'; </v>
      </c>
    </row>
    <row r="504" spans="1:21">
      <c r="A504" t="s">
        <v>10159</v>
      </c>
      <c r="B504" t="s">
        <v>2594</v>
      </c>
      <c r="D504" t="s">
        <v>2595</v>
      </c>
      <c r="E504" t="s">
        <v>110</v>
      </c>
      <c r="F504" t="s">
        <v>2596</v>
      </c>
      <c r="G504" t="s">
        <v>2597</v>
      </c>
      <c r="H504">
        <f t="shared" si="7"/>
        <v>1</v>
      </c>
      <c r="I504" t="s">
        <v>2598</v>
      </c>
      <c r="J504" t="s">
        <v>8767</v>
      </c>
      <c r="K504" t="str">
        <f>VLOOKUP(J504,Organisation!$A$2:$C$499,3,FALSE)</f>
        <v>CORG00119</v>
      </c>
      <c r="L504" t="str">
        <f>VLOOKUP(J504,Organisation!$A$2:$E$499,4,FALSE)</f>
        <v>Academic</v>
      </c>
      <c r="M504" t="s">
        <v>2600</v>
      </c>
      <c r="N504" t="s">
        <v>2601</v>
      </c>
      <c r="O504" t="s">
        <v>8808</v>
      </c>
      <c r="P504" s="3" t="s">
        <v>2602</v>
      </c>
      <c r="Q504" t="s">
        <v>2603</v>
      </c>
      <c r="S504" s="1">
        <v>1</v>
      </c>
      <c r="T504" t="str">
        <f>"Update Collaborator Set Organisation = '"&amp;J504&amp;"' where User_ID = '"&amp;B504&amp;"'; "</f>
        <v xml:space="preserve">Update Collaborator Set Organisation = 'Memorial Sloan Kettering Cancer Center' where User_ID = 'CU00503'; </v>
      </c>
    </row>
    <row r="505" spans="1:21">
      <c r="A505" t="s">
        <v>10160</v>
      </c>
      <c r="B505" t="s">
        <v>2969</v>
      </c>
      <c r="C505" t="s">
        <v>10540</v>
      </c>
      <c r="D505" t="s">
        <v>2970</v>
      </c>
      <c r="E505" t="s">
        <v>41</v>
      </c>
      <c r="F505" t="s">
        <v>951</v>
      </c>
      <c r="G505" t="s">
        <v>2971</v>
      </c>
      <c r="H505">
        <f t="shared" si="7"/>
        <v>2</v>
      </c>
      <c r="J505" t="s">
        <v>2972</v>
      </c>
      <c r="K505" t="str">
        <f>VLOOKUP(J505,Organisation!$A$2:$C$499,3,FALSE)</f>
        <v>CORG00303</v>
      </c>
      <c r="L505" t="str">
        <f>VLOOKUP(J505,Organisation!$A$2:$E$499,4,FALSE)</f>
        <v>Academic</v>
      </c>
      <c r="M505" t="s">
        <v>84</v>
      </c>
      <c r="N505" t="s">
        <v>2973</v>
      </c>
      <c r="O505" t="s">
        <v>8808</v>
      </c>
      <c r="P505" s="3" t="s">
        <v>2974</v>
      </c>
      <c r="Q505" t="s">
        <v>2975</v>
      </c>
      <c r="S505" s="1">
        <v>1</v>
      </c>
      <c r="T505" t="str">
        <f>"Update Collaborator Set Organisation = '"&amp;J505&amp;"' where User_ID = '"&amp;B505&amp;"'; "</f>
        <v xml:space="preserve">Update Collaborator Set Organisation = 'Wake Forest University' where User_ID = 'CU00504'; </v>
      </c>
      <c r="U505" t="str">
        <f>"Update dcollab.collab_user Set Pi = True where User_ID = '"&amp;A505&amp;"'; "</f>
        <v xml:space="preserve">Update dcollab.collab_user Set Pi = True where User_ID = 'CUSR00587'; </v>
      </c>
    </row>
    <row r="506" spans="1:21">
      <c r="A506" t="s">
        <v>9704</v>
      </c>
      <c r="B506" t="s">
        <v>4213</v>
      </c>
      <c r="D506" t="s">
        <v>3372</v>
      </c>
      <c r="E506" t="s">
        <v>41</v>
      </c>
      <c r="F506" t="s">
        <v>670</v>
      </c>
      <c r="G506" t="s">
        <v>4214</v>
      </c>
      <c r="H506">
        <f t="shared" si="7"/>
        <v>1</v>
      </c>
      <c r="I506" t="s">
        <v>1517</v>
      </c>
      <c r="J506" t="s">
        <v>1422</v>
      </c>
      <c r="K506" t="str">
        <f>VLOOKUP(J506,Organisation!$A$2:$C$499,3,FALSE)</f>
        <v>CORG00292</v>
      </c>
      <c r="L506" t="str">
        <f>VLOOKUP(J506,Organisation!$A$2:$E$499,4,FALSE)</f>
        <v>Academic</v>
      </c>
      <c r="M506" t="s">
        <v>170</v>
      </c>
      <c r="N506" t="s">
        <v>2874</v>
      </c>
      <c r="O506" t="s">
        <v>14</v>
      </c>
      <c r="P506" s="3" t="s">
        <v>4215</v>
      </c>
      <c r="Q506" t="s">
        <v>4216</v>
      </c>
      <c r="S506" s="1">
        <v>1</v>
      </c>
      <c r="T506" t="str">
        <f>"Update Collaborator Set Organisation = '"&amp;J506&amp;"' where User_ID = '"&amp;B506&amp;"'; "</f>
        <v xml:space="preserve">Update Collaborator Set Organisation = 'University of Wollongong' where User_ID = 'CU00505'; </v>
      </c>
    </row>
    <row r="507" spans="1:21">
      <c r="A507" t="s">
        <v>10161</v>
      </c>
      <c r="B507" t="s">
        <v>1002</v>
      </c>
      <c r="C507" t="s">
        <v>10540</v>
      </c>
      <c r="D507" t="s">
        <v>1003</v>
      </c>
      <c r="E507" t="s">
        <v>60</v>
      </c>
      <c r="F507" t="s">
        <v>1004</v>
      </c>
      <c r="G507" t="s">
        <v>1005</v>
      </c>
      <c r="H507">
        <f t="shared" si="7"/>
        <v>1</v>
      </c>
      <c r="I507" t="s">
        <v>1006</v>
      </c>
      <c r="J507" t="s">
        <v>1007</v>
      </c>
      <c r="K507" t="str">
        <f>VLOOKUP(J507,Organisation!$A$2:$C$499,3,FALSE)</f>
        <v>CORG00279</v>
      </c>
      <c r="L507" t="str">
        <f>VLOOKUP(J507,Organisation!$A$2:$E$499,4,FALSE)</f>
        <v>Academic</v>
      </c>
      <c r="M507" t="s">
        <v>1008</v>
      </c>
      <c r="N507" t="s">
        <v>1009</v>
      </c>
      <c r="O507" t="s">
        <v>609</v>
      </c>
      <c r="P507" s="3" t="s">
        <v>1010</v>
      </c>
      <c r="Q507" t="s">
        <v>1011</v>
      </c>
      <c r="S507" s="1">
        <v>1</v>
      </c>
      <c r="T507" t="str">
        <f>"Update Collaborator Set Organisation = '"&amp;J507&amp;"' where User_ID = '"&amp;B507&amp;"'; "</f>
        <v xml:space="preserve">Update Collaborator Set Organisation = 'University of the Western Cape' where User_ID = 'CU00506'; </v>
      </c>
      <c r="U507" t="str">
        <f>"Update dcollab.collab_user Set Pi = True where User_ID = '"&amp;A507&amp;"'; "</f>
        <v xml:space="preserve">Update dcollab.collab_user Set Pi = True where User_ID = 'CUSR00588'; </v>
      </c>
    </row>
    <row r="508" spans="1:21">
      <c r="A508" t="s">
        <v>10142</v>
      </c>
      <c r="B508" t="s">
        <v>3778</v>
      </c>
      <c r="C508" t="s">
        <v>10540</v>
      </c>
      <c r="D508" t="s">
        <v>786</v>
      </c>
      <c r="E508" t="s">
        <v>60</v>
      </c>
      <c r="F508" t="s">
        <v>3779</v>
      </c>
      <c r="G508" t="s">
        <v>3780</v>
      </c>
      <c r="H508">
        <f t="shared" si="7"/>
        <v>1</v>
      </c>
      <c r="J508" t="s">
        <v>790</v>
      </c>
      <c r="K508" t="str">
        <f>VLOOKUP(J508,Organisation!$A$2:$C$499,3,FALSE)</f>
        <v>CORG00024</v>
      </c>
      <c r="L508" t="str">
        <f>VLOOKUP(J508,Organisation!$A$2:$E$499,4,FALSE)</f>
        <v>Academic</v>
      </c>
      <c r="M508" t="s">
        <v>791</v>
      </c>
      <c r="N508" t="s">
        <v>792</v>
      </c>
      <c r="O508" t="s">
        <v>8808</v>
      </c>
      <c r="Q508" t="s">
        <v>3781</v>
      </c>
      <c r="S508" s="1">
        <v>1</v>
      </c>
      <c r="T508" t="str">
        <f>"Update Collaborator Set Organisation = '"&amp;J508&amp;"' where User_ID = '"&amp;B508&amp;"'; "</f>
        <v xml:space="preserve">Update Collaborator Set Organisation = 'Broad Institute' where User_ID = 'CU00507'; </v>
      </c>
      <c r="U508" t="str">
        <f>"Update dcollab.collab_user Set Pi = True where User_ID = '"&amp;A508&amp;"'; "</f>
        <v xml:space="preserve">Update dcollab.collab_user Set Pi = True where User_ID = 'CUSR00569'; </v>
      </c>
    </row>
    <row r="509" spans="1:21">
      <c r="A509" t="s">
        <v>10143</v>
      </c>
      <c r="B509" t="s">
        <v>2524</v>
      </c>
      <c r="D509" t="s">
        <v>786</v>
      </c>
      <c r="E509" t="s">
        <v>60</v>
      </c>
      <c r="F509" t="s">
        <v>2525</v>
      </c>
      <c r="G509" t="s">
        <v>2526</v>
      </c>
      <c r="H509">
        <f t="shared" si="7"/>
        <v>1</v>
      </c>
      <c r="J509" t="s">
        <v>790</v>
      </c>
      <c r="K509" t="str">
        <f>VLOOKUP(J509,Organisation!$A$2:$C$499,3,FALSE)</f>
        <v>CORG00024</v>
      </c>
      <c r="L509" t="str">
        <f>VLOOKUP(J509,Organisation!$A$2:$E$499,4,FALSE)</f>
        <v>Academic</v>
      </c>
      <c r="M509" t="s">
        <v>791</v>
      </c>
      <c r="N509" t="s">
        <v>792</v>
      </c>
      <c r="O509" t="s">
        <v>8808</v>
      </c>
      <c r="Q509" t="s">
        <v>2527</v>
      </c>
      <c r="S509" s="1">
        <v>1</v>
      </c>
      <c r="T509" t="str">
        <f>"Update Collaborator Set Organisation = '"&amp;J509&amp;"' where User_ID = '"&amp;B509&amp;"'; "</f>
        <v xml:space="preserve">Update Collaborator Set Organisation = 'Broad Institute' where User_ID = 'CU00508'; </v>
      </c>
    </row>
    <row r="510" spans="1:21">
      <c r="A510" t="s">
        <v>10162</v>
      </c>
      <c r="B510" t="s">
        <v>5352</v>
      </c>
      <c r="C510" t="s">
        <v>10540</v>
      </c>
      <c r="D510" t="s">
        <v>5159</v>
      </c>
      <c r="E510" t="s">
        <v>41</v>
      </c>
      <c r="F510" t="s">
        <v>3702</v>
      </c>
      <c r="G510" t="s">
        <v>5353</v>
      </c>
      <c r="H510">
        <f t="shared" si="7"/>
        <v>1</v>
      </c>
      <c r="I510" t="s">
        <v>71</v>
      </c>
      <c r="J510" t="s">
        <v>5162</v>
      </c>
      <c r="K510" t="str">
        <f>VLOOKUP(J510,Organisation!$A$2:$C$499,3,FALSE)</f>
        <v>CORG00285</v>
      </c>
      <c r="L510" t="str">
        <f>VLOOKUP(J510,Organisation!$A$2:$E$499,4,FALSE)</f>
        <v>Academic</v>
      </c>
      <c r="M510" t="s">
        <v>84</v>
      </c>
      <c r="N510" t="s">
        <v>5163</v>
      </c>
      <c r="O510" t="s">
        <v>75</v>
      </c>
      <c r="P510" s="3" t="s">
        <v>5354</v>
      </c>
      <c r="Q510" t="s">
        <v>5355</v>
      </c>
      <c r="S510" s="1">
        <v>1</v>
      </c>
      <c r="T510" t="str">
        <f>"Update Collaborator Set Organisation = '"&amp;J510&amp;"' where User_ID = '"&amp;B510&amp;"'; "</f>
        <v xml:space="preserve">Update Collaborator Set Organisation = 'University of Victoria' where User_ID = 'CU00509'; </v>
      </c>
      <c r="U510" t="str">
        <f>"Update dcollab.collab_user Set Pi = True where User_ID = '"&amp;A510&amp;"'; "</f>
        <v xml:space="preserve">Update dcollab.collab_user Set Pi = True where User_ID = 'CUSR00589'; </v>
      </c>
    </row>
    <row r="511" spans="1:21">
      <c r="A511" t="s">
        <v>10163</v>
      </c>
      <c r="B511" t="s">
        <v>5158</v>
      </c>
      <c r="D511" t="s">
        <v>5159</v>
      </c>
      <c r="E511" t="s">
        <v>7</v>
      </c>
      <c r="F511" t="s">
        <v>5160</v>
      </c>
      <c r="G511" t="s">
        <v>5161</v>
      </c>
      <c r="H511">
        <f t="shared" si="7"/>
        <v>1</v>
      </c>
      <c r="I511" t="s">
        <v>241</v>
      </c>
      <c r="J511" t="s">
        <v>5162</v>
      </c>
      <c r="K511" t="str">
        <f>VLOOKUP(J511,Organisation!$A$2:$C$499,3,FALSE)</f>
        <v>CORG00285</v>
      </c>
      <c r="L511" t="str">
        <f>VLOOKUP(J511,Organisation!$A$2:$E$499,4,FALSE)</f>
        <v>Academic</v>
      </c>
      <c r="M511" t="s">
        <v>84</v>
      </c>
      <c r="N511" t="s">
        <v>5163</v>
      </c>
      <c r="O511" t="s">
        <v>75</v>
      </c>
      <c r="P511" s="3" t="s">
        <v>5164</v>
      </c>
      <c r="Q511" t="s">
        <v>5165</v>
      </c>
      <c r="S511" s="1">
        <v>1</v>
      </c>
      <c r="T511" t="str">
        <f>"Update Collaborator Set Organisation = '"&amp;J511&amp;"' where User_ID = '"&amp;B511&amp;"'; "</f>
        <v xml:space="preserve">Update Collaborator Set Organisation = 'University of Victoria' where User_ID = 'CU00510'; </v>
      </c>
    </row>
    <row r="512" spans="1:21">
      <c r="A512" t="s">
        <v>10164</v>
      </c>
      <c r="B512" t="s">
        <v>4249</v>
      </c>
      <c r="C512" t="s">
        <v>10540</v>
      </c>
      <c r="D512" t="s">
        <v>3018</v>
      </c>
      <c r="E512" t="s">
        <v>60</v>
      </c>
      <c r="F512" t="s">
        <v>4250</v>
      </c>
      <c r="G512" t="s">
        <v>4251</v>
      </c>
      <c r="H512">
        <f t="shared" si="7"/>
        <v>1</v>
      </c>
      <c r="I512" t="s">
        <v>4252</v>
      </c>
      <c r="J512" t="s">
        <v>3022</v>
      </c>
      <c r="K512" t="str">
        <f>VLOOKUP(J512,Organisation!$A$2:$C$499,3,FALSE)</f>
        <v>CORG00249</v>
      </c>
      <c r="L512" t="str">
        <f>VLOOKUP(J512,Organisation!$A$2:$E$499,4,FALSE)</f>
        <v>Academic</v>
      </c>
      <c r="M512" t="s">
        <v>3023</v>
      </c>
      <c r="N512" t="s">
        <v>3024</v>
      </c>
      <c r="O512" t="s">
        <v>211</v>
      </c>
      <c r="P512" s="3" t="s">
        <v>4253</v>
      </c>
      <c r="Q512" t="s">
        <v>4254</v>
      </c>
      <c r="S512" s="1">
        <v>0</v>
      </c>
      <c r="T512" t="str">
        <f>"Update Collaborator Set Organisation = '"&amp;J512&amp;"' where User_ID = '"&amp;B512&amp;"'; "</f>
        <v xml:space="preserve">Update Collaborator Set Organisation = 'University of Mysore' where User_ID = 'CU00511'; </v>
      </c>
      <c r="U512" t="str">
        <f>"Update dcollab.collab_user Set Pi = True where User_ID = '"&amp;A512&amp;"'; "</f>
        <v xml:space="preserve">Update dcollab.collab_user Set Pi = True where User_ID = 'CUSR00591'; </v>
      </c>
    </row>
    <row r="513" spans="1:21">
      <c r="A513" t="s">
        <v>10165</v>
      </c>
      <c r="B513" t="s">
        <v>3017</v>
      </c>
      <c r="D513" t="s">
        <v>3018</v>
      </c>
      <c r="E513" t="s">
        <v>386</v>
      </c>
      <c r="F513" t="s">
        <v>3019</v>
      </c>
      <c r="G513" t="s">
        <v>3020</v>
      </c>
      <c r="H513">
        <f t="shared" si="7"/>
        <v>1</v>
      </c>
      <c r="I513" t="s">
        <v>3021</v>
      </c>
      <c r="J513" t="s">
        <v>3022</v>
      </c>
      <c r="K513" t="str">
        <f>VLOOKUP(J513,Organisation!$A$2:$C$499,3,FALSE)</f>
        <v>CORG00249</v>
      </c>
      <c r="L513" t="str">
        <f>VLOOKUP(J513,Organisation!$A$2:$E$499,4,FALSE)</f>
        <v>Academic</v>
      </c>
      <c r="M513" t="s">
        <v>3023</v>
      </c>
      <c r="N513" t="s">
        <v>3024</v>
      </c>
      <c r="O513" t="s">
        <v>211</v>
      </c>
      <c r="P513" s="3" t="s">
        <v>3025</v>
      </c>
      <c r="Q513" t="s">
        <v>3026</v>
      </c>
      <c r="S513" s="1">
        <v>1</v>
      </c>
      <c r="T513" t="str">
        <f>"Update Collaborator Set Organisation = '"&amp;J513&amp;"' where User_ID = '"&amp;B513&amp;"'; "</f>
        <v xml:space="preserve">Update Collaborator Set Organisation = 'University of Mysore' where User_ID = 'CU00512'; </v>
      </c>
    </row>
    <row r="514" spans="1:21">
      <c r="A514" t="s">
        <v>10166</v>
      </c>
      <c r="B514" t="s">
        <v>4556</v>
      </c>
      <c r="C514" t="s">
        <v>10540</v>
      </c>
      <c r="D514" t="s">
        <v>4557</v>
      </c>
      <c r="E514" t="s">
        <v>41</v>
      </c>
      <c r="F514" t="s">
        <v>4558</v>
      </c>
      <c r="G514" t="s">
        <v>4559</v>
      </c>
      <c r="H514">
        <f t="shared" ref="H514:H577" si="8">COUNTIF($G$2:$G$900,G514)</f>
        <v>1</v>
      </c>
      <c r="I514" t="s">
        <v>71</v>
      </c>
      <c r="J514" t="s">
        <v>4560</v>
      </c>
      <c r="K514" t="str">
        <f>VLOOKUP(J514,Organisation!$A$2:$C$499,3,FALSE)</f>
        <v>CORG00178</v>
      </c>
      <c r="L514" t="str">
        <f>VLOOKUP(J514,Organisation!$A$2:$E$499,4,FALSE)</f>
        <v>Academic</v>
      </c>
      <c r="M514" t="s">
        <v>84</v>
      </c>
      <c r="N514" t="s">
        <v>4561</v>
      </c>
      <c r="O514" t="s">
        <v>8808</v>
      </c>
      <c r="P514" s="3" t="s">
        <v>4562</v>
      </c>
      <c r="Q514" t="s">
        <v>4563</v>
      </c>
      <c r="S514" s="1">
        <v>1</v>
      </c>
      <c r="T514" t="str">
        <f>"Update Collaborator Set Organisation = '"&amp;J514&amp;"' where User_ID = '"&amp;B514&amp;"'; "</f>
        <v xml:space="preserve">Update Collaborator Set Organisation = 'Stanford University' where User_ID = 'CU00513'; </v>
      </c>
      <c r="U514" t="str">
        <f>"Update dcollab.collab_user Set Pi = True where User_ID = '"&amp;A514&amp;"'; "</f>
        <v xml:space="preserve">Update dcollab.collab_user Set Pi = True where User_ID = 'CUSR00593'; </v>
      </c>
    </row>
    <row r="515" spans="1:21">
      <c r="A515" t="s">
        <v>9830</v>
      </c>
      <c r="B515" t="s">
        <v>4684</v>
      </c>
      <c r="D515" t="s">
        <v>289</v>
      </c>
      <c r="E515" t="s">
        <v>7</v>
      </c>
      <c r="F515" t="s">
        <v>4685</v>
      </c>
      <c r="G515" t="s">
        <v>4681</v>
      </c>
      <c r="H515">
        <f t="shared" si="8"/>
        <v>2</v>
      </c>
      <c r="I515" t="s">
        <v>4686</v>
      </c>
      <c r="J515" t="s">
        <v>283</v>
      </c>
      <c r="K515" t="str">
        <f>VLOOKUP(J515,Organisation!$A$2:$C$499,3,FALSE)</f>
        <v>CORG00092</v>
      </c>
      <c r="L515" t="str">
        <f>VLOOKUP(J515,Organisation!$A$2:$E$499,4,FALSE)</f>
        <v>Academic</v>
      </c>
      <c r="M515" t="s">
        <v>53</v>
      </c>
      <c r="N515" t="s">
        <v>291</v>
      </c>
      <c r="O515" t="s">
        <v>211</v>
      </c>
      <c r="P515" s="3" t="s">
        <v>4687</v>
      </c>
      <c r="Q515" t="s">
        <v>4688</v>
      </c>
      <c r="S515" s="1">
        <v>1</v>
      </c>
      <c r="T515" t="str">
        <f>"Update Collaborator Set Organisation = '"&amp;J515&amp;"' where User_ID = '"&amp;B515&amp;"'; "</f>
        <v xml:space="preserve">Update Collaborator Set Organisation = 'Jamia Hamdard' where User_ID = 'CU00514'; </v>
      </c>
    </row>
    <row r="516" spans="1:21">
      <c r="A516" t="s">
        <v>10167</v>
      </c>
      <c r="B516" t="s">
        <v>593</v>
      </c>
      <c r="C516" t="s">
        <v>10540</v>
      </c>
      <c r="D516" t="s">
        <v>594</v>
      </c>
      <c r="E516" t="s">
        <v>41</v>
      </c>
      <c r="F516" t="s">
        <v>217</v>
      </c>
      <c r="G516" t="s">
        <v>595</v>
      </c>
      <c r="H516">
        <f t="shared" si="8"/>
        <v>1</v>
      </c>
      <c r="I516" t="s">
        <v>82</v>
      </c>
      <c r="J516" t="s">
        <v>596</v>
      </c>
      <c r="K516" t="str">
        <f>VLOOKUP(J516,Organisation!$A$2:$C$499,3,FALSE)</f>
        <v>CORG00216</v>
      </c>
      <c r="L516" t="str">
        <f>VLOOKUP(J516,Organisation!$A$2:$E$499,4,FALSE)</f>
        <v>Academic</v>
      </c>
      <c r="M516" t="s">
        <v>597</v>
      </c>
      <c r="N516" t="s">
        <v>598</v>
      </c>
      <c r="O516" t="s">
        <v>223</v>
      </c>
      <c r="P516" s="3" t="s">
        <v>599</v>
      </c>
      <c r="Q516" t="s">
        <v>600</v>
      </c>
      <c r="S516" s="1">
        <v>1</v>
      </c>
      <c r="T516" t="str">
        <f>"Update Collaborator Set Organisation = '"&amp;J516&amp;"' where User_ID = '"&amp;B516&amp;"'; "</f>
        <v xml:space="preserve">Update Collaborator Set Organisation = 'University of Auckland' where User_ID = 'CU00515'; </v>
      </c>
      <c r="U516" t="str">
        <f>"Update dcollab.collab_user Set Pi = True where User_ID = '"&amp;A516&amp;"'; "</f>
        <v xml:space="preserve">Update dcollab.collab_user Set Pi = True where User_ID = 'CUSR00594'; </v>
      </c>
    </row>
    <row r="517" spans="1:21">
      <c r="A517" t="s">
        <v>10168</v>
      </c>
      <c r="B517" t="s">
        <v>4422</v>
      </c>
      <c r="C517" t="s">
        <v>10540</v>
      </c>
      <c r="D517" t="s">
        <v>4423</v>
      </c>
      <c r="E517" t="s">
        <v>60</v>
      </c>
      <c r="F517" t="s">
        <v>4424</v>
      </c>
      <c r="G517" t="s">
        <v>4425</v>
      </c>
      <c r="H517">
        <f t="shared" si="8"/>
        <v>1</v>
      </c>
      <c r="I517" t="s">
        <v>672</v>
      </c>
      <c r="J517" t="s">
        <v>1327</v>
      </c>
      <c r="K517" t="str">
        <f>VLOOKUP(J517,Organisation!$A$2:$C$499,3,FALSE)</f>
        <v>CORG00067</v>
      </c>
      <c r="L517" t="str">
        <f>VLOOKUP(J517,Organisation!$A$2:$E$499,4,FALSE)</f>
        <v>Academic</v>
      </c>
      <c r="M517" t="s">
        <v>4426</v>
      </c>
      <c r="N517" t="s">
        <v>4427</v>
      </c>
      <c r="O517" t="s">
        <v>14</v>
      </c>
      <c r="P517" s="3" t="s">
        <v>4428</v>
      </c>
      <c r="Q517" t="s">
        <v>4429</v>
      </c>
      <c r="S517" s="1">
        <v>1</v>
      </c>
      <c r="T517" t="str">
        <f>"Update Collaborator Set Organisation = '"&amp;J517&amp;"' where User_ID = '"&amp;B517&amp;"'; "</f>
        <v xml:space="preserve">Update Collaborator Set Organisation = 'Griffith University' where User_ID = 'CU00516'; </v>
      </c>
      <c r="U517" t="str">
        <f>"Update dcollab.collab_user Set Pi = True where User_ID = '"&amp;A517&amp;"'; "</f>
        <v xml:space="preserve">Update dcollab.collab_user Set Pi = True where User_ID = 'CUSR00595'; </v>
      </c>
    </row>
    <row r="518" spans="1:21">
      <c r="A518" t="s">
        <v>10169</v>
      </c>
      <c r="B518" t="s">
        <v>4436</v>
      </c>
      <c r="D518" t="s">
        <v>4423</v>
      </c>
      <c r="E518" t="s">
        <v>7</v>
      </c>
      <c r="F518" t="s">
        <v>4437</v>
      </c>
      <c r="G518" t="s">
        <v>2122</v>
      </c>
      <c r="H518">
        <f t="shared" si="8"/>
        <v>1</v>
      </c>
      <c r="I518" t="s">
        <v>152</v>
      </c>
      <c r="J518" t="s">
        <v>1327</v>
      </c>
      <c r="K518" t="str">
        <f>VLOOKUP(J518,Organisation!$A$2:$C$499,3,FALSE)</f>
        <v>CORG00067</v>
      </c>
      <c r="L518" t="str">
        <f>VLOOKUP(J518,Organisation!$A$2:$E$499,4,FALSE)</f>
        <v>Academic</v>
      </c>
      <c r="M518" t="s">
        <v>4426</v>
      </c>
      <c r="N518" t="s">
        <v>4427</v>
      </c>
      <c r="O518" t="s">
        <v>14</v>
      </c>
      <c r="P518" s="3" t="s">
        <v>4438</v>
      </c>
      <c r="Q518" t="s">
        <v>4439</v>
      </c>
      <c r="S518" s="1">
        <v>1</v>
      </c>
      <c r="T518" t="str">
        <f>"Update Collaborator Set Organisation = '"&amp;J518&amp;"' where User_ID = '"&amp;B518&amp;"'; "</f>
        <v xml:space="preserve">Update Collaborator Set Organisation = 'Griffith University' where User_ID = 'CU00517'; </v>
      </c>
    </row>
    <row r="519" spans="1:21">
      <c r="A519" t="s">
        <v>10095</v>
      </c>
      <c r="B519" t="s">
        <v>483</v>
      </c>
      <c r="D519" t="s">
        <v>59</v>
      </c>
      <c r="E519" t="s">
        <v>7</v>
      </c>
      <c r="F519" t="s">
        <v>19</v>
      </c>
      <c r="G519" t="s">
        <v>49</v>
      </c>
      <c r="H519">
        <f t="shared" si="8"/>
        <v>1</v>
      </c>
      <c r="I519" t="s">
        <v>182</v>
      </c>
      <c r="J519" t="s">
        <v>8775</v>
      </c>
      <c r="K519" t="str">
        <f>VLOOKUP(J519,Organisation!$A$2:$C$499,3,FALSE)</f>
        <v>CORG00128</v>
      </c>
      <c r="L519" t="str">
        <f>VLOOKUP(J519,Organisation!$A$2:$E$499,4,FALSE)</f>
        <v>Academic</v>
      </c>
      <c r="M519" t="s">
        <v>93</v>
      </c>
      <c r="N519" t="s">
        <v>484</v>
      </c>
      <c r="O519" t="s">
        <v>55</v>
      </c>
      <c r="P519" s="3" t="s">
        <v>485</v>
      </c>
      <c r="Q519" t="s">
        <v>486</v>
      </c>
      <c r="S519" s="1">
        <v>1</v>
      </c>
      <c r="T519" t="str">
        <f>"Update Collaborator Set Organisation = '"&amp;J519&amp;"' where User_ID = '"&amp;B519&amp;"'; "</f>
        <v xml:space="preserve">Update Collaborator Set Organisation = 'Nahda University Beni Suef' where User_ID = 'CU00518'; </v>
      </c>
    </row>
    <row r="520" spans="1:21">
      <c r="A520" t="s">
        <v>10170</v>
      </c>
      <c r="B520" t="s">
        <v>4237</v>
      </c>
      <c r="C520" t="s">
        <v>10540</v>
      </c>
      <c r="D520" t="s">
        <v>2411</v>
      </c>
      <c r="E520" t="s">
        <v>41</v>
      </c>
      <c r="F520" t="s">
        <v>360</v>
      </c>
      <c r="G520" t="s">
        <v>4238</v>
      </c>
      <c r="H520">
        <f t="shared" si="8"/>
        <v>1</v>
      </c>
      <c r="I520" t="s">
        <v>71</v>
      </c>
      <c r="J520" t="s">
        <v>2415</v>
      </c>
      <c r="K520" t="str">
        <f>VLOOKUP(J520,Organisation!$A$2:$C$499,3,FALSE)</f>
        <v>CORG00307</v>
      </c>
      <c r="L520" t="str">
        <f>VLOOKUP(J520,Organisation!$A$2:$E$499,4,FALSE)</f>
        <v>Academic</v>
      </c>
      <c r="M520" t="s">
        <v>84</v>
      </c>
      <c r="N520" t="s">
        <v>2416</v>
      </c>
      <c r="O520" t="s">
        <v>75</v>
      </c>
      <c r="P520" s="3" t="s">
        <v>4239</v>
      </c>
      <c r="Q520" t="s">
        <v>4240</v>
      </c>
      <c r="S520" s="1">
        <v>1</v>
      </c>
      <c r="T520" t="str">
        <f>"Update Collaborator Set Organisation = '"&amp;J520&amp;"' where User_ID = '"&amp;B520&amp;"'; "</f>
        <v xml:space="preserve">Update Collaborator Set Organisation = 'Western University' where User_ID = 'CU00519'; </v>
      </c>
      <c r="U520" t="str">
        <f>"Update dcollab.collab_user Set Pi = True where User_ID = '"&amp;A520&amp;"'; "</f>
        <v xml:space="preserve">Update dcollab.collab_user Set Pi = True where User_ID = 'CUSR00597'; </v>
      </c>
    </row>
    <row r="521" spans="1:21">
      <c r="A521" t="s">
        <v>10171</v>
      </c>
      <c r="B521" t="s">
        <v>2410</v>
      </c>
      <c r="D521" t="s">
        <v>2411</v>
      </c>
      <c r="E521" t="s">
        <v>7</v>
      </c>
      <c r="F521" t="s">
        <v>2412</v>
      </c>
      <c r="G521" t="s">
        <v>2413</v>
      </c>
      <c r="H521">
        <f t="shared" si="8"/>
        <v>1</v>
      </c>
      <c r="I521" t="s">
        <v>2414</v>
      </c>
      <c r="J521" t="s">
        <v>2415</v>
      </c>
      <c r="K521" t="str">
        <f>VLOOKUP(J521,Organisation!$A$2:$C$499,3,FALSE)</f>
        <v>CORG00307</v>
      </c>
      <c r="L521" t="str">
        <f>VLOOKUP(J521,Organisation!$A$2:$E$499,4,FALSE)</f>
        <v>Academic</v>
      </c>
      <c r="M521" t="s">
        <v>84</v>
      </c>
      <c r="N521" t="s">
        <v>2416</v>
      </c>
      <c r="O521" t="s">
        <v>75</v>
      </c>
      <c r="P521" s="3" t="s">
        <v>2417</v>
      </c>
      <c r="Q521" t="s">
        <v>2418</v>
      </c>
      <c r="S521" s="1">
        <v>1</v>
      </c>
      <c r="T521" t="str">
        <f>"Update Collaborator Set Organisation = '"&amp;J521&amp;"' where User_ID = '"&amp;B521&amp;"'; "</f>
        <v xml:space="preserve">Update Collaborator Set Organisation = 'Western University' where User_ID = 'CU00520'; </v>
      </c>
    </row>
    <row r="522" spans="1:21">
      <c r="A522" t="s">
        <v>10172</v>
      </c>
      <c r="B522" t="s">
        <v>1202</v>
      </c>
      <c r="C522" t="s">
        <v>10540</v>
      </c>
      <c r="D522" t="s">
        <v>6</v>
      </c>
      <c r="E522" t="s">
        <v>216</v>
      </c>
      <c r="F522" t="s">
        <v>1143</v>
      </c>
      <c r="G522" t="s">
        <v>1203</v>
      </c>
      <c r="H522">
        <f t="shared" si="8"/>
        <v>1</v>
      </c>
      <c r="I522" t="s">
        <v>1204</v>
      </c>
      <c r="J522" t="s">
        <v>362</v>
      </c>
      <c r="K522" t="str">
        <f>VLOOKUP(J522,Organisation!$A$2:$C$499,3,FALSE)</f>
        <v>CORG00001</v>
      </c>
      <c r="L522" t="str">
        <f>VLOOKUP(J522,Organisation!$A$2:$E$499,4,FALSE)</f>
        <v>Academic</v>
      </c>
      <c r="M522" t="s">
        <v>12</v>
      </c>
      <c r="N522" t="s">
        <v>13</v>
      </c>
      <c r="O522" t="s">
        <v>14</v>
      </c>
      <c r="P522" s="3" t="s">
        <v>15</v>
      </c>
      <c r="Q522" t="s">
        <v>1205</v>
      </c>
      <c r="S522" s="1">
        <v>1</v>
      </c>
      <c r="T522" t="str">
        <f>"Update Collaborator Set Organisation = '"&amp;J522&amp;"' where User_ID = '"&amp;B522&amp;"'; "</f>
        <v xml:space="preserve">Update Collaborator Set Organisation = 'University of Queensland' where User_ID = 'CU00521'; </v>
      </c>
      <c r="U522" t="str">
        <f>"Update dcollab.collab_user Set Pi = True where User_ID = '"&amp;A522&amp;"'; "</f>
        <v xml:space="preserve">Update dcollab.collab_user Set Pi = True where User_ID = 'CUSR00599'; </v>
      </c>
    </row>
    <row r="523" spans="1:21">
      <c r="A523" t="s">
        <v>10173</v>
      </c>
      <c r="B523" t="s">
        <v>5</v>
      </c>
      <c r="D523" t="s">
        <v>6</v>
      </c>
      <c r="E523" t="s">
        <v>7</v>
      </c>
      <c r="F523" t="s">
        <v>8</v>
      </c>
      <c r="G523" t="s">
        <v>9</v>
      </c>
      <c r="H523">
        <f t="shared" si="8"/>
        <v>1</v>
      </c>
      <c r="I523" t="s">
        <v>10</v>
      </c>
      <c r="J523" t="s">
        <v>362</v>
      </c>
      <c r="K523" t="str">
        <f>VLOOKUP(J523,Organisation!$A$2:$C$499,3,FALSE)</f>
        <v>CORG00001</v>
      </c>
      <c r="L523" t="str">
        <f>VLOOKUP(J523,Organisation!$A$2:$E$499,4,FALSE)</f>
        <v>Academic</v>
      </c>
      <c r="M523" t="s">
        <v>12</v>
      </c>
      <c r="N523" t="s">
        <v>13</v>
      </c>
      <c r="O523" t="s">
        <v>14</v>
      </c>
      <c r="P523" s="3" t="s">
        <v>15</v>
      </c>
      <c r="Q523" t="s">
        <v>16</v>
      </c>
      <c r="S523" s="1">
        <v>1</v>
      </c>
      <c r="T523" t="str">
        <f>"Update Collaborator Set Organisation = '"&amp;J523&amp;"' where User_ID = '"&amp;B523&amp;"'; "</f>
        <v xml:space="preserve">Update Collaborator Set Organisation = 'University of Queensland' where User_ID = 'CU00522'; </v>
      </c>
    </row>
    <row r="524" spans="1:21">
      <c r="A524" t="s">
        <v>10174</v>
      </c>
      <c r="B524" t="s">
        <v>4525</v>
      </c>
      <c r="C524" t="s">
        <v>10540</v>
      </c>
      <c r="D524" t="s">
        <v>2029</v>
      </c>
      <c r="E524" t="s">
        <v>60</v>
      </c>
      <c r="F524" t="s">
        <v>4526</v>
      </c>
      <c r="G524" t="s">
        <v>4527</v>
      </c>
      <c r="H524">
        <f t="shared" si="8"/>
        <v>1</v>
      </c>
      <c r="I524" t="s">
        <v>625</v>
      </c>
      <c r="J524" t="s">
        <v>1699</v>
      </c>
      <c r="K524" t="str">
        <f>VLOOKUP(J524,Organisation!$A$2:$C$499,3,FALSE)</f>
        <v>CORG00312</v>
      </c>
      <c r="L524" t="str">
        <f>VLOOKUP(J524,Organisation!$A$2:$E$499,4,FALSE)</f>
        <v>Academic</v>
      </c>
      <c r="M524" t="s">
        <v>1447</v>
      </c>
      <c r="N524" t="s">
        <v>2033</v>
      </c>
      <c r="O524" t="s">
        <v>1701</v>
      </c>
      <c r="P524" s="3" t="s">
        <v>4528</v>
      </c>
      <c r="Q524" t="s">
        <v>4529</v>
      </c>
      <c r="S524" s="1">
        <v>1</v>
      </c>
      <c r="T524" t="str">
        <f>"Update Collaborator Set Organisation = '"&amp;J524&amp;"' where User_ID = '"&amp;B524&amp;"'; "</f>
        <v xml:space="preserve">Update Collaborator Set Organisation = 'Yerevan State University' where User_ID = 'CU00523'; </v>
      </c>
      <c r="U524" t="str">
        <f>"Update dcollab.collab_user Set Pi = True where User_ID = '"&amp;A524&amp;"'; "</f>
        <v xml:space="preserve">Update dcollab.collab_user Set Pi = True where User_ID = 'CUSR00601'; </v>
      </c>
    </row>
    <row r="525" spans="1:21">
      <c r="A525" t="s">
        <v>10175</v>
      </c>
      <c r="B525" t="s">
        <v>2028</v>
      </c>
      <c r="D525" t="s">
        <v>2029</v>
      </c>
      <c r="E525" t="s">
        <v>60</v>
      </c>
      <c r="F525" t="s">
        <v>2030</v>
      </c>
      <c r="G525" t="s">
        <v>2031</v>
      </c>
      <c r="H525">
        <f t="shared" si="8"/>
        <v>1</v>
      </c>
      <c r="I525" t="s">
        <v>2032</v>
      </c>
      <c r="J525" t="s">
        <v>1699</v>
      </c>
      <c r="K525" t="str">
        <f>VLOOKUP(J525,Organisation!$A$2:$C$499,3,FALSE)</f>
        <v>CORG00312</v>
      </c>
      <c r="L525" t="str">
        <f>VLOOKUP(J525,Organisation!$A$2:$E$499,4,FALSE)</f>
        <v>Academic</v>
      </c>
      <c r="M525" t="s">
        <v>1447</v>
      </c>
      <c r="N525" t="s">
        <v>2033</v>
      </c>
      <c r="O525" t="s">
        <v>1701</v>
      </c>
      <c r="P525" s="3" t="s">
        <v>2034</v>
      </c>
      <c r="Q525" t="s">
        <v>2035</v>
      </c>
      <c r="S525" s="1">
        <v>1</v>
      </c>
      <c r="T525" t="str">
        <f>"Update Collaborator Set Organisation = '"&amp;J525&amp;"' where User_ID = '"&amp;B525&amp;"'; "</f>
        <v xml:space="preserve">Update Collaborator Set Organisation = 'Yerevan State University' where User_ID = 'CU00524'; </v>
      </c>
    </row>
    <row r="526" spans="1:21">
      <c r="A526" t="s">
        <v>10176</v>
      </c>
      <c r="B526" t="s">
        <v>2062</v>
      </c>
      <c r="C526" t="s">
        <v>10540</v>
      </c>
      <c r="D526" t="s">
        <v>2063</v>
      </c>
      <c r="E526" t="s">
        <v>60</v>
      </c>
      <c r="F526" t="s">
        <v>2064</v>
      </c>
      <c r="G526" t="s">
        <v>2065</v>
      </c>
      <c r="H526">
        <f t="shared" si="8"/>
        <v>1</v>
      </c>
      <c r="I526" t="s">
        <v>190</v>
      </c>
      <c r="J526" t="s">
        <v>2066</v>
      </c>
      <c r="K526" t="str">
        <f>VLOOKUP(J526,Organisation!$A$2:$C$499,3,FALSE)</f>
        <v>CORG00020</v>
      </c>
      <c r="L526" t="str">
        <f>VLOOKUP(J526,Organisation!$A$2:$E$499,4,FALSE)</f>
        <v>Academic</v>
      </c>
      <c r="M526" t="s">
        <v>73</v>
      </c>
      <c r="N526" t="s">
        <v>2067</v>
      </c>
      <c r="O526" t="s">
        <v>211</v>
      </c>
      <c r="P526" s="3" t="s">
        <v>2068</v>
      </c>
      <c r="Q526" t="s">
        <v>2069</v>
      </c>
      <c r="S526" s="1">
        <v>1</v>
      </c>
      <c r="T526" t="str">
        <f>"Update Collaborator Set Organisation = '"&amp;J526&amp;"' where User_ID = '"&amp;B526&amp;"'; "</f>
        <v xml:space="preserve">Update Collaborator Set Organisation = 'BMS College of Engineering' where User_ID = 'CU00525'; </v>
      </c>
      <c r="U526" t="str">
        <f>"Update dcollab.collab_user Set Pi = True where User_ID = '"&amp;A526&amp;"'; "</f>
        <v xml:space="preserve">Update dcollab.collab_user Set Pi = True where User_ID = 'CUSR00603'; </v>
      </c>
    </row>
    <row r="527" spans="1:21">
      <c r="A527" t="s">
        <v>10177</v>
      </c>
      <c r="B527" t="s">
        <v>4271</v>
      </c>
      <c r="D527" t="s">
        <v>2063</v>
      </c>
      <c r="E527" t="s">
        <v>386</v>
      </c>
      <c r="F527" t="s">
        <v>4272</v>
      </c>
      <c r="G527" t="s">
        <v>4273</v>
      </c>
      <c r="H527">
        <f t="shared" si="8"/>
        <v>1</v>
      </c>
      <c r="I527" t="s">
        <v>4274</v>
      </c>
      <c r="J527" t="s">
        <v>2066</v>
      </c>
      <c r="K527" t="str">
        <f>VLOOKUP(J527,Organisation!$A$2:$C$499,3,FALSE)</f>
        <v>CORG00020</v>
      </c>
      <c r="L527" t="str">
        <f>VLOOKUP(J527,Organisation!$A$2:$E$499,4,FALSE)</f>
        <v>Academic</v>
      </c>
      <c r="M527" t="s">
        <v>73</v>
      </c>
      <c r="N527" t="s">
        <v>2067</v>
      </c>
      <c r="O527" t="s">
        <v>211</v>
      </c>
      <c r="S527" s="1">
        <v>1</v>
      </c>
      <c r="T527" t="str">
        <f>"Update Collaborator Set Organisation = '"&amp;J527&amp;"' where User_ID = '"&amp;B527&amp;"'; "</f>
        <v xml:space="preserve">Update Collaborator Set Organisation = 'BMS College of Engineering' where User_ID = 'CU00526'; </v>
      </c>
    </row>
    <row r="528" spans="1:21">
      <c r="A528" t="s">
        <v>10178</v>
      </c>
      <c r="B528" t="s">
        <v>1680</v>
      </c>
      <c r="C528" t="s">
        <v>10540</v>
      </c>
      <c r="D528" t="s">
        <v>1681</v>
      </c>
      <c r="E528" t="s">
        <v>60</v>
      </c>
      <c r="F528" t="s">
        <v>1682</v>
      </c>
      <c r="G528" t="s">
        <v>1683</v>
      </c>
      <c r="H528">
        <f t="shared" si="8"/>
        <v>1</v>
      </c>
      <c r="I528" t="s">
        <v>71</v>
      </c>
      <c r="J528" t="s">
        <v>1684</v>
      </c>
      <c r="K528" t="str">
        <f>VLOOKUP(J528,Organisation!$A$2:$C$499,3,FALSE)</f>
        <v>CORG00192</v>
      </c>
      <c r="L528" t="str">
        <f>VLOOKUP(J528,Organisation!$A$2:$E$499,4,FALSE)</f>
        <v>Academic</v>
      </c>
      <c r="M528" t="s">
        <v>1447</v>
      </c>
      <c r="N528" t="s">
        <v>1685</v>
      </c>
      <c r="O528" t="s">
        <v>481</v>
      </c>
      <c r="P528" s="3" t="s">
        <v>1686</v>
      </c>
      <c r="Q528" t="s">
        <v>1687</v>
      </c>
      <c r="S528" s="1">
        <v>1</v>
      </c>
      <c r="T528" t="str">
        <f>"Update Collaborator Set Organisation = '"&amp;J528&amp;"' where User_ID = '"&amp;B528&amp;"'; "</f>
        <v xml:space="preserve">Update Collaborator Set Organisation = 'Universidad de Buenos Aires' where User_ID = 'CU00527'; </v>
      </c>
      <c r="U528" t="str">
        <f>"Update dcollab.collab_user Set Pi = True where User_ID = '"&amp;A528&amp;"'; "</f>
        <v xml:space="preserve">Update dcollab.collab_user Set Pi = True where User_ID = 'CUSR00605'; </v>
      </c>
    </row>
    <row r="529" spans="1:21">
      <c r="A529" t="s">
        <v>10179</v>
      </c>
      <c r="B529" t="s">
        <v>3139</v>
      </c>
      <c r="D529" t="s">
        <v>1681</v>
      </c>
      <c r="E529" t="s">
        <v>110</v>
      </c>
      <c r="F529" t="s">
        <v>3140</v>
      </c>
      <c r="G529" t="s">
        <v>3141</v>
      </c>
      <c r="H529">
        <f t="shared" si="8"/>
        <v>1</v>
      </c>
      <c r="I529" t="s">
        <v>343</v>
      </c>
      <c r="J529" t="s">
        <v>1684</v>
      </c>
      <c r="K529" t="str">
        <f>VLOOKUP(J529,Organisation!$A$2:$C$499,3,FALSE)</f>
        <v>CORG00192</v>
      </c>
      <c r="L529" t="str">
        <f>VLOOKUP(J529,Organisation!$A$2:$E$499,4,FALSE)</f>
        <v>Academic</v>
      </c>
      <c r="M529" t="s">
        <v>1447</v>
      </c>
      <c r="N529" t="s">
        <v>1685</v>
      </c>
      <c r="O529" t="s">
        <v>481</v>
      </c>
      <c r="P529" s="3" t="s">
        <v>3142</v>
      </c>
      <c r="Q529" t="s">
        <v>3143</v>
      </c>
      <c r="S529" s="1">
        <v>1</v>
      </c>
      <c r="T529" t="str">
        <f>"Update Collaborator Set Organisation = '"&amp;J529&amp;"' where User_ID = '"&amp;B529&amp;"'; "</f>
        <v xml:space="preserve">Update Collaborator Set Organisation = 'Universidad de Buenos Aires' where User_ID = 'CU00528'; </v>
      </c>
    </row>
    <row r="530" spans="1:21">
      <c r="A530" t="s">
        <v>9608</v>
      </c>
      <c r="B530" t="s">
        <v>4916</v>
      </c>
      <c r="D530" t="s">
        <v>448</v>
      </c>
      <c r="E530" t="s">
        <v>110</v>
      </c>
      <c r="F530" t="s">
        <v>4917</v>
      </c>
      <c r="G530" t="s">
        <v>4918</v>
      </c>
      <c r="H530">
        <f t="shared" si="8"/>
        <v>1</v>
      </c>
      <c r="I530" t="s">
        <v>259</v>
      </c>
      <c r="J530" t="s">
        <v>362</v>
      </c>
      <c r="K530" t="str">
        <f>VLOOKUP(J530,Organisation!$A$2:$C$499,3,FALSE)</f>
        <v>CORG00001</v>
      </c>
      <c r="L530" t="str">
        <f>VLOOKUP(J530,Organisation!$A$2:$E$499,4,FALSE)</f>
        <v>Academic</v>
      </c>
      <c r="M530" t="s">
        <v>416</v>
      </c>
      <c r="N530" t="s">
        <v>451</v>
      </c>
      <c r="O530" t="s">
        <v>14</v>
      </c>
      <c r="P530" s="3" t="s">
        <v>4919</v>
      </c>
      <c r="Q530" t="s">
        <v>4920</v>
      </c>
      <c r="S530" s="1">
        <v>1</v>
      </c>
      <c r="T530" t="str">
        <f>"Update Collaborator Set Organisation = '"&amp;J530&amp;"' where User_ID = '"&amp;B530&amp;"'; "</f>
        <v xml:space="preserve">Update Collaborator Set Organisation = 'University of Queensland' where User_ID = 'CU00529'; </v>
      </c>
    </row>
    <row r="531" spans="1:21">
      <c r="A531" t="s">
        <v>10180</v>
      </c>
      <c r="B531" t="s">
        <v>2906</v>
      </c>
      <c r="C531" t="s">
        <v>10540</v>
      </c>
      <c r="D531" t="s">
        <v>2907</v>
      </c>
      <c r="E531" t="s">
        <v>60</v>
      </c>
      <c r="F531" t="s">
        <v>2908</v>
      </c>
      <c r="G531" t="s">
        <v>2909</v>
      </c>
      <c r="H531">
        <f t="shared" si="8"/>
        <v>1</v>
      </c>
      <c r="I531" t="s">
        <v>82</v>
      </c>
      <c r="J531" t="s">
        <v>2910</v>
      </c>
      <c r="K531" t="str">
        <f>VLOOKUP(J531,Organisation!$A$2:$C$499,3,FALSE)</f>
        <v>CORG00074</v>
      </c>
      <c r="L531" t="str">
        <f>VLOOKUP(J531,Organisation!$A$2:$E$499,4,FALSE)</f>
        <v>Academic</v>
      </c>
      <c r="M531" t="s">
        <v>2911</v>
      </c>
      <c r="N531" t="s">
        <v>2912</v>
      </c>
      <c r="O531" t="s">
        <v>211</v>
      </c>
      <c r="P531" s="3" t="s">
        <v>2913</v>
      </c>
      <c r="Q531" t="s">
        <v>2914</v>
      </c>
      <c r="S531" s="1">
        <v>1</v>
      </c>
      <c r="T531" t="str">
        <f>"Update Collaborator Set Organisation = '"&amp;J531&amp;"' where User_ID = '"&amp;B531&amp;"'; "</f>
        <v xml:space="preserve">Update Collaborator Set Organisation = 'IIT Madras' where User_ID = 'CU00530'; </v>
      </c>
      <c r="U531" t="str">
        <f>"Update dcollab.collab_user Set Pi = True where User_ID = '"&amp;A531&amp;"'; "</f>
        <v xml:space="preserve">Update dcollab.collab_user Set Pi = True where User_ID = 'CUSR00607'; </v>
      </c>
    </row>
    <row r="532" spans="1:21">
      <c r="A532" t="s">
        <v>10181</v>
      </c>
      <c r="B532" t="s">
        <v>4835</v>
      </c>
      <c r="D532" t="s">
        <v>2907</v>
      </c>
      <c r="E532" t="s">
        <v>7</v>
      </c>
      <c r="F532" t="s">
        <v>4836</v>
      </c>
      <c r="G532" t="s">
        <v>4837</v>
      </c>
      <c r="H532">
        <f t="shared" si="8"/>
        <v>1</v>
      </c>
      <c r="I532" t="s">
        <v>4838</v>
      </c>
      <c r="J532" t="s">
        <v>2910</v>
      </c>
      <c r="K532" t="str">
        <f>VLOOKUP(J532,Organisation!$A$2:$C$499,3,FALSE)</f>
        <v>CORG00074</v>
      </c>
      <c r="L532" t="str">
        <f>VLOOKUP(J532,Organisation!$A$2:$E$499,4,FALSE)</f>
        <v>Academic</v>
      </c>
      <c r="M532" t="s">
        <v>4839</v>
      </c>
      <c r="N532" t="s">
        <v>4840</v>
      </c>
      <c r="O532" t="s">
        <v>211</v>
      </c>
      <c r="P532" s="3" t="s">
        <v>4841</v>
      </c>
      <c r="Q532" t="s">
        <v>4842</v>
      </c>
      <c r="S532" s="1">
        <v>1</v>
      </c>
      <c r="T532" t="str">
        <f>"Update Collaborator Set Organisation = '"&amp;J532&amp;"' where User_ID = '"&amp;B532&amp;"'; "</f>
        <v xml:space="preserve">Update Collaborator Set Organisation = 'IIT Madras' where User_ID = 'CU00531'; </v>
      </c>
    </row>
    <row r="533" spans="1:21">
      <c r="A533" t="s">
        <v>10182</v>
      </c>
      <c r="B533" t="s">
        <v>2293</v>
      </c>
      <c r="C533" t="s">
        <v>10540</v>
      </c>
      <c r="D533" t="s">
        <v>2294</v>
      </c>
      <c r="E533" t="s">
        <v>216</v>
      </c>
      <c r="F533" t="s">
        <v>257</v>
      </c>
      <c r="G533" t="s">
        <v>2295</v>
      </c>
      <c r="H533">
        <f t="shared" si="8"/>
        <v>1</v>
      </c>
      <c r="I533" t="s">
        <v>516</v>
      </c>
      <c r="J533" t="s">
        <v>2296</v>
      </c>
      <c r="K533" t="str">
        <f>VLOOKUP(J533,Organisation!$A$2:$C$499,3,FALSE)</f>
        <v>CORG00117</v>
      </c>
      <c r="L533" t="str">
        <f>VLOOKUP(J533,Organisation!$A$2:$E$499,4,FALSE)</f>
        <v>Academic</v>
      </c>
      <c r="M533" t="s">
        <v>2297</v>
      </c>
      <c r="N533" t="s">
        <v>2298</v>
      </c>
      <c r="O533" t="s">
        <v>694</v>
      </c>
      <c r="P533" s="3" t="s">
        <v>2299</v>
      </c>
      <c r="Q533" t="s">
        <v>2300</v>
      </c>
      <c r="S533" s="1">
        <v>1</v>
      </c>
      <c r="T533" t="str">
        <f>"Update Collaborator Set Organisation = '"&amp;J533&amp;"' where User_ID = '"&amp;B533&amp;"'; "</f>
        <v xml:space="preserve">Update Collaborator Set Organisation = 'Medical University of Vienna' where User_ID = 'CU00532'; </v>
      </c>
      <c r="U533" t="str">
        <f>"Update dcollab.collab_user Set Pi = True where User_ID = '"&amp;A533&amp;"'; "</f>
        <v xml:space="preserve">Update dcollab.collab_user Set Pi = True where User_ID = 'CUSR00609'; </v>
      </c>
    </row>
    <row r="534" spans="1:21">
      <c r="A534" t="s">
        <v>9592</v>
      </c>
      <c r="B534" t="s">
        <v>2001</v>
      </c>
      <c r="D534" t="s">
        <v>2002</v>
      </c>
      <c r="E534" t="s">
        <v>60</v>
      </c>
      <c r="F534" t="s">
        <v>2003</v>
      </c>
      <c r="G534" t="s">
        <v>2004</v>
      </c>
      <c r="H534">
        <f t="shared" si="8"/>
        <v>1</v>
      </c>
      <c r="I534" t="s">
        <v>2005</v>
      </c>
      <c r="J534" t="s">
        <v>362</v>
      </c>
      <c r="K534" t="str">
        <f>VLOOKUP(J534,Organisation!$A$2:$C$499,3,FALSE)</f>
        <v>CORG00001</v>
      </c>
      <c r="L534" t="str">
        <f>VLOOKUP(J534,Organisation!$A$2:$E$499,4,FALSE)</f>
        <v>Academic</v>
      </c>
      <c r="M534" t="s">
        <v>416</v>
      </c>
      <c r="N534" t="s">
        <v>417</v>
      </c>
      <c r="O534" t="s">
        <v>14</v>
      </c>
      <c r="P534" s="3" t="s">
        <v>2006</v>
      </c>
      <c r="Q534" t="s">
        <v>2007</v>
      </c>
      <c r="S534" s="1">
        <v>1</v>
      </c>
      <c r="T534" t="str">
        <f>"Update Collaborator Set Organisation = '"&amp;J534&amp;"' where User_ID = '"&amp;B534&amp;"'; "</f>
        <v xml:space="preserve">Update Collaborator Set Organisation = 'University of Queensland' where User_ID = 'CU00533'; </v>
      </c>
    </row>
    <row r="535" spans="1:21">
      <c r="A535" t="s">
        <v>10183</v>
      </c>
      <c r="B535" t="s">
        <v>348</v>
      </c>
      <c r="C535" t="s">
        <v>10540</v>
      </c>
      <c r="D535" t="s">
        <v>349</v>
      </c>
      <c r="E535" t="s">
        <v>41</v>
      </c>
      <c r="F535" t="s">
        <v>350</v>
      </c>
      <c r="G535" t="s">
        <v>351</v>
      </c>
      <c r="H535">
        <f t="shared" si="8"/>
        <v>1</v>
      </c>
      <c r="I535" t="s">
        <v>333</v>
      </c>
      <c r="J535" t="s">
        <v>352</v>
      </c>
      <c r="K535" t="str">
        <f>VLOOKUP(J535,Organisation!$A$2:$C$499,3,FALSE)</f>
        <v>CORG00281</v>
      </c>
      <c r="L535" t="str">
        <f>VLOOKUP(J535,Organisation!$A$2:$E$499,4,FALSE)</f>
        <v>Academic</v>
      </c>
      <c r="M535" t="s">
        <v>353</v>
      </c>
      <c r="N535" t="s">
        <v>354</v>
      </c>
      <c r="O535" t="s">
        <v>355</v>
      </c>
      <c r="P535" s="3" t="s">
        <v>356</v>
      </c>
      <c r="Q535" t="s">
        <v>357</v>
      </c>
      <c r="S535" s="1">
        <v>1</v>
      </c>
      <c r="T535" t="str">
        <f>"Update Collaborator Set Organisation = '"&amp;J535&amp;"' where User_ID = '"&amp;B535&amp;"'; "</f>
        <v xml:space="preserve">Update Collaborator Set Organisation = 'University of Trieste' where User_ID = 'CU00534'; </v>
      </c>
      <c r="U535" t="str">
        <f>"Update dcollab.collab_user Set Pi = True where User_ID = '"&amp;A535&amp;"'; "</f>
        <v xml:space="preserve">Update dcollab.collab_user Set Pi = True where User_ID = 'CUSR00610'; </v>
      </c>
    </row>
    <row r="536" spans="1:21">
      <c r="A536" t="s">
        <v>10184</v>
      </c>
      <c r="B536" t="s">
        <v>329</v>
      </c>
      <c r="C536" t="s">
        <v>10540</v>
      </c>
      <c r="D536" t="s">
        <v>330</v>
      </c>
      <c r="E536" t="s">
        <v>41</v>
      </c>
      <c r="F536" t="s">
        <v>331</v>
      </c>
      <c r="G536" t="s">
        <v>332</v>
      </c>
      <c r="H536">
        <f t="shared" si="8"/>
        <v>1</v>
      </c>
      <c r="I536" t="s">
        <v>333</v>
      </c>
      <c r="J536" t="s">
        <v>334</v>
      </c>
      <c r="K536" t="str">
        <f>VLOOKUP(J536,Organisation!$A$2:$C$499,3,FALSE)</f>
        <v>CORG00295</v>
      </c>
      <c r="L536" t="str">
        <f>VLOOKUP(J536,Organisation!$A$2:$E$499,4,FALSE)</f>
        <v>Academic</v>
      </c>
      <c r="M536" t="s">
        <v>335</v>
      </c>
      <c r="N536" t="s">
        <v>336</v>
      </c>
      <c r="O536" t="s">
        <v>253</v>
      </c>
      <c r="P536" s="3" t="s">
        <v>337</v>
      </c>
      <c r="Q536" t="s">
        <v>338</v>
      </c>
      <c r="S536" s="1">
        <v>1</v>
      </c>
      <c r="T536" t="str">
        <f>"Update Collaborator Set Organisation = '"&amp;J536&amp;"' where User_ID = '"&amp;B536&amp;"'; "</f>
        <v xml:space="preserve">Update Collaborator Set Organisation = 'University of Zurich' where User_ID = 'CU00535'; </v>
      </c>
      <c r="U536" t="str">
        <f>"Update dcollab.collab_user Set Pi = True where User_ID = '"&amp;A536&amp;"'; "</f>
        <v xml:space="preserve">Update dcollab.collab_user Set Pi = True where User_ID = 'CUSR00611'; </v>
      </c>
    </row>
    <row r="537" spans="1:21">
      <c r="A537" t="s">
        <v>10186</v>
      </c>
      <c r="B537" t="s">
        <v>2106</v>
      </c>
      <c r="C537" t="s">
        <v>10540</v>
      </c>
      <c r="D537" t="s">
        <v>2107</v>
      </c>
      <c r="E537" t="s">
        <v>60</v>
      </c>
      <c r="F537" t="s">
        <v>2108</v>
      </c>
      <c r="G537" t="s">
        <v>2109</v>
      </c>
      <c r="H537">
        <f t="shared" si="8"/>
        <v>1</v>
      </c>
      <c r="I537" t="s">
        <v>333</v>
      </c>
      <c r="J537" t="s">
        <v>2110</v>
      </c>
      <c r="K537" t="str">
        <f>VLOOKUP(J537,Organisation!$A$2:$C$499,3,FALSE)</f>
        <v>CORG00032</v>
      </c>
      <c r="L537" t="str">
        <f>VLOOKUP(J537,Organisation!$A$2:$E$499,4,FALSE)</f>
        <v>Academic</v>
      </c>
      <c r="M537" t="s">
        <v>2111</v>
      </c>
      <c r="N537" t="s">
        <v>2112</v>
      </c>
      <c r="O537" t="s">
        <v>704</v>
      </c>
      <c r="P537" s="3" t="s">
        <v>2113</v>
      </c>
      <c r="Q537" t="s">
        <v>2114</v>
      </c>
      <c r="S537" s="1">
        <v>1</v>
      </c>
      <c r="T537" t="str">
        <f>"Update Collaborator Set Organisation = '"&amp;J537&amp;"' where User_ID = '"&amp;B537&amp;"'; "</f>
        <v xml:space="preserve">Update Collaborator Set Organisation = 'Chimie ParisTech PSL University' where User_ID = 'CU00536'; </v>
      </c>
      <c r="U537" t="str">
        <f>"Update dcollab.collab_user Set Pi = True where User_ID = '"&amp;A537&amp;"'; "</f>
        <v xml:space="preserve">Update dcollab.collab_user Set Pi = True where User_ID = 'CUSR00613'; </v>
      </c>
    </row>
    <row r="538" spans="1:21">
      <c r="A538" t="s">
        <v>10187</v>
      </c>
      <c r="B538" t="s">
        <v>5421</v>
      </c>
      <c r="C538" t="s">
        <v>10540</v>
      </c>
      <c r="D538" t="s">
        <v>3802</v>
      </c>
      <c r="E538" t="s">
        <v>60</v>
      </c>
      <c r="F538" t="s">
        <v>762</v>
      </c>
      <c r="G538" t="s">
        <v>5422</v>
      </c>
      <c r="H538">
        <f t="shared" si="8"/>
        <v>1</v>
      </c>
      <c r="I538" t="s">
        <v>5423</v>
      </c>
      <c r="J538" t="s">
        <v>3805</v>
      </c>
      <c r="K538" t="str">
        <f>VLOOKUP(J538,Organisation!$A$2:$C$499,3,FALSE)</f>
        <v>CORG00008</v>
      </c>
      <c r="L538" t="str">
        <f>VLOOKUP(J538,Organisation!$A$2:$E$499,4,FALSE)</f>
        <v>Academic</v>
      </c>
      <c r="M538" t="s">
        <v>84</v>
      </c>
      <c r="N538" t="s">
        <v>3806</v>
      </c>
      <c r="O538" t="s">
        <v>2674</v>
      </c>
      <c r="P538" s="3" t="s">
        <v>3807</v>
      </c>
      <c r="Q538" t="s">
        <v>5424</v>
      </c>
      <c r="S538" s="1">
        <v>1</v>
      </c>
      <c r="T538" t="str">
        <f>"Update Collaborator Set Organisation = '"&amp;J538&amp;"' where User_ID = '"&amp;B538&amp;"'; "</f>
        <v xml:space="preserve">Update Collaborator Set Organisation = 'Allama Iqbal Open University Islamabad' where User_ID = 'CU00537'; </v>
      </c>
      <c r="U538" t="str">
        <f>"Update dcollab.collab_user Set Pi = True where User_ID = '"&amp;A538&amp;"'; "</f>
        <v xml:space="preserve">Update dcollab.collab_user Set Pi = True where User_ID = 'CUSR00614'; </v>
      </c>
    </row>
    <row r="539" spans="1:21">
      <c r="A539" t="s">
        <v>10188</v>
      </c>
      <c r="B539" t="s">
        <v>3801</v>
      </c>
      <c r="D539" t="s">
        <v>3802</v>
      </c>
      <c r="E539" t="s">
        <v>7</v>
      </c>
      <c r="F539" t="s">
        <v>3803</v>
      </c>
      <c r="G539" t="s">
        <v>3804</v>
      </c>
      <c r="H539">
        <f t="shared" si="8"/>
        <v>1</v>
      </c>
      <c r="I539" t="s">
        <v>343</v>
      </c>
      <c r="J539" t="s">
        <v>3805</v>
      </c>
      <c r="K539" t="str">
        <f>VLOOKUP(J539,Organisation!$A$2:$C$499,3,FALSE)</f>
        <v>CORG00008</v>
      </c>
      <c r="L539" t="str">
        <f>VLOOKUP(J539,Organisation!$A$2:$E$499,4,FALSE)</f>
        <v>Academic</v>
      </c>
      <c r="M539" t="s">
        <v>84</v>
      </c>
      <c r="N539" t="s">
        <v>3806</v>
      </c>
      <c r="O539" t="s">
        <v>2674</v>
      </c>
      <c r="P539" s="3" t="s">
        <v>3807</v>
      </c>
      <c r="Q539" t="s">
        <v>3808</v>
      </c>
      <c r="S539" s="1">
        <v>0</v>
      </c>
      <c r="T539" t="str">
        <f>"Update Collaborator Set Organisation = '"&amp;J539&amp;"' where User_ID = '"&amp;B539&amp;"'; "</f>
        <v xml:space="preserve">Update Collaborator Set Organisation = 'Allama Iqbal Open University Islamabad' where User_ID = 'CU00538'; </v>
      </c>
    </row>
    <row r="540" spans="1:21">
      <c r="A540" t="s">
        <v>10189</v>
      </c>
      <c r="B540" t="s">
        <v>2877</v>
      </c>
      <c r="C540" t="s">
        <v>10540</v>
      </c>
      <c r="D540" t="s">
        <v>2878</v>
      </c>
      <c r="E540" t="s">
        <v>60</v>
      </c>
      <c r="F540" t="s">
        <v>1639</v>
      </c>
      <c r="G540" t="s">
        <v>2879</v>
      </c>
      <c r="H540">
        <f t="shared" si="8"/>
        <v>1</v>
      </c>
      <c r="I540" t="s">
        <v>71</v>
      </c>
      <c r="J540" t="s">
        <v>8749</v>
      </c>
      <c r="K540" t="str">
        <f>VLOOKUP(J540,Organisation!$A$2:$C$499,3,FALSE)</f>
        <v>CORG00221</v>
      </c>
      <c r="L540" t="str">
        <f>VLOOKUP(J540,Organisation!$A$2:$E$499,4,FALSE)</f>
        <v>Academic</v>
      </c>
      <c r="M540" t="s">
        <v>2881</v>
      </c>
      <c r="N540" t="s">
        <v>2882</v>
      </c>
      <c r="O540" t="s">
        <v>8808</v>
      </c>
      <c r="P540" s="3" t="s">
        <v>2883</v>
      </c>
      <c r="Q540" t="s">
        <v>2884</v>
      </c>
      <c r="S540" s="1">
        <v>1</v>
      </c>
      <c r="T540" t="str">
        <f>"Update Collaborator Set Organisation = '"&amp;J540&amp;"' where User_ID = '"&amp;B540&amp;"'; "</f>
        <v xml:space="preserve">Update Collaborator Set Organisation = 'University of California San Diego' where User_ID = 'CU00539'; </v>
      </c>
      <c r="U540" t="str">
        <f>"Update dcollab.collab_user Set Pi = True where User_ID = '"&amp;A540&amp;"'; "</f>
        <v xml:space="preserve">Update dcollab.collab_user Set Pi = True where User_ID = 'CUSR00616'; </v>
      </c>
    </row>
    <row r="541" spans="1:21">
      <c r="A541" t="s">
        <v>10190</v>
      </c>
      <c r="B541" t="s">
        <v>5051</v>
      </c>
      <c r="C541" t="s">
        <v>10540</v>
      </c>
      <c r="D541" t="s">
        <v>5052</v>
      </c>
      <c r="E541" t="s">
        <v>60</v>
      </c>
      <c r="F541" t="s">
        <v>4874</v>
      </c>
      <c r="G541" t="s">
        <v>5053</v>
      </c>
      <c r="H541">
        <f t="shared" si="8"/>
        <v>1</v>
      </c>
      <c r="I541" t="s">
        <v>82</v>
      </c>
      <c r="J541" t="s">
        <v>5054</v>
      </c>
      <c r="K541" t="str">
        <f>VLOOKUP(J541,Organisation!$A$2:$C$499,3,FALSE)</f>
        <v>CORG00080</v>
      </c>
      <c r="L541" t="str">
        <f>VLOOKUP(J541,Organisation!$A$2:$E$499,4,FALSE)</f>
        <v>Academic</v>
      </c>
      <c r="M541" t="s">
        <v>5055</v>
      </c>
      <c r="N541" t="s">
        <v>5056</v>
      </c>
      <c r="O541" t="s">
        <v>211</v>
      </c>
      <c r="P541" s="3" t="s">
        <v>5057</v>
      </c>
      <c r="Q541" t="s">
        <v>5058</v>
      </c>
      <c r="R541" t="s">
        <v>5059</v>
      </c>
      <c r="S541" s="1">
        <v>1</v>
      </c>
      <c r="T541" t="str">
        <f>"Update Collaborator Set Organisation = '"&amp;J541&amp;"' where User_ID = '"&amp;B541&amp;"'; "</f>
        <v xml:space="preserve">Update Collaborator Set Organisation = 'Indira Gandhi National Tribal University' where User_ID = 'CU00540'; </v>
      </c>
      <c r="U541" t="str">
        <f>"Update dcollab.collab_user Set Pi = True where User_ID = '"&amp;A541&amp;"'; "</f>
        <v xml:space="preserve">Update dcollab.collab_user Set Pi = True where User_ID = 'CUSR00617'; </v>
      </c>
    </row>
    <row r="542" spans="1:21">
      <c r="A542" t="s">
        <v>9917</v>
      </c>
      <c r="B542" t="s">
        <v>1076</v>
      </c>
      <c r="D542" t="s">
        <v>1077</v>
      </c>
      <c r="E542" t="s">
        <v>7</v>
      </c>
      <c r="F542" t="s">
        <v>1078</v>
      </c>
      <c r="G542" t="s">
        <v>1079</v>
      </c>
      <c r="H542">
        <f t="shared" si="8"/>
        <v>1</v>
      </c>
      <c r="I542" t="s">
        <v>152</v>
      </c>
      <c r="J542" t="s">
        <v>1080</v>
      </c>
      <c r="K542" t="str">
        <f>VLOOKUP(J542,Organisation!$A$2:$C$499,3,FALSE)</f>
        <v>CORG00237</v>
      </c>
      <c r="L542" t="str">
        <f>VLOOKUP(J542,Organisation!$A$2:$E$499,4,FALSE)</f>
        <v>Academic</v>
      </c>
      <c r="M542" t="s">
        <v>84</v>
      </c>
      <c r="N542" t="s">
        <v>1081</v>
      </c>
      <c r="O542" t="s">
        <v>269</v>
      </c>
      <c r="P542" s="3" t="s">
        <v>1082</v>
      </c>
      <c r="Q542" t="s">
        <v>1083</v>
      </c>
      <c r="S542" s="1">
        <v>1</v>
      </c>
      <c r="T542" t="str">
        <f>"Update Collaborator Set Organisation = '"&amp;J542&amp;"' where User_ID = '"&amp;B542&amp;"'; "</f>
        <v xml:space="preserve">Update Collaborator Set Organisation = 'University of Leeds' where User_ID = 'CU00541'; </v>
      </c>
    </row>
    <row r="543" spans="1:21">
      <c r="A543" t="s">
        <v>10191</v>
      </c>
      <c r="B543" t="s">
        <v>4402</v>
      </c>
      <c r="D543" t="s">
        <v>2769</v>
      </c>
      <c r="E543" t="s">
        <v>41</v>
      </c>
      <c r="F543" t="s">
        <v>963</v>
      </c>
      <c r="G543" t="s">
        <v>4403</v>
      </c>
      <c r="H543">
        <f t="shared" si="8"/>
        <v>1</v>
      </c>
      <c r="I543" t="s">
        <v>333</v>
      </c>
      <c r="J543" t="s">
        <v>4404</v>
      </c>
      <c r="K543" t="str">
        <f>VLOOKUP(J543,Organisation!$A$2:$C$499,3,FALSE)</f>
        <v>CORG00275</v>
      </c>
      <c r="L543" t="str">
        <f>VLOOKUP(J543,Organisation!$A$2:$E$499,4,FALSE)</f>
        <v>Academic</v>
      </c>
      <c r="M543" t="s">
        <v>73</v>
      </c>
      <c r="N543" t="s">
        <v>4405</v>
      </c>
      <c r="O543" t="s">
        <v>609</v>
      </c>
      <c r="P543" s="3" t="s">
        <v>4406</v>
      </c>
      <c r="Q543" t="s">
        <v>4407</v>
      </c>
      <c r="S543" s="1">
        <v>1</v>
      </c>
      <c r="T543" t="str">
        <f>"Update Collaborator Set Organisation = '"&amp;J543&amp;"' where User_ID = '"&amp;B543&amp;"'; "</f>
        <v xml:space="preserve">Update Collaborator Set Organisation = 'University of the Free State' where User_ID = 'CU00542'; </v>
      </c>
    </row>
    <row r="544" spans="1:21">
      <c r="A544" t="s">
        <v>10205</v>
      </c>
      <c r="B544" t="s">
        <v>366</v>
      </c>
      <c r="C544" t="s">
        <v>10540</v>
      </c>
      <c r="D544" t="s">
        <v>367</v>
      </c>
      <c r="E544" t="s">
        <v>60</v>
      </c>
      <c r="F544" t="s">
        <v>368</v>
      </c>
      <c r="G544" t="s">
        <v>369</v>
      </c>
      <c r="H544">
        <f t="shared" si="8"/>
        <v>1</v>
      </c>
      <c r="I544" t="s">
        <v>370</v>
      </c>
      <c r="J544" t="s">
        <v>371</v>
      </c>
      <c r="K544" t="str">
        <f>VLOOKUP(J544,Organisation!$A$2:$C$499,3,FALSE)</f>
        <v>CORG00156</v>
      </c>
      <c r="L544" t="str">
        <f>VLOOKUP(J544,Organisation!$A$2:$E$499,4,FALSE)</f>
        <v>Academic</v>
      </c>
      <c r="M544" t="s">
        <v>372</v>
      </c>
      <c r="N544" t="s">
        <v>373</v>
      </c>
      <c r="O544" t="s">
        <v>14</v>
      </c>
      <c r="P544" s="3" t="s">
        <v>374</v>
      </c>
      <c r="Q544" t="s">
        <v>375</v>
      </c>
      <c r="S544" s="1">
        <v>1</v>
      </c>
      <c r="T544" t="str">
        <f>"Update Collaborator Set Organisation = '"&amp;J544&amp;"' where User_ID = '"&amp;B544&amp;"'; "</f>
        <v xml:space="preserve">Update Collaborator Set Organisation = 'Queensland University of Technology' where User_ID = 'CU00543'; </v>
      </c>
      <c r="U544" t="str">
        <f>"Update dcollab.collab_user Set Pi = True where User_ID = '"&amp;A544&amp;"'; "</f>
        <v xml:space="preserve">Update dcollab.collab_user Set Pi = True where User_ID = 'CUSR00632'; </v>
      </c>
    </row>
    <row r="545" spans="1:21">
      <c r="A545" t="s">
        <v>10206</v>
      </c>
      <c r="B545" t="s">
        <v>1529</v>
      </c>
      <c r="D545" t="s">
        <v>367</v>
      </c>
      <c r="E545" t="s">
        <v>110</v>
      </c>
      <c r="F545" t="s">
        <v>1530</v>
      </c>
      <c r="G545" t="s">
        <v>1531</v>
      </c>
      <c r="H545">
        <f t="shared" si="8"/>
        <v>1</v>
      </c>
      <c r="I545" t="s">
        <v>1532</v>
      </c>
      <c r="J545" t="s">
        <v>371</v>
      </c>
      <c r="K545" t="str">
        <f>VLOOKUP(J545,Organisation!$A$2:$C$499,3,FALSE)</f>
        <v>CORG00156</v>
      </c>
      <c r="L545" t="str">
        <f>VLOOKUP(J545,Organisation!$A$2:$E$499,4,FALSE)</f>
        <v>Academic</v>
      </c>
      <c r="M545" t="s">
        <v>372</v>
      </c>
      <c r="N545" t="s">
        <v>373</v>
      </c>
      <c r="O545" t="s">
        <v>14</v>
      </c>
      <c r="P545" s="3" t="s">
        <v>374</v>
      </c>
      <c r="Q545" t="s">
        <v>1533</v>
      </c>
      <c r="S545" s="1">
        <v>1</v>
      </c>
      <c r="T545" t="str">
        <f>"Update Collaborator Set Organisation = '"&amp;J545&amp;"' where User_ID = '"&amp;B545&amp;"'; "</f>
        <v xml:space="preserve">Update Collaborator Set Organisation = 'Queensland University of Technology' where User_ID = 'CU00544'; </v>
      </c>
    </row>
    <row r="546" spans="1:21">
      <c r="A546" t="s">
        <v>10193</v>
      </c>
      <c r="B546" t="s">
        <v>4116</v>
      </c>
      <c r="C546" t="s">
        <v>10540</v>
      </c>
      <c r="D546" t="s">
        <v>4117</v>
      </c>
      <c r="E546" t="s">
        <v>60</v>
      </c>
      <c r="F546" t="s">
        <v>2721</v>
      </c>
      <c r="G546" t="s">
        <v>4118</v>
      </c>
      <c r="H546">
        <f t="shared" si="8"/>
        <v>1</v>
      </c>
      <c r="I546" t="s">
        <v>4119</v>
      </c>
      <c r="J546" t="s">
        <v>4120</v>
      </c>
      <c r="K546" t="str">
        <f>VLOOKUP(J546,Organisation!$A$2:$C$499,3,FALSE)</f>
        <v>CORG00219</v>
      </c>
      <c r="L546" t="str">
        <f>VLOOKUP(J546,Organisation!$A$2:$E$499,4,FALSE)</f>
        <v>Academic</v>
      </c>
      <c r="M546" t="s">
        <v>4121</v>
      </c>
      <c r="N546" t="s">
        <v>4122</v>
      </c>
      <c r="O546" t="s">
        <v>269</v>
      </c>
      <c r="P546" s="3" t="s">
        <v>4123</v>
      </c>
      <c r="Q546" t="s">
        <v>4124</v>
      </c>
      <c r="S546" s="1">
        <v>1</v>
      </c>
      <c r="T546" t="str">
        <f>"Update Collaborator Set Organisation = '"&amp;J546&amp;"' where User_ID = '"&amp;B546&amp;"'; "</f>
        <v xml:space="preserve">Update Collaborator Set Organisation = 'University of Bradford' where User_ID = 'CU00545'; </v>
      </c>
      <c r="U546" t="str">
        <f>"Update dcollab.collab_user Set Pi = True where User_ID = '"&amp;A546&amp;"'; "</f>
        <v xml:space="preserve">Update dcollab.collab_user Set Pi = True where User_ID = 'CUSR00620'; </v>
      </c>
    </row>
    <row r="547" spans="1:21">
      <c r="A547" t="s">
        <v>10194</v>
      </c>
      <c r="B547" t="s">
        <v>3174</v>
      </c>
      <c r="C547" t="s">
        <v>10540</v>
      </c>
      <c r="D547" t="s">
        <v>3175</v>
      </c>
      <c r="E547" t="s">
        <v>60</v>
      </c>
      <c r="F547" t="s">
        <v>3176</v>
      </c>
      <c r="G547" t="s">
        <v>2174</v>
      </c>
      <c r="H547">
        <f t="shared" si="8"/>
        <v>1</v>
      </c>
      <c r="I547" t="s">
        <v>625</v>
      </c>
      <c r="J547" t="s">
        <v>3177</v>
      </c>
      <c r="K547" t="str">
        <f>VLOOKUP(J547,Organisation!$A$2:$C$499,3,FALSE)</f>
        <v>CORG00002</v>
      </c>
      <c r="L547" t="str">
        <f>VLOOKUP(J547,Organisation!$A$2:$E$499,4,FALSE)</f>
        <v>Academic</v>
      </c>
      <c r="M547" t="s">
        <v>640</v>
      </c>
      <c r="N547" t="s">
        <v>3178</v>
      </c>
      <c r="O547" t="s">
        <v>8808</v>
      </c>
      <c r="P547" s="3" t="s">
        <v>3179</v>
      </c>
      <c r="Q547" t="s">
        <v>3180</v>
      </c>
      <c r="S547" s="1">
        <v>1</v>
      </c>
      <c r="T547" t="str">
        <f>"Update Collaborator Set Organisation = '"&amp;J547&amp;"' where User_ID = '"&amp;B547&amp;"'; "</f>
        <v xml:space="preserve">Update Collaborator Set Organisation = 'Abilene Christian University' where User_ID = 'CU00546'; </v>
      </c>
      <c r="U547" t="str">
        <f>"Update dcollab.collab_user Set Pi = True where User_ID = '"&amp;A547&amp;"'; "</f>
        <v xml:space="preserve">Update dcollab.collab_user Set Pi = True where User_ID = 'CUSR00621'; </v>
      </c>
    </row>
    <row r="548" spans="1:21">
      <c r="A548" t="s">
        <v>10195</v>
      </c>
      <c r="B548" t="s">
        <v>3952</v>
      </c>
      <c r="D548" t="s">
        <v>3175</v>
      </c>
      <c r="E548" t="s">
        <v>60</v>
      </c>
      <c r="F548" t="s">
        <v>3953</v>
      </c>
      <c r="G548" t="s">
        <v>3954</v>
      </c>
      <c r="H548">
        <f t="shared" si="8"/>
        <v>1</v>
      </c>
      <c r="I548" t="s">
        <v>956</v>
      </c>
      <c r="J548" t="s">
        <v>3177</v>
      </c>
      <c r="K548" t="str">
        <f>VLOOKUP(J548,Organisation!$A$2:$C$499,3,FALSE)</f>
        <v>CORG00002</v>
      </c>
      <c r="L548" t="str">
        <f>VLOOKUP(J548,Organisation!$A$2:$E$499,4,FALSE)</f>
        <v>Academic</v>
      </c>
      <c r="M548" t="s">
        <v>640</v>
      </c>
      <c r="N548" t="s">
        <v>3178</v>
      </c>
      <c r="O548" t="s">
        <v>8808</v>
      </c>
      <c r="P548" s="3" t="s">
        <v>3955</v>
      </c>
      <c r="Q548" t="s">
        <v>3956</v>
      </c>
      <c r="S548" s="1">
        <v>1</v>
      </c>
      <c r="T548" t="str">
        <f>"Update Collaborator Set Organisation = '"&amp;J548&amp;"' where User_ID = '"&amp;B548&amp;"'; "</f>
        <v xml:space="preserve">Update Collaborator Set Organisation = 'Abilene Christian University' where User_ID = 'CU00547'; </v>
      </c>
    </row>
    <row r="549" spans="1:21">
      <c r="A549" t="s">
        <v>9899</v>
      </c>
      <c r="B549" t="s">
        <v>1580</v>
      </c>
      <c r="D549" t="s">
        <v>1581</v>
      </c>
      <c r="E549" t="s">
        <v>60</v>
      </c>
      <c r="F549" t="s">
        <v>1582</v>
      </c>
      <c r="G549" t="s">
        <v>1583</v>
      </c>
      <c r="H549">
        <f t="shared" si="8"/>
        <v>1</v>
      </c>
      <c r="I549" t="s">
        <v>1584</v>
      </c>
      <c r="J549" t="s">
        <v>208</v>
      </c>
      <c r="K549" t="str">
        <f>VLOOKUP(J549,Organisation!$A$2:$C$499,3,FALSE)</f>
        <v>CORG00090</v>
      </c>
      <c r="L549" t="str">
        <f>VLOOKUP(J549,Organisation!$A$2:$E$499,4,FALSE)</f>
        <v>Academic</v>
      </c>
      <c r="M549" t="s">
        <v>1585</v>
      </c>
      <c r="N549" t="s">
        <v>1586</v>
      </c>
      <c r="O549" t="s">
        <v>211</v>
      </c>
      <c r="P549" s="3" t="s">
        <v>1587</v>
      </c>
      <c r="Q549" t="s">
        <v>1588</v>
      </c>
      <c r="S549" s="1">
        <v>1</v>
      </c>
      <c r="T549" t="str">
        <f>"Update Collaborator Set Organisation = '"&amp;J549&amp;"' where User_ID = '"&amp;B549&amp;"'; "</f>
        <v xml:space="preserve">Update Collaborator Set Organisation = 'Jain University' where User_ID = 'CU00548'; </v>
      </c>
    </row>
    <row r="550" spans="1:21">
      <c r="A550" t="s">
        <v>10207</v>
      </c>
      <c r="B550" t="s">
        <v>1206</v>
      </c>
      <c r="C550" t="s">
        <v>10540</v>
      </c>
      <c r="D550" t="s">
        <v>917</v>
      </c>
      <c r="E550" t="s">
        <v>60</v>
      </c>
      <c r="F550" t="s">
        <v>1207</v>
      </c>
      <c r="G550" t="s">
        <v>1208</v>
      </c>
      <c r="H550">
        <f t="shared" si="8"/>
        <v>1</v>
      </c>
      <c r="I550" t="s">
        <v>1209</v>
      </c>
      <c r="J550" t="s">
        <v>920</v>
      </c>
      <c r="K550" t="str">
        <f>VLOOKUP(J550,Organisation!$A$2:$C$499,3,FALSE)</f>
        <v>CORG00051</v>
      </c>
      <c r="L550" t="str">
        <f>VLOOKUP(J550,Organisation!$A$2:$E$499,4,FALSE)</f>
        <v>Academic</v>
      </c>
      <c r="M550" t="s">
        <v>84</v>
      </c>
      <c r="N550" t="s">
        <v>921</v>
      </c>
      <c r="O550" t="s">
        <v>269</v>
      </c>
      <c r="P550" s="3" t="s">
        <v>1210</v>
      </c>
      <c r="Q550" t="s">
        <v>1211</v>
      </c>
      <c r="S550" s="1">
        <v>1</v>
      </c>
      <c r="T550" t="str">
        <f>"Update Collaborator Set Organisation = '"&amp;J550&amp;"' where User_ID = '"&amp;B550&amp;"'; "</f>
        <v xml:space="preserve">Update Collaborator Set Organisation = 'Durham University' where User_ID = 'CU00549'; </v>
      </c>
      <c r="U550" t="str">
        <f>"Update dcollab.collab_user Set Pi = True where User_ID = '"&amp;A550&amp;"'; "</f>
        <v xml:space="preserve">Update dcollab.collab_user Set Pi = True where User_ID = 'CUSR00634'; </v>
      </c>
    </row>
    <row r="551" spans="1:21">
      <c r="A551" t="s">
        <v>10198</v>
      </c>
      <c r="B551" t="s">
        <v>5137</v>
      </c>
      <c r="C551" t="s">
        <v>10540</v>
      </c>
      <c r="D551" t="s">
        <v>4596</v>
      </c>
      <c r="E551" t="s">
        <v>60</v>
      </c>
      <c r="F551" t="s">
        <v>5138</v>
      </c>
      <c r="G551" t="s">
        <v>5139</v>
      </c>
      <c r="H551">
        <f t="shared" si="8"/>
        <v>1</v>
      </c>
      <c r="I551" t="s">
        <v>672</v>
      </c>
      <c r="J551" t="s">
        <v>517</v>
      </c>
      <c r="K551" t="str">
        <f>VLOOKUP(J551,Organisation!$A$2:$C$499,3,FALSE)</f>
        <v>CORG00125</v>
      </c>
      <c r="L551" t="str">
        <f>VLOOKUP(J551,Organisation!$A$2:$E$499,4,FALSE)</f>
        <v>Academic</v>
      </c>
      <c r="M551" t="s">
        <v>84</v>
      </c>
      <c r="N551" t="s">
        <v>8829</v>
      </c>
      <c r="O551" t="s">
        <v>14</v>
      </c>
      <c r="P551" s="3" t="s">
        <v>5140</v>
      </c>
      <c r="Q551" t="s">
        <v>5141</v>
      </c>
      <c r="S551" s="1">
        <v>1</v>
      </c>
      <c r="T551" t="str">
        <f>"Update Collaborator Set Organisation = '"&amp;J551&amp;"' where User_ID = '"&amp;B551&amp;"'; "</f>
        <v xml:space="preserve">Update Collaborator Set Organisation = 'Monash University' where User_ID = 'CU00550'; </v>
      </c>
      <c r="U551" t="str">
        <f>"Update dcollab.collab_user Set Pi = True where User_ID = '"&amp;A551&amp;"'; "</f>
        <v xml:space="preserve">Update dcollab.collab_user Set Pi = True where User_ID = 'CUSR00625'; </v>
      </c>
    </row>
    <row r="552" spans="1:21">
      <c r="A552" t="s">
        <v>10196</v>
      </c>
      <c r="B552" t="s">
        <v>4763</v>
      </c>
      <c r="C552" t="s">
        <v>10540</v>
      </c>
      <c r="D552" t="s">
        <v>4764</v>
      </c>
      <c r="E552" t="s">
        <v>60</v>
      </c>
      <c r="F552" t="s">
        <v>4765</v>
      </c>
      <c r="G552" t="s">
        <v>4751</v>
      </c>
      <c r="H552">
        <f t="shared" si="8"/>
        <v>4</v>
      </c>
      <c r="I552" t="s">
        <v>82</v>
      </c>
      <c r="J552" t="s">
        <v>4766</v>
      </c>
      <c r="K552" t="str">
        <f>VLOOKUP(J552,Organisation!$A$2:$C$499,3,FALSE)</f>
        <v>CORG00108</v>
      </c>
      <c r="L552" t="str">
        <f>VLOOKUP(J552,Organisation!$A$2:$E$499,4,FALSE)</f>
        <v>Academic</v>
      </c>
      <c r="M552" t="s">
        <v>73</v>
      </c>
      <c r="N552" t="s">
        <v>4767</v>
      </c>
      <c r="O552" t="s">
        <v>211</v>
      </c>
      <c r="P552" s="3" t="s">
        <v>4768</v>
      </c>
      <c r="Q552" t="s">
        <v>4769</v>
      </c>
      <c r="S552" s="1">
        <v>1</v>
      </c>
      <c r="T552" t="str">
        <f>"Update Collaborator Set Organisation = '"&amp;J552&amp;"' where User_ID = '"&amp;B552&amp;"'; "</f>
        <v xml:space="preserve">Update Collaborator Set Organisation = 'Maharishi Markandeshwar University Mullana' where User_ID = 'CU00551'; </v>
      </c>
      <c r="U552" t="str">
        <f>"Update dcollab.collab_user Set Pi = True where User_ID = '"&amp;A552&amp;"'; "</f>
        <v xml:space="preserve">Update dcollab.collab_user Set Pi = True where User_ID = 'CUSR00623'; </v>
      </c>
    </row>
    <row r="553" spans="1:21">
      <c r="A553" t="s">
        <v>10197</v>
      </c>
      <c r="B553" t="s">
        <v>4770</v>
      </c>
      <c r="D553" t="s">
        <v>4764</v>
      </c>
      <c r="E553" t="s">
        <v>60</v>
      </c>
      <c r="F553" t="s">
        <v>4771</v>
      </c>
      <c r="G553" t="s">
        <v>4751</v>
      </c>
      <c r="H553">
        <f t="shared" si="8"/>
        <v>4</v>
      </c>
      <c r="I553" t="s">
        <v>190</v>
      </c>
      <c r="J553" t="s">
        <v>4766</v>
      </c>
      <c r="K553" t="str">
        <f>VLOOKUP(J553,Organisation!$A$2:$C$499,3,FALSE)</f>
        <v>CORG00108</v>
      </c>
      <c r="L553" t="str">
        <f>VLOOKUP(J553,Organisation!$A$2:$E$499,4,FALSE)</f>
        <v>Academic</v>
      </c>
      <c r="M553" t="s">
        <v>73</v>
      </c>
      <c r="N553" t="s">
        <v>4767</v>
      </c>
      <c r="O553" t="s">
        <v>211</v>
      </c>
      <c r="P553" s="3" t="s">
        <v>4772</v>
      </c>
      <c r="Q553" t="s">
        <v>4773</v>
      </c>
      <c r="S553" s="1">
        <v>1</v>
      </c>
      <c r="T553" t="str">
        <f>"Update Collaborator Set Organisation = '"&amp;J553&amp;"' where User_ID = '"&amp;B553&amp;"'; "</f>
        <v xml:space="preserve">Update Collaborator Set Organisation = 'Maharishi Markandeshwar University Mullana' where User_ID = 'CU00552'; </v>
      </c>
    </row>
    <row r="554" spans="1:21">
      <c r="A554" t="s">
        <v>10006</v>
      </c>
      <c r="B554" t="s">
        <v>736</v>
      </c>
      <c r="D554" t="s">
        <v>622</v>
      </c>
      <c r="E554" t="s">
        <v>7</v>
      </c>
      <c r="F554" t="s">
        <v>737</v>
      </c>
      <c r="G554" t="s">
        <v>738</v>
      </c>
      <c r="H554">
        <f t="shared" si="8"/>
        <v>1</v>
      </c>
      <c r="I554" t="s">
        <v>282</v>
      </c>
      <c r="J554" t="s">
        <v>8771</v>
      </c>
      <c r="K554" t="str">
        <f>VLOOKUP(J554,Organisation!$A$2:$C$499,3,FALSE)</f>
        <v>CORG00135</v>
      </c>
      <c r="L554" t="str">
        <f>VLOOKUP(J554,Organisation!$A$2:$E$499,4,FALSE)</f>
        <v>Academic</v>
      </c>
      <c r="M554" t="s">
        <v>73</v>
      </c>
      <c r="N554" t="s">
        <v>739</v>
      </c>
      <c r="O554" t="s">
        <v>211</v>
      </c>
      <c r="P554" s="3" t="s">
        <v>740</v>
      </c>
      <c r="Q554" t="s">
        <v>741</v>
      </c>
      <c r="S554" s="1">
        <v>1</v>
      </c>
      <c r="T554" t="str">
        <f>"Update Collaborator Set Organisation = '"&amp;J554&amp;"' where User_ID = '"&amp;B554&amp;"'; "</f>
        <v xml:space="preserve">Update Collaborator Set Organisation = 'National Institute of Technology Warangal' where User_ID = 'CU00553'; </v>
      </c>
    </row>
    <row r="555" spans="1:21">
      <c r="A555" t="s">
        <v>10200</v>
      </c>
      <c r="B555" t="s">
        <v>2211</v>
      </c>
      <c r="C555" t="s">
        <v>10540</v>
      </c>
      <c r="D555" t="s">
        <v>2212</v>
      </c>
      <c r="E555" t="s">
        <v>41</v>
      </c>
      <c r="F555" t="s">
        <v>926</v>
      </c>
      <c r="G555" t="s">
        <v>2213</v>
      </c>
      <c r="H555">
        <f t="shared" si="8"/>
        <v>1</v>
      </c>
      <c r="I555" t="s">
        <v>71</v>
      </c>
      <c r="J555" t="s">
        <v>2214</v>
      </c>
      <c r="K555" t="str">
        <f>VLOOKUP(J555,Organisation!$A$2:$C$499,3,FALSE)</f>
        <v>CORG00167</v>
      </c>
      <c r="L555" t="str">
        <f>VLOOKUP(J555,Organisation!$A$2:$E$499,4,FALSE)</f>
        <v>Academic</v>
      </c>
      <c r="M555" t="s">
        <v>2215</v>
      </c>
      <c r="N555" t="s">
        <v>2216</v>
      </c>
      <c r="O555" t="s">
        <v>75</v>
      </c>
      <c r="P555" s="3" t="s">
        <v>2217</v>
      </c>
      <c r="Q555" t="s">
        <v>2218</v>
      </c>
      <c r="S555" s="1">
        <v>1</v>
      </c>
      <c r="T555" t="str">
        <f>"Update Collaborator Set Organisation = '"&amp;J555&amp;"' where User_ID = '"&amp;B555&amp;"'; "</f>
        <v xml:space="preserve">Update Collaborator Set Organisation = 'Ryerson Unversity' where User_ID = 'CU00554'; </v>
      </c>
      <c r="U555" t="str">
        <f>"Update dcollab.collab_user Set Pi = True where User_ID = '"&amp;A555&amp;"'; "</f>
        <v xml:space="preserve">Update dcollab.collab_user Set Pi = True where User_ID = 'CUSR00627'; </v>
      </c>
    </row>
    <row r="556" spans="1:21">
      <c r="A556" t="s">
        <v>10201</v>
      </c>
      <c r="B556" t="s">
        <v>3557</v>
      </c>
      <c r="D556" t="s">
        <v>2212</v>
      </c>
      <c r="E556" t="s">
        <v>110</v>
      </c>
      <c r="F556" t="s">
        <v>3176</v>
      </c>
      <c r="G556" t="s">
        <v>3558</v>
      </c>
      <c r="H556">
        <f t="shared" si="8"/>
        <v>1</v>
      </c>
      <c r="I556" t="s">
        <v>343</v>
      </c>
      <c r="J556" t="s">
        <v>2214</v>
      </c>
      <c r="K556" t="str">
        <f>VLOOKUP(J556,Organisation!$A$2:$C$499,3,FALSE)</f>
        <v>CORG00167</v>
      </c>
      <c r="L556" t="str">
        <f>VLOOKUP(J556,Organisation!$A$2:$E$499,4,FALSE)</f>
        <v>Academic</v>
      </c>
      <c r="M556" t="s">
        <v>2215</v>
      </c>
      <c r="N556" t="s">
        <v>2216</v>
      </c>
      <c r="O556" t="s">
        <v>75</v>
      </c>
      <c r="P556" s="3" t="s">
        <v>3559</v>
      </c>
      <c r="Q556" t="s">
        <v>3560</v>
      </c>
      <c r="S556" s="1">
        <v>1</v>
      </c>
      <c r="T556" t="str">
        <f>"Update Collaborator Set Organisation = '"&amp;J556&amp;"' where User_ID = '"&amp;B556&amp;"'; "</f>
        <v xml:space="preserve">Update Collaborator Set Organisation = 'Ryerson Unversity' where User_ID = 'CU00555'; </v>
      </c>
    </row>
    <row r="557" spans="1:21">
      <c r="A557" t="s">
        <v>10202</v>
      </c>
      <c r="B557" t="s">
        <v>4856</v>
      </c>
      <c r="C557" t="s">
        <v>10540</v>
      </c>
      <c r="D557" t="s">
        <v>3160</v>
      </c>
      <c r="E557" t="s">
        <v>41</v>
      </c>
      <c r="F557" t="s">
        <v>4857</v>
      </c>
      <c r="G557" t="s">
        <v>4858</v>
      </c>
      <c r="H557">
        <f t="shared" si="8"/>
        <v>1</v>
      </c>
      <c r="I557" t="s">
        <v>71</v>
      </c>
      <c r="J557" t="s">
        <v>3164</v>
      </c>
      <c r="K557" t="str">
        <f>VLOOKUP(J557,Organisation!$A$2:$C$499,3,FALSE)</f>
        <v>CORG00203</v>
      </c>
      <c r="L557" t="str">
        <f>VLOOKUP(J557,Organisation!$A$2:$E$499,4,FALSE)</f>
        <v>Academic</v>
      </c>
      <c r="M557" t="s">
        <v>84</v>
      </c>
      <c r="N557" t="s">
        <v>4859</v>
      </c>
      <c r="O557" t="s">
        <v>75</v>
      </c>
      <c r="P557" s="3" t="s">
        <v>4860</v>
      </c>
      <c r="Q557" t="s">
        <v>4861</v>
      </c>
      <c r="S557" s="1">
        <v>1</v>
      </c>
      <c r="T557" t="str">
        <f>"Update Collaborator Set Organisation = '"&amp;J557&amp;"' where User_ID = '"&amp;B557&amp;"'; "</f>
        <v xml:space="preserve">Update Collaborator Set Organisation = 'Université de Sherbrooke' where User_ID = 'CU00556'; </v>
      </c>
      <c r="U557" t="str">
        <f>"Update dcollab.collab_user Set Pi = True where User_ID = '"&amp;A557&amp;"'; "</f>
        <v xml:space="preserve">Update dcollab.collab_user Set Pi = True where User_ID = 'CUSR00629'; </v>
      </c>
    </row>
    <row r="558" spans="1:21">
      <c r="A558" t="s">
        <v>10203</v>
      </c>
      <c r="B558" t="s">
        <v>3159</v>
      </c>
      <c r="D558" t="s">
        <v>3160</v>
      </c>
      <c r="E558" t="s">
        <v>1035</v>
      </c>
      <c r="F558" t="s">
        <v>3161</v>
      </c>
      <c r="G558" t="s">
        <v>3162</v>
      </c>
      <c r="H558">
        <f t="shared" si="8"/>
        <v>1</v>
      </c>
      <c r="I558" t="s">
        <v>3163</v>
      </c>
      <c r="J558" t="s">
        <v>3164</v>
      </c>
      <c r="K558" t="str">
        <f>VLOOKUP(J558,Organisation!$A$2:$C$499,3,FALSE)</f>
        <v>CORG00203</v>
      </c>
      <c r="L558" t="str">
        <f>VLOOKUP(J558,Organisation!$A$2:$E$499,4,FALSE)</f>
        <v>Academic</v>
      </c>
      <c r="M558" t="s">
        <v>3165</v>
      </c>
      <c r="N558" t="s">
        <v>3166</v>
      </c>
      <c r="O558" t="s">
        <v>75</v>
      </c>
      <c r="P558" s="3" t="s">
        <v>3167</v>
      </c>
      <c r="Q558" t="s">
        <v>3168</v>
      </c>
      <c r="S558" s="1">
        <v>1</v>
      </c>
      <c r="T558" t="str">
        <f>"Update Collaborator Set Organisation = '"&amp;J558&amp;"' where User_ID = '"&amp;B558&amp;"'; "</f>
        <v xml:space="preserve">Update Collaborator Set Organisation = 'Université de Sherbrooke' where User_ID = 'CU00557'; </v>
      </c>
    </row>
    <row r="559" spans="1:21">
      <c r="A559" t="s">
        <v>10204</v>
      </c>
      <c r="B559" t="s">
        <v>3753</v>
      </c>
      <c r="D559" t="s">
        <v>3160</v>
      </c>
      <c r="E559" t="s">
        <v>1035</v>
      </c>
      <c r="F559" t="s">
        <v>3754</v>
      </c>
      <c r="G559" t="s">
        <v>3755</v>
      </c>
      <c r="H559">
        <f t="shared" si="8"/>
        <v>1</v>
      </c>
      <c r="I559" t="s">
        <v>581</v>
      </c>
      <c r="J559" t="s">
        <v>3164</v>
      </c>
      <c r="K559" t="str">
        <f>VLOOKUP(J559,Organisation!$A$2:$C$499,3,FALSE)</f>
        <v>CORG00203</v>
      </c>
      <c r="L559" t="str">
        <f>VLOOKUP(J559,Organisation!$A$2:$E$499,4,FALSE)</f>
        <v>Academic</v>
      </c>
      <c r="M559" t="s">
        <v>3165</v>
      </c>
      <c r="N559" t="s">
        <v>3166</v>
      </c>
      <c r="O559" t="s">
        <v>75</v>
      </c>
      <c r="P559" s="3" t="s">
        <v>3756</v>
      </c>
      <c r="Q559" t="s">
        <v>3757</v>
      </c>
      <c r="S559" s="1">
        <v>1</v>
      </c>
      <c r="T559" t="str">
        <f>"Update Collaborator Set Organisation = '"&amp;J559&amp;"' where User_ID = '"&amp;B559&amp;"'; "</f>
        <v xml:space="preserve">Update Collaborator Set Organisation = 'Université de Sherbrooke' where User_ID = 'CU00558'; </v>
      </c>
    </row>
    <row r="560" spans="1:21">
      <c r="A560" t="s">
        <v>10208</v>
      </c>
      <c r="B560" t="s">
        <v>916</v>
      </c>
      <c r="D560" t="s">
        <v>917</v>
      </c>
      <c r="E560" t="s">
        <v>60</v>
      </c>
      <c r="F560" t="s">
        <v>918</v>
      </c>
      <c r="G560" t="s">
        <v>919</v>
      </c>
      <c r="H560">
        <f t="shared" si="8"/>
        <v>1</v>
      </c>
      <c r="I560" t="s">
        <v>380</v>
      </c>
      <c r="J560" t="s">
        <v>920</v>
      </c>
      <c r="K560" t="str">
        <f>VLOOKUP(J560,Organisation!$A$2:$C$499,3,FALSE)</f>
        <v>CORG00051</v>
      </c>
      <c r="L560" t="str">
        <f>VLOOKUP(J560,Organisation!$A$2:$E$499,4,FALSE)</f>
        <v>Academic</v>
      </c>
      <c r="M560" t="s">
        <v>84</v>
      </c>
      <c r="N560" t="s">
        <v>921</v>
      </c>
      <c r="O560" t="s">
        <v>269</v>
      </c>
      <c r="P560" s="3" t="s">
        <v>922</v>
      </c>
      <c r="Q560" t="s">
        <v>923</v>
      </c>
      <c r="S560" s="1">
        <v>1</v>
      </c>
      <c r="T560" t="str">
        <f>"Update Collaborator Set Organisation = '"&amp;J560&amp;"' where User_ID = '"&amp;B560&amp;"'; "</f>
        <v xml:space="preserve">Update Collaborator Set Organisation = 'Durham University' where User_ID = 'CU00559'; </v>
      </c>
    </row>
    <row r="561" spans="1:21">
      <c r="A561" t="s">
        <v>9793</v>
      </c>
      <c r="B561" t="s">
        <v>4699</v>
      </c>
      <c r="D561" t="s">
        <v>17</v>
      </c>
      <c r="E561" t="s">
        <v>60</v>
      </c>
      <c r="F561" t="s">
        <v>4700</v>
      </c>
      <c r="G561" t="s">
        <v>4701</v>
      </c>
      <c r="H561">
        <f t="shared" si="8"/>
        <v>1</v>
      </c>
      <c r="I561" t="s">
        <v>4702</v>
      </c>
      <c r="J561" t="s">
        <v>22</v>
      </c>
      <c r="K561" t="str">
        <f>VLOOKUP(J561,Organisation!$A$2:$C$499,3,FALSE)</f>
        <v>CORG00248</v>
      </c>
      <c r="L561" t="str">
        <f>VLOOKUP(J561,Organisation!$A$2:$E$499,4,FALSE)</f>
        <v>Academic</v>
      </c>
      <c r="M561" t="s">
        <v>4703</v>
      </c>
      <c r="N561" t="s">
        <v>4704</v>
      </c>
      <c r="O561" t="s">
        <v>25</v>
      </c>
      <c r="P561" s="3" t="s">
        <v>4705</v>
      </c>
      <c r="Q561" t="s">
        <v>4706</v>
      </c>
      <c r="S561" s="1">
        <v>1</v>
      </c>
      <c r="T561" t="str">
        <f>"Update Collaborator Set Organisation = '"&amp;J561&amp;"' where User_ID = '"&amp;B561&amp;"'; "</f>
        <v xml:space="preserve">Update Collaborator Set Organisation = 'University of Mosul' where User_ID = 'CU00560'; </v>
      </c>
    </row>
    <row r="562" spans="1:21">
      <c r="A562" t="s">
        <v>10209</v>
      </c>
      <c r="B562" t="s">
        <v>2668</v>
      </c>
      <c r="C562" t="s">
        <v>10540</v>
      </c>
      <c r="D562" t="s">
        <v>2669</v>
      </c>
      <c r="E562" t="s">
        <v>60</v>
      </c>
      <c r="F562" t="s">
        <v>2670</v>
      </c>
      <c r="G562" t="s">
        <v>2671</v>
      </c>
      <c r="H562">
        <f t="shared" si="8"/>
        <v>1</v>
      </c>
      <c r="I562" t="s">
        <v>190</v>
      </c>
      <c r="J562" t="s">
        <v>8783</v>
      </c>
      <c r="K562" t="str">
        <f>VLOOKUP(J562,Organisation!$A$2:$C$499,3,FALSE)</f>
        <v>CORG00059</v>
      </c>
      <c r="L562" t="str">
        <f>VLOOKUP(J562,Organisation!$A$2:$E$499,4,FALSE)</f>
        <v>Academic</v>
      </c>
      <c r="M562" t="s">
        <v>84</v>
      </c>
      <c r="N562" t="s">
        <v>2673</v>
      </c>
      <c r="O562" t="s">
        <v>2674</v>
      </c>
      <c r="P562" s="3" t="s">
        <v>2675</v>
      </c>
      <c r="Q562" t="s">
        <v>2676</v>
      </c>
      <c r="S562" s="1">
        <v>1</v>
      </c>
      <c r="T562" t="str">
        <f>"Update Collaborator Set Organisation = '"&amp;J562&amp;"' where User_ID = '"&amp;B562&amp;"'; "</f>
        <v xml:space="preserve">Update Collaborator Set Organisation = 'Federal Urdu University of Arts Science and Technology' where User_ID = 'CU00561'; </v>
      </c>
      <c r="U562" t="str">
        <f>"Update dcollab.collab_user Set Pi = True where User_ID = '"&amp;A562&amp;"'; "</f>
        <v xml:space="preserve">Update dcollab.collab_user Set Pi = True where User_ID = 'CUSR00636'; </v>
      </c>
    </row>
    <row r="563" spans="1:21">
      <c r="A563" t="s">
        <v>10210</v>
      </c>
      <c r="B563" t="s">
        <v>5251</v>
      </c>
      <c r="D563" t="s">
        <v>2669</v>
      </c>
      <c r="E563" t="s">
        <v>228</v>
      </c>
      <c r="F563" t="s">
        <v>5252</v>
      </c>
      <c r="G563" t="s">
        <v>5253</v>
      </c>
      <c r="H563">
        <f t="shared" si="8"/>
        <v>1</v>
      </c>
      <c r="I563" t="s">
        <v>4838</v>
      </c>
      <c r="J563" t="s">
        <v>8783</v>
      </c>
      <c r="K563" t="str">
        <f>VLOOKUP(J563,Organisation!$A$2:$C$499,3,FALSE)</f>
        <v>CORG00059</v>
      </c>
      <c r="L563" t="str">
        <f>VLOOKUP(J563,Organisation!$A$2:$E$499,4,FALSE)</f>
        <v>Academic</v>
      </c>
      <c r="M563" t="s">
        <v>84</v>
      </c>
      <c r="N563" t="s">
        <v>2673</v>
      </c>
      <c r="O563" t="s">
        <v>2674</v>
      </c>
      <c r="P563" s="3" t="s">
        <v>5254</v>
      </c>
      <c r="Q563" t="s">
        <v>5255</v>
      </c>
      <c r="S563" s="1">
        <v>1</v>
      </c>
      <c r="T563" t="str">
        <f>"Update Collaborator Set Organisation = '"&amp;J563&amp;"' where User_ID = '"&amp;B563&amp;"'; "</f>
        <v xml:space="preserve">Update Collaborator Set Organisation = 'Federal Urdu University of Arts Science and Technology' where User_ID = 'CU00562'; </v>
      </c>
    </row>
    <row r="564" spans="1:21">
      <c r="A564" t="s">
        <v>10211</v>
      </c>
      <c r="B564" t="s">
        <v>3736</v>
      </c>
      <c r="D564" t="s">
        <v>2669</v>
      </c>
      <c r="E564" t="s">
        <v>60</v>
      </c>
      <c r="F564" t="s">
        <v>3737</v>
      </c>
      <c r="G564" t="s">
        <v>3738</v>
      </c>
      <c r="H564">
        <f t="shared" si="8"/>
        <v>1</v>
      </c>
      <c r="I564" t="s">
        <v>71</v>
      </c>
      <c r="J564" t="s">
        <v>8801</v>
      </c>
      <c r="K564" t="str">
        <f>VLOOKUP(J564,Organisation!$A$2:$C$499,3,FALSE)</f>
        <v>CORG00234</v>
      </c>
      <c r="L564" t="str">
        <f>VLOOKUP(J564,Organisation!$A$2:$E$499,4,FALSE)</f>
        <v>Academic</v>
      </c>
      <c r="M564" t="s">
        <v>8826</v>
      </c>
      <c r="N564" t="s">
        <v>3739</v>
      </c>
      <c r="O564" t="s">
        <v>2674</v>
      </c>
      <c r="P564" s="3" t="s">
        <v>3740</v>
      </c>
      <c r="Q564" t="s">
        <v>3741</v>
      </c>
      <c r="S564" s="1">
        <v>1</v>
      </c>
      <c r="T564" t="str">
        <f>"Update Collaborator Set Organisation = '"&amp;J564&amp;"' where User_ID = '"&amp;B564&amp;"'; "</f>
        <v xml:space="preserve">Update Collaborator Set Organisation = 'University of Karachi' where User_ID = 'CU00563'; </v>
      </c>
    </row>
    <row r="565" spans="1:21">
      <c r="A565" t="s">
        <v>10212</v>
      </c>
      <c r="B565" t="s">
        <v>2734</v>
      </c>
      <c r="C565" t="s">
        <v>10540</v>
      </c>
      <c r="D565" t="s">
        <v>2735</v>
      </c>
      <c r="E565" t="s">
        <v>60</v>
      </c>
      <c r="F565" t="s">
        <v>2736</v>
      </c>
      <c r="G565" t="s">
        <v>2737</v>
      </c>
      <c r="H565">
        <f t="shared" si="8"/>
        <v>1</v>
      </c>
      <c r="I565" t="s">
        <v>564</v>
      </c>
      <c r="J565" t="s">
        <v>596</v>
      </c>
      <c r="K565" t="str">
        <f>VLOOKUP(J565,Organisation!$A$2:$C$499,3,FALSE)</f>
        <v>CORG00216</v>
      </c>
      <c r="L565" t="str">
        <f>VLOOKUP(J565,Organisation!$A$2:$E$499,4,FALSE)</f>
        <v>Academic</v>
      </c>
      <c r="M565" t="s">
        <v>2738</v>
      </c>
      <c r="N565" t="s">
        <v>2739</v>
      </c>
      <c r="O565" t="s">
        <v>223</v>
      </c>
      <c r="P565" s="3" t="s">
        <v>2740</v>
      </c>
      <c r="Q565" t="s">
        <v>2741</v>
      </c>
      <c r="S565" s="1">
        <v>1</v>
      </c>
      <c r="T565" t="str">
        <f>"Update Collaborator Set Organisation = '"&amp;J565&amp;"' where User_ID = '"&amp;B565&amp;"'; "</f>
        <v xml:space="preserve">Update Collaborator Set Organisation = 'University of Auckland' where User_ID = 'CU00564'; </v>
      </c>
      <c r="U565" t="str">
        <f>"Update dcollab.collab_user Set Pi = True where User_ID = '"&amp;A565&amp;"'; "</f>
        <v xml:space="preserve">Update dcollab.collab_user Set Pi = True where User_ID = 'CUSR00639'; </v>
      </c>
    </row>
    <row r="566" spans="1:21">
      <c r="A566" t="s">
        <v>10213</v>
      </c>
      <c r="B566" t="s">
        <v>5113</v>
      </c>
      <c r="C566" t="s">
        <v>10540</v>
      </c>
      <c r="D566" t="s">
        <v>1102</v>
      </c>
      <c r="E566" t="s">
        <v>41</v>
      </c>
      <c r="F566" t="s">
        <v>1207</v>
      </c>
      <c r="G566" t="s">
        <v>5114</v>
      </c>
      <c r="H566">
        <f t="shared" si="8"/>
        <v>1</v>
      </c>
      <c r="I566" t="s">
        <v>1743</v>
      </c>
      <c r="J566" t="s">
        <v>1105</v>
      </c>
      <c r="K566" t="str">
        <f>VLOOKUP(J566,Organisation!$A$2:$C$499,3,FALSE)</f>
        <v>CORG00299</v>
      </c>
      <c r="L566" t="str">
        <f>VLOOKUP(J566,Organisation!$A$2:$E$499,4,FALSE)</f>
        <v>Academic</v>
      </c>
      <c r="M566" t="s">
        <v>712</v>
      </c>
      <c r="N566" t="s">
        <v>5115</v>
      </c>
      <c r="O566" t="s">
        <v>8808</v>
      </c>
      <c r="P566" s="3" t="s">
        <v>5116</v>
      </c>
      <c r="Q566" t="s">
        <v>5117</v>
      </c>
      <c r="S566" s="1">
        <v>1</v>
      </c>
      <c r="T566" t="str">
        <f>"Update Collaborator Set Organisation = '"&amp;J566&amp;"' where User_ID = '"&amp;B566&amp;"'; "</f>
        <v xml:space="preserve">Update Collaborator Set Organisation = 'Vanderbilt University' where User_ID = 'CU00565'; </v>
      </c>
      <c r="U566" t="str">
        <f>"Update dcollab.collab_user Set Pi = True where User_ID = '"&amp;A566&amp;"'; "</f>
        <v xml:space="preserve">Update dcollab.collab_user Set Pi = True where User_ID = 'CUSR00640'; </v>
      </c>
    </row>
    <row r="567" spans="1:21">
      <c r="A567" t="s">
        <v>10214</v>
      </c>
      <c r="B567" t="s">
        <v>1101</v>
      </c>
      <c r="D567" t="s">
        <v>1102</v>
      </c>
      <c r="E567" t="s">
        <v>110</v>
      </c>
      <c r="F567" t="s">
        <v>1103</v>
      </c>
      <c r="G567" t="s">
        <v>1104</v>
      </c>
      <c r="H567">
        <f t="shared" si="8"/>
        <v>1</v>
      </c>
      <c r="I567" t="s">
        <v>241</v>
      </c>
      <c r="J567" t="s">
        <v>1105</v>
      </c>
      <c r="K567" t="str">
        <f>VLOOKUP(J567,Organisation!$A$2:$C$499,3,FALSE)</f>
        <v>CORG00299</v>
      </c>
      <c r="L567" t="str">
        <f>VLOOKUP(J567,Organisation!$A$2:$E$499,4,FALSE)</f>
        <v>Academic</v>
      </c>
      <c r="M567" t="s">
        <v>712</v>
      </c>
      <c r="N567" t="s">
        <v>1106</v>
      </c>
      <c r="O567" t="s">
        <v>8808</v>
      </c>
      <c r="P567" s="3" t="s">
        <v>1107</v>
      </c>
      <c r="Q567" t="s">
        <v>1108</v>
      </c>
      <c r="S567" s="1">
        <v>1</v>
      </c>
      <c r="T567" t="str">
        <f>"Update Collaborator Set Organisation = '"&amp;J567&amp;"' where User_ID = '"&amp;B567&amp;"'; "</f>
        <v xml:space="preserve">Update Collaborator Set Organisation = 'Vanderbilt University' where User_ID = 'CU00566'; </v>
      </c>
    </row>
    <row r="568" spans="1:21">
      <c r="A568" t="s">
        <v>9928</v>
      </c>
      <c r="B568" t="s">
        <v>4518</v>
      </c>
      <c r="D568" t="s">
        <v>247</v>
      </c>
      <c r="E568" t="s">
        <v>60</v>
      </c>
      <c r="F568" t="s">
        <v>4519</v>
      </c>
      <c r="G568" t="s">
        <v>4520</v>
      </c>
      <c r="H568">
        <f t="shared" si="8"/>
        <v>1</v>
      </c>
      <c r="I568" t="s">
        <v>4521</v>
      </c>
      <c r="J568" t="s">
        <v>8766</v>
      </c>
      <c r="K568" t="str">
        <f>VLOOKUP(J568,Organisation!$A$2:$C$499,3,FALSE)</f>
        <v>CORG00118</v>
      </c>
      <c r="L568" t="str">
        <f>VLOOKUP(J568,Organisation!$A$2:$E$499,4,FALSE)</f>
        <v>Not-for-Profit</v>
      </c>
      <c r="M568" t="s">
        <v>4522</v>
      </c>
      <c r="N568" t="s">
        <v>4523</v>
      </c>
      <c r="O568" t="s">
        <v>253</v>
      </c>
      <c r="P568" s="3" t="s">
        <v>4523</v>
      </c>
      <c r="Q568" t="s">
        <v>4524</v>
      </c>
      <c r="S568" s="1">
        <v>1</v>
      </c>
      <c r="T568" t="str">
        <f>"Update Collaborator Set Organisation = '"&amp;J568&amp;"' where User_ID = '"&amp;B568&amp;"'; "</f>
        <v xml:space="preserve">Update Collaborator Set Organisation = 'Medicines for Malaria Venture' where User_ID = 'CU00567'; </v>
      </c>
    </row>
    <row r="569" spans="1:21">
      <c r="A569" t="s">
        <v>10216</v>
      </c>
      <c r="B569" t="s">
        <v>1827</v>
      </c>
      <c r="C569" t="s">
        <v>10540</v>
      </c>
      <c r="D569" t="s">
        <v>1828</v>
      </c>
      <c r="E569" t="s">
        <v>60</v>
      </c>
      <c r="F569" t="s">
        <v>1829</v>
      </c>
      <c r="G569" t="s">
        <v>1830</v>
      </c>
      <c r="H569">
        <f t="shared" si="8"/>
        <v>1</v>
      </c>
      <c r="I569" t="s">
        <v>1831</v>
      </c>
      <c r="J569" t="s">
        <v>1832</v>
      </c>
      <c r="K569" t="str">
        <f>VLOOKUP(J569,Organisation!$A$2:$C$499,3,FALSE)</f>
        <v>CORG00173</v>
      </c>
      <c r="L569" t="str">
        <f>VLOOKUP(J569,Organisation!$A$2:$E$499,4,FALSE)</f>
        <v>Academic</v>
      </c>
      <c r="M569" t="s">
        <v>35</v>
      </c>
      <c r="N569" t="s">
        <v>1833</v>
      </c>
      <c r="O569" t="s">
        <v>55</v>
      </c>
      <c r="P569" s="3" t="s">
        <v>1834</v>
      </c>
      <c r="Q569" t="s">
        <v>1835</v>
      </c>
      <c r="S569" s="1">
        <v>1</v>
      </c>
      <c r="T569" t="str">
        <f>"Update Collaborator Set Organisation = '"&amp;J569&amp;"' where User_ID = '"&amp;B569&amp;"'; "</f>
        <v xml:space="preserve">Update Collaborator Set Organisation = 'Sinai University' where User_ID = 'CU00568'; </v>
      </c>
      <c r="U569" t="str">
        <f>"Update dcollab.collab_user Set Pi = True where User_ID = '"&amp;A569&amp;"'; "</f>
        <v xml:space="preserve">Update dcollab.collab_user Set Pi = True where User_ID = 'CUSR00643'; </v>
      </c>
    </row>
    <row r="570" spans="1:21">
      <c r="A570" t="s">
        <v>10217</v>
      </c>
      <c r="B570" t="s">
        <v>5294</v>
      </c>
      <c r="C570" t="s">
        <v>10540</v>
      </c>
      <c r="D570" t="s">
        <v>5225</v>
      </c>
      <c r="E570" t="s">
        <v>60</v>
      </c>
      <c r="F570" t="s">
        <v>670</v>
      </c>
      <c r="G570" t="s">
        <v>5295</v>
      </c>
      <c r="H570">
        <f t="shared" si="8"/>
        <v>1</v>
      </c>
      <c r="I570" t="s">
        <v>5296</v>
      </c>
      <c r="J570" t="s">
        <v>5227</v>
      </c>
      <c r="K570" t="str">
        <f>VLOOKUP(J570,Organisation!$A$2:$C$499,3,FALSE)</f>
        <v>CORG00127</v>
      </c>
      <c r="L570" t="str">
        <f>VLOOKUP(J570,Organisation!$A$2:$E$499,4,FALSE)</f>
        <v>Academic</v>
      </c>
      <c r="M570" t="s">
        <v>1288</v>
      </c>
      <c r="N570" t="s">
        <v>5228</v>
      </c>
      <c r="O570" t="s">
        <v>75</v>
      </c>
      <c r="P570" s="3" t="s">
        <v>5229</v>
      </c>
      <c r="Q570" t="s">
        <v>5297</v>
      </c>
      <c r="S570" s="1">
        <v>1</v>
      </c>
      <c r="T570" t="str">
        <f>"Update Collaborator Set Organisation = '"&amp;J570&amp;"' where User_ID = '"&amp;B570&amp;"'; "</f>
        <v xml:space="preserve">Update Collaborator Set Organisation = 'Mount Allison University' where User_ID = 'CU00569'; </v>
      </c>
      <c r="U570" t="str">
        <f>"Update dcollab.collab_user Set Pi = True where User_ID = '"&amp;A570&amp;"'; "</f>
        <v xml:space="preserve">Update dcollab.collab_user Set Pi = True where User_ID = 'CUSR00644'; </v>
      </c>
    </row>
    <row r="571" spans="1:21">
      <c r="A571" t="s">
        <v>10218</v>
      </c>
      <c r="B571" t="s">
        <v>5224</v>
      </c>
      <c r="D571" t="s">
        <v>5225</v>
      </c>
      <c r="E571" t="s">
        <v>7</v>
      </c>
      <c r="F571" t="s">
        <v>496</v>
      </c>
      <c r="G571" t="s">
        <v>5226</v>
      </c>
      <c r="H571">
        <f t="shared" si="8"/>
        <v>1</v>
      </c>
      <c r="I571" t="s">
        <v>581</v>
      </c>
      <c r="J571" t="s">
        <v>5227</v>
      </c>
      <c r="K571" t="str">
        <f>VLOOKUP(J571,Organisation!$A$2:$C$499,3,FALSE)</f>
        <v>CORG00127</v>
      </c>
      <c r="L571" t="str">
        <f>VLOOKUP(J571,Organisation!$A$2:$E$499,4,FALSE)</f>
        <v>Academic</v>
      </c>
      <c r="M571" t="s">
        <v>1288</v>
      </c>
      <c r="N571" t="s">
        <v>5228</v>
      </c>
      <c r="O571" t="s">
        <v>75</v>
      </c>
      <c r="P571" s="3" t="s">
        <v>5229</v>
      </c>
      <c r="Q571" t="s">
        <v>5230</v>
      </c>
      <c r="S571" s="1">
        <v>1</v>
      </c>
      <c r="T571" t="str">
        <f>"Update Collaborator Set Organisation = '"&amp;J571&amp;"' where User_ID = '"&amp;B571&amp;"'; "</f>
        <v xml:space="preserve">Update Collaborator Set Organisation = 'Mount Allison University' where User_ID = 'CU00570'; </v>
      </c>
    </row>
    <row r="572" spans="1:21">
      <c r="A572" t="s">
        <v>9700</v>
      </c>
      <c r="B572" t="s">
        <v>1603</v>
      </c>
      <c r="D572" t="s">
        <v>1604</v>
      </c>
      <c r="E572" t="s">
        <v>7</v>
      </c>
      <c r="F572" t="s">
        <v>1605</v>
      </c>
      <c r="G572" t="s">
        <v>1606</v>
      </c>
      <c r="H572">
        <f t="shared" si="8"/>
        <v>1</v>
      </c>
      <c r="I572" t="s">
        <v>152</v>
      </c>
      <c r="J572" t="s">
        <v>1422</v>
      </c>
      <c r="K572" t="str">
        <f>VLOOKUP(J572,Organisation!$A$2:$C$499,3,FALSE)</f>
        <v>CORG00292</v>
      </c>
      <c r="L572" t="str">
        <f>VLOOKUP(J572,Organisation!$A$2:$E$499,4,FALSE)</f>
        <v>Academic</v>
      </c>
      <c r="M572" t="s">
        <v>170</v>
      </c>
      <c r="N572" t="s">
        <v>1607</v>
      </c>
      <c r="O572" t="s">
        <v>14</v>
      </c>
      <c r="P572" s="3" t="s">
        <v>1608</v>
      </c>
      <c r="Q572" t="s">
        <v>1609</v>
      </c>
      <c r="S572" s="1">
        <v>1</v>
      </c>
      <c r="T572" t="str">
        <f>"Update Collaborator Set Organisation = '"&amp;J572&amp;"' where User_ID = '"&amp;B572&amp;"'; "</f>
        <v xml:space="preserve">Update Collaborator Set Organisation = 'University of Wollongong' where User_ID = 'CU00571'; </v>
      </c>
    </row>
    <row r="573" spans="1:21">
      <c r="A573" t="s">
        <v>9701</v>
      </c>
      <c r="B573" t="s">
        <v>3667</v>
      </c>
      <c r="D573" t="s">
        <v>1604</v>
      </c>
      <c r="E573" t="s">
        <v>7</v>
      </c>
      <c r="F573" t="s">
        <v>167</v>
      </c>
      <c r="G573" t="s">
        <v>3668</v>
      </c>
      <c r="H573">
        <f t="shared" si="8"/>
        <v>1</v>
      </c>
      <c r="I573" t="s">
        <v>152</v>
      </c>
      <c r="J573" t="s">
        <v>1422</v>
      </c>
      <c r="K573" t="str">
        <f>VLOOKUP(J573,Organisation!$A$2:$C$499,3,FALSE)</f>
        <v>CORG00292</v>
      </c>
      <c r="L573" t="str">
        <f>VLOOKUP(J573,Organisation!$A$2:$E$499,4,FALSE)</f>
        <v>Academic</v>
      </c>
      <c r="M573" t="s">
        <v>170</v>
      </c>
      <c r="N573" t="s">
        <v>1607</v>
      </c>
      <c r="O573" t="s">
        <v>14</v>
      </c>
      <c r="P573" s="3" t="s">
        <v>1608</v>
      </c>
      <c r="Q573" t="s">
        <v>3669</v>
      </c>
      <c r="S573" s="1">
        <v>1</v>
      </c>
      <c r="T573" t="str">
        <f>"Update Collaborator Set Organisation = '"&amp;J573&amp;"' where User_ID = '"&amp;B573&amp;"'; "</f>
        <v xml:space="preserve">Update Collaborator Set Organisation = 'University of Wollongong' where User_ID = 'CU00572'; </v>
      </c>
    </row>
    <row r="574" spans="1:21">
      <c r="A574" t="s">
        <v>9982</v>
      </c>
      <c r="B574" t="s">
        <v>3003</v>
      </c>
      <c r="D574" t="s">
        <v>3004</v>
      </c>
      <c r="E574" t="s">
        <v>7</v>
      </c>
      <c r="F574" t="s">
        <v>3005</v>
      </c>
      <c r="G574" t="s">
        <v>3006</v>
      </c>
      <c r="H574">
        <f t="shared" si="8"/>
        <v>1</v>
      </c>
      <c r="I574" t="s">
        <v>343</v>
      </c>
      <c r="J574" t="s">
        <v>389</v>
      </c>
      <c r="K574" t="str">
        <f>VLOOKUP(J574,Organisation!$A$2:$C$499,3,FALSE)</f>
        <v>CORG00271</v>
      </c>
      <c r="L574" t="str">
        <f>VLOOKUP(J574,Organisation!$A$2:$E$499,4,FALSE)</f>
        <v>Academic</v>
      </c>
      <c r="M574" t="s">
        <v>170</v>
      </c>
      <c r="N574" t="s">
        <v>3007</v>
      </c>
      <c r="O574" t="s">
        <v>14</v>
      </c>
      <c r="P574" s="3" t="s">
        <v>3008</v>
      </c>
      <c r="Q574" t="s">
        <v>3009</v>
      </c>
      <c r="S574" s="1">
        <v>1</v>
      </c>
      <c r="T574" t="str">
        <f>"Update Collaborator Set Organisation = '"&amp;J574&amp;"' where User_ID = '"&amp;B574&amp;"'; "</f>
        <v xml:space="preserve">Update Collaborator Set Organisation = 'University of Sydney' where User_ID = 'CU00573'; </v>
      </c>
    </row>
    <row r="575" spans="1:21">
      <c r="A575" t="s">
        <v>9960</v>
      </c>
      <c r="B575" t="s">
        <v>3818</v>
      </c>
      <c r="D575" t="s">
        <v>743</v>
      </c>
      <c r="E575" t="s">
        <v>7</v>
      </c>
      <c r="F575" t="s">
        <v>3819</v>
      </c>
      <c r="G575" t="s">
        <v>3820</v>
      </c>
      <c r="H575">
        <f t="shared" si="8"/>
        <v>1</v>
      </c>
      <c r="I575" t="s">
        <v>136</v>
      </c>
      <c r="J575" t="s">
        <v>746</v>
      </c>
      <c r="K575" t="str">
        <f>VLOOKUP(J575,Organisation!$A$2:$C$499,3,FALSE)</f>
        <v>CORG00311</v>
      </c>
      <c r="L575" t="str">
        <f>VLOOKUP(J575,Organisation!$A$2:$E$499,4,FALSE)</f>
        <v>Academic</v>
      </c>
      <c r="M575" t="s">
        <v>435</v>
      </c>
      <c r="N575" t="s">
        <v>747</v>
      </c>
      <c r="O575" t="s">
        <v>748</v>
      </c>
      <c r="P575" s="3" t="s">
        <v>3821</v>
      </c>
      <c r="Q575" t="s">
        <v>3822</v>
      </c>
      <c r="S575" s="1">
        <v>1</v>
      </c>
      <c r="T575" t="str">
        <f>"Update Collaborator Set Organisation = '"&amp;J575&amp;"' where User_ID = '"&amp;B575&amp;"'; "</f>
        <v xml:space="preserve">Update Collaborator Set Organisation = 'Yantai University' where User_ID = 'CU00574'; </v>
      </c>
    </row>
    <row r="576" spans="1:21">
      <c r="A576" t="s">
        <v>10219</v>
      </c>
      <c r="B576" t="s">
        <v>2497</v>
      </c>
      <c r="C576" t="s">
        <v>10540</v>
      </c>
      <c r="D576" t="s">
        <v>2498</v>
      </c>
      <c r="E576" t="s">
        <v>60</v>
      </c>
      <c r="F576" t="s">
        <v>2499</v>
      </c>
      <c r="G576" t="s">
        <v>2500</v>
      </c>
      <c r="H576">
        <f t="shared" si="8"/>
        <v>1</v>
      </c>
      <c r="I576" t="s">
        <v>564</v>
      </c>
      <c r="J576" t="s">
        <v>2501</v>
      </c>
      <c r="K576" t="str">
        <f>VLOOKUP(J576,Organisation!$A$2:$C$499,3,FALSE)</f>
        <v>CORG00130</v>
      </c>
      <c r="L576" t="str">
        <f>VLOOKUP(J576,Organisation!$A$2:$E$499,4,FALSE)</f>
        <v>Academic</v>
      </c>
      <c r="M576" t="s">
        <v>2502</v>
      </c>
      <c r="N576" t="s">
        <v>2503</v>
      </c>
      <c r="O576" t="s">
        <v>459</v>
      </c>
      <c r="P576" s="3" t="s">
        <v>2504</v>
      </c>
      <c r="Q576" t="s">
        <v>2505</v>
      </c>
      <c r="S576" s="1">
        <v>1</v>
      </c>
      <c r="T576" t="str">
        <f>"Update Collaborator Set Organisation = '"&amp;J576&amp;"' where User_ID = '"&amp;B576&amp;"'; "</f>
        <v xml:space="preserve">Update Collaborator Set Organisation = 'Nanyang Technological University' where User_ID = 'CU00575'; </v>
      </c>
      <c r="U576" t="str">
        <f>"Update dcollab.collab_user Set Pi = True where User_ID = '"&amp;A576&amp;"'; "</f>
        <v xml:space="preserve">Update dcollab.collab_user Set Pi = True where User_ID = 'CUSR00646'; </v>
      </c>
    </row>
    <row r="577" spans="1:21">
      <c r="A577" t="s">
        <v>10220</v>
      </c>
      <c r="B577" t="s">
        <v>5446</v>
      </c>
      <c r="D577" t="s">
        <v>2498</v>
      </c>
      <c r="E577" t="s">
        <v>60</v>
      </c>
      <c r="F577" t="s">
        <v>5447</v>
      </c>
      <c r="G577" t="s">
        <v>5444</v>
      </c>
      <c r="H577">
        <f t="shared" si="8"/>
        <v>2</v>
      </c>
      <c r="I577" t="s">
        <v>564</v>
      </c>
      <c r="J577" t="s">
        <v>2501</v>
      </c>
      <c r="K577" t="str">
        <f>VLOOKUP(J577,Organisation!$A$2:$C$499,3,FALSE)</f>
        <v>CORG00130</v>
      </c>
      <c r="L577" t="str">
        <f>VLOOKUP(J577,Organisation!$A$2:$E$499,4,FALSE)</f>
        <v>Academic</v>
      </c>
      <c r="M577" t="s">
        <v>5448</v>
      </c>
      <c r="N577" t="s">
        <v>5449</v>
      </c>
      <c r="O577" t="s">
        <v>459</v>
      </c>
      <c r="P577" s="3" t="s">
        <v>5450</v>
      </c>
      <c r="Q577" t="s">
        <v>5451</v>
      </c>
      <c r="S577" s="1">
        <v>1</v>
      </c>
      <c r="T577" t="str">
        <f>"Update Collaborator Set Organisation = '"&amp;J577&amp;"' where User_ID = '"&amp;B577&amp;"'; "</f>
        <v xml:space="preserve">Update Collaborator Set Organisation = 'Nanyang Technological University' where User_ID = 'CU00576'; </v>
      </c>
    </row>
    <row r="578" spans="1:21">
      <c r="A578" t="s">
        <v>10221</v>
      </c>
      <c r="B578" t="s">
        <v>5312</v>
      </c>
      <c r="C578" t="s">
        <v>10540</v>
      </c>
      <c r="D578" t="s">
        <v>5313</v>
      </c>
      <c r="E578" t="s">
        <v>41</v>
      </c>
      <c r="F578" t="s">
        <v>5314</v>
      </c>
      <c r="G578" t="s">
        <v>5315</v>
      </c>
      <c r="H578">
        <f t="shared" ref="H578:H641" si="9">COUNTIF($G$2:$G$900,G578)</f>
        <v>1</v>
      </c>
      <c r="I578" t="s">
        <v>333</v>
      </c>
      <c r="J578" t="s">
        <v>5316</v>
      </c>
      <c r="K578" t="str">
        <f>VLOOKUP(J578,Organisation!$A$2:$C$499,3,FALSE)</f>
        <v>CORG00041</v>
      </c>
      <c r="L578" t="str">
        <f>VLOOKUP(J578,Organisation!$A$2:$E$499,4,FALSE)</f>
        <v>Academic</v>
      </c>
      <c r="M578" t="s">
        <v>3882</v>
      </c>
      <c r="N578" t="s">
        <v>5317</v>
      </c>
      <c r="O578" t="s">
        <v>8808</v>
      </c>
      <c r="P578" s="3" t="s">
        <v>5318</v>
      </c>
      <c r="Q578" t="s">
        <v>5319</v>
      </c>
      <c r="S578" s="1">
        <v>1</v>
      </c>
      <c r="T578" t="str">
        <f>"Update Collaborator Set Organisation = '"&amp;J578&amp;"' where User_ID = '"&amp;B578&amp;"'; "</f>
        <v xml:space="preserve">Update Collaborator Set Organisation = 'Cornell University' where User_ID = 'CU00577'; </v>
      </c>
      <c r="U578" t="str">
        <f>"Update dcollab.collab_user Set Pi = True where User_ID = '"&amp;A578&amp;"'; "</f>
        <v xml:space="preserve">Update dcollab.collab_user Set Pi = True where User_ID = 'CUSR00648'; </v>
      </c>
    </row>
    <row r="579" spans="1:21">
      <c r="A579" t="s">
        <v>10222</v>
      </c>
      <c r="B579" t="s">
        <v>4482</v>
      </c>
      <c r="C579" t="s">
        <v>10540</v>
      </c>
      <c r="D579" t="s">
        <v>4483</v>
      </c>
      <c r="E579" t="s">
        <v>60</v>
      </c>
      <c r="F579" t="s">
        <v>4484</v>
      </c>
      <c r="G579" t="s">
        <v>4485</v>
      </c>
      <c r="H579">
        <f t="shared" si="9"/>
        <v>1</v>
      </c>
      <c r="I579" t="s">
        <v>190</v>
      </c>
      <c r="J579" t="s">
        <v>4486</v>
      </c>
      <c r="K579" t="str">
        <f>VLOOKUP(J579,Organisation!$A$2:$C$499,3,FALSE)</f>
        <v>CORG00103</v>
      </c>
      <c r="L579" t="str">
        <f>VLOOKUP(J579,Organisation!$A$2:$E$499,4,FALSE)</f>
        <v>Academic</v>
      </c>
      <c r="M579" t="s">
        <v>8815</v>
      </c>
      <c r="N579" t="s">
        <v>4488</v>
      </c>
      <c r="O579" t="s">
        <v>2674</v>
      </c>
      <c r="P579" s="3" t="s">
        <v>4489</v>
      </c>
      <c r="Q579" t="s">
        <v>4490</v>
      </c>
      <c r="S579" s="1">
        <v>1</v>
      </c>
      <c r="T579" t="str">
        <f>"Update Collaborator Set Organisation = '"&amp;J579&amp;"' where User_ID = '"&amp;B579&amp;"'; "</f>
        <v xml:space="preserve">Update Collaborator Set Organisation = 'Lahore University of Management Sciences' where User_ID = 'CU00578'; </v>
      </c>
      <c r="U579" t="str">
        <f>"Update dcollab.collab_user Set Pi = True where User_ID = '"&amp;A579&amp;"'; "</f>
        <v xml:space="preserve">Update dcollab.collab_user Set Pi = True where User_ID = 'CUSR00649'; </v>
      </c>
    </row>
    <row r="580" spans="1:21">
      <c r="A580" t="s">
        <v>10068</v>
      </c>
      <c r="B580" t="s">
        <v>3039</v>
      </c>
      <c r="D580" t="s">
        <v>3040</v>
      </c>
      <c r="E580" t="s">
        <v>110</v>
      </c>
      <c r="F580" t="s">
        <v>3041</v>
      </c>
      <c r="G580" t="s">
        <v>3042</v>
      </c>
      <c r="H580">
        <f t="shared" si="9"/>
        <v>1</v>
      </c>
      <c r="I580" t="s">
        <v>152</v>
      </c>
      <c r="J580" t="s">
        <v>3043</v>
      </c>
      <c r="K580" t="str">
        <f>VLOOKUP(J580,Organisation!$A$2:$C$499,3,FALSE)</f>
        <v>CORG00294</v>
      </c>
      <c r="L580" t="str">
        <f>VLOOKUP(J580,Organisation!$A$2:$E$499,4,FALSE)</f>
        <v>Academic</v>
      </c>
      <c r="M580" t="s">
        <v>3044</v>
      </c>
      <c r="N580" t="s">
        <v>3045</v>
      </c>
      <c r="O580" t="s">
        <v>557</v>
      </c>
      <c r="P580" s="3" t="s">
        <v>3046</v>
      </c>
      <c r="Q580" t="s">
        <v>3047</v>
      </c>
      <c r="S580" s="1">
        <v>1</v>
      </c>
      <c r="T580" t="str">
        <f>"Update Collaborator Set Organisation = '"&amp;J580&amp;"' where User_ID = '"&amp;B580&amp;"'; "</f>
        <v xml:space="preserve">Update Collaborator Set Organisation = 'University of Wuppertal' where User_ID = 'CU00579'; </v>
      </c>
    </row>
    <row r="581" spans="1:21">
      <c r="A581" t="s">
        <v>10061</v>
      </c>
      <c r="B581" t="s">
        <v>3325</v>
      </c>
      <c r="D581" t="s">
        <v>3326</v>
      </c>
      <c r="E581" t="s">
        <v>110</v>
      </c>
      <c r="F581" t="s">
        <v>3327</v>
      </c>
      <c r="G581" t="s">
        <v>3328</v>
      </c>
      <c r="H581">
        <f t="shared" si="9"/>
        <v>1</v>
      </c>
      <c r="I581" t="s">
        <v>3329</v>
      </c>
      <c r="J581" t="s">
        <v>1234</v>
      </c>
      <c r="K581" t="str">
        <f>VLOOKUP(J581,Organisation!$A$2:$C$499,3,FALSE)</f>
        <v>CORG00209</v>
      </c>
      <c r="L581" t="str">
        <f>VLOOKUP(J581,Organisation!$A$2:$E$499,4,FALSE)</f>
        <v>Academic</v>
      </c>
      <c r="M581" t="s">
        <v>435</v>
      </c>
      <c r="N581" t="s">
        <v>3330</v>
      </c>
      <c r="O581" t="s">
        <v>1235</v>
      </c>
      <c r="P581" s="3" t="s">
        <v>3331</v>
      </c>
      <c r="Q581" t="s">
        <v>3332</v>
      </c>
      <c r="S581" s="1">
        <v>1</v>
      </c>
      <c r="T581" t="str">
        <f>"Update Collaborator Set Organisation = '"&amp;J581&amp;"' where User_ID = '"&amp;B581&amp;"'; "</f>
        <v xml:space="preserve">Update Collaborator Set Organisation = 'University College Cork' where User_ID = 'CU00580'; </v>
      </c>
    </row>
    <row r="582" spans="1:21">
      <c r="A582" t="s">
        <v>10223</v>
      </c>
      <c r="B582" t="s">
        <v>3048</v>
      </c>
      <c r="C582" t="s">
        <v>10540</v>
      </c>
      <c r="D582" t="s">
        <v>3049</v>
      </c>
      <c r="E582" t="s">
        <v>110</v>
      </c>
      <c r="F582" t="s">
        <v>3050</v>
      </c>
      <c r="G582" t="s">
        <v>3051</v>
      </c>
      <c r="H582">
        <f t="shared" si="9"/>
        <v>1</v>
      </c>
      <c r="I582" t="s">
        <v>343</v>
      </c>
      <c r="J582" t="s">
        <v>3052</v>
      </c>
      <c r="K582" t="str">
        <f>VLOOKUP(J582,Organisation!$A$2:$C$499,3,FALSE)</f>
        <v>CORG00225</v>
      </c>
      <c r="L582" t="str">
        <f>VLOOKUP(J582,Organisation!$A$2:$E$499,4,FALSE)</f>
        <v>Academic</v>
      </c>
      <c r="M582" t="s">
        <v>3053</v>
      </c>
      <c r="N582" t="s">
        <v>3054</v>
      </c>
      <c r="O582" t="s">
        <v>269</v>
      </c>
      <c r="P582" s="3" t="s">
        <v>3055</v>
      </c>
      <c r="Q582" t="s">
        <v>3056</v>
      </c>
      <c r="S582" s="1">
        <v>1</v>
      </c>
      <c r="T582" t="str">
        <f>"Update Collaborator Set Organisation = '"&amp;J582&amp;"' where User_ID = '"&amp;B582&amp;"'; "</f>
        <v xml:space="preserve">Update Collaborator Set Organisation = 'University of Central Lancashire' where User_ID = 'CU00581'; </v>
      </c>
      <c r="U582" t="str">
        <f>"Update dcollab.collab_user Set Pi = True where User_ID = '"&amp;A582&amp;"'; "</f>
        <v xml:space="preserve">Update dcollab.collab_user Set Pi = True where User_ID = 'CUSR00650'; </v>
      </c>
    </row>
    <row r="583" spans="1:21">
      <c r="A583" t="s">
        <v>9636</v>
      </c>
      <c r="B583" t="s">
        <v>5260</v>
      </c>
      <c r="D583" t="s">
        <v>2194</v>
      </c>
      <c r="E583" t="s">
        <v>60</v>
      </c>
      <c r="F583" t="s">
        <v>167</v>
      </c>
      <c r="G583" t="s">
        <v>5261</v>
      </c>
      <c r="H583">
        <f t="shared" si="9"/>
        <v>1</v>
      </c>
      <c r="I583" t="s">
        <v>1073</v>
      </c>
      <c r="J583" t="s">
        <v>362</v>
      </c>
      <c r="K583" t="str">
        <f>VLOOKUP(J583,Organisation!$A$2:$C$499,3,FALSE)</f>
        <v>CORG00001</v>
      </c>
      <c r="L583" t="str">
        <f>VLOOKUP(J583,Organisation!$A$2:$E$499,4,FALSE)</f>
        <v>Academic</v>
      </c>
      <c r="M583" t="s">
        <v>416</v>
      </c>
      <c r="N583" t="s">
        <v>2198</v>
      </c>
      <c r="O583" t="s">
        <v>14</v>
      </c>
      <c r="P583" s="3" t="s">
        <v>2199</v>
      </c>
      <c r="Q583" t="s">
        <v>5262</v>
      </c>
      <c r="S583" s="1">
        <v>1</v>
      </c>
      <c r="T583" t="str">
        <f>"Update Collaborator Set Organisation = '"&amp;J583&amp;"' where User_ID = '"&amp;B583&amp;"'; "</f>
        <v xml:space="preserve">Update Collaborator Set Organisation = 'University of Queensland' where User_ID = 'CU00582'; </v>
      </c>
    </row>
    <row r="584" spans="1:21">
      <c r="A584" t="s">
        <v>10224</v>
      </c>
      <c r="B584" t="s">
        <v>4749</v>
      </c>
      <c r="D584" t="s">
        <v>3049</v>
      </c>
      <c r="E584" t="s">
        <v>41</v>
      </c>
      <c r="F584" t="s">
        <v>4750</v>
      </c>
      <c r="G584" t="s">
        <v>4751</v>
      </c>
      <c r="H584">
        <f t="shared" si="9"/>
        <v>4</v>
      </c>
      <c r="I584" t="s">
        <v>4752</v>
      </c>
      <c r="J584" t="s">
        <v>3052</v>
      </c>
      <c r="K584" t="str">
        <f>VLOOKUP(J584,Organisation!$A$2:$C$499,3,FALSE)</f>
        <v>CORG00225</v>
      </c>
      <c r="L584" t="str">
        <f>VLOOKUP(J584,Organisation!$A$2:$E$499,4,FALSE)</f>
        <v>Academic</v>
      </c>
      <c r="M584" t="s">
        <v>3053</v>
      </c>
      <c r="N584" t="s">
        <v>4753</v>
      </c>
      <c r="O584" t="s">
        <v>269</v>
      </c>
      <c r="Q584" t="s">
        <v>4754</v>
      </c>
      <c r="S584" s="1">
        <v>1</v>
      </c>
      <c r="T584" t="str">
        <f>"Update Collaborator Set Organisation = '"&amp;J584&amp;"' where User_ID = '"&amp;B584&amp;"'; "</f>
        <v xml:space="preserve">Update Collaborator Set Organisation = 'University of Central Lancashire' where User_ID = 'CU00583'; </v>
      </c>
    </row>
    <row r="585" spans="1:21">
      <c r="A585" t="s">
        <v>10225</v>
      </c>
      <c r="B585" t="s">
        <v>635</v>
      </c>
      <c r="C585" t="s">
        <v>10540</v>
      </c>
      <c r="D585" t="s">
        <v>636</v>
      </c>
      <c r="E585" t="s">
        <v>41</v>
      </c>
      <c r="F585" t="s">
        <v>637</v>
      </c>
      <c r="G585" t="s">
        <v>638</v>
      </c>
      <c r="H585">
        <f t="shared" si="9"/>
        <v>1</v>
      </c>
      <c r="I585" t="s">
        <v>71</v>
      </c>
      <c r="J585" t="s">
        <v>8747</v>
      </c>
      <c r="K585" t="str">
        <f>VLOOKUP(J585,Organisation!$A$2:$C$499,3,FALSE)</f>
        <v>CORG00223</v>
      </c>
      <c r="L585" t="str">
        <f>VLOOKUP(J585,Organisation!$A$2:$E$499,4,FALSE)</f>
        <v>Academic</v>
      </c>
      <c r="M585" t="s">
        <v>640</v>
      </c>
      <c r="N585" t="s">
        <v>641</v>
      </c>
      <c r="O585" t="s">
        <v>8808</v>
      </c>
      <c r="P585" s="3" t="s">
        <v>642</v>
      </c>
      <c r="Q585" t="s">
        <v>643</v>
      </c>
      <c r="S585" s="1">
        <v>1</v>
      </c>
      <c r="T585" t="str">
        <f>"Update Collaborator Set Organisation = '"&amp;J585&amp;"' where User_ID = '"&amp;B585&amp;"'; "</f>
        <v xml:space="preserve">Update Collaborator Set Organisation = 'University of California Santa Barbara' where User_ID = 'CU00584'; </v>
      </c>
      <c r="U585" t="str">
        <f>"Update dcollab.collab_user Set Pi = True where User_ID = '"&amp;A585&amp;"'; "</f>
        <v xml:space="preserve">Update dcollab.collab_user Set Pi = True where User_ID = 'CUSR00652'; </v>
      </c>
    </row>
    <row r="586" spans="1:21">
      <c r="A586" t="s">
        <v>10226</v>
      </c>
      <c r="B586" t="s">
        <v>3208</v>
      </c>
      <c r="D586" t="s">
        <v>636</v>
      </c>
      <c r="E586" t="s">
        <v>7</v>
      </c>
      <c r="F586" t="s">
        <v>3209</v>
      </c>
      <c r="G586" t="s">
        <v>3210</v>
      </c>
      <c r="H586">
        <f t="shared" si="9"/>
        <v>1</v>
      </c>
      <c r="I586" t="s">
        <v>241</v>
      </c>
      <c r="J586" t="s">
        <v>8747</v>
      </c>
      <c r="K586" t="str">
        <f>VLOOKUP(J586,Organisation!$A$2:$C$499,3,FALSE)</f>
        <v>CORG00223</v>
      </c>
      <c r="L586" t="str">
        <f>VLOOKUP(J586,Organisation!$A$2:$E$499,4,FALSE)</f>
        <v>Academic</v>
      </c>
      <c r="M586" t="s">
        <v>640</v>
      </c>
      <c r="N586" t="s">
        <v>641</v>
      </c>
      <c r="O586" t="s">
        <v>8808</v>
      </c>
      <c r="P586" s="3" t="s">
        <v>3211</v>
      </c>
      <c r="Q586" t="s">
        <v>3212</v>
      </c>
      <c r="S586" s="1">
        <v>1</v>
      </c>
      <c r="T586" t="str">
        <f>"Update Collaborator Set Organisation = '"&amp;J586&amp;"' where User_ID = '"&amp;B586&amp;"'; "</f>
        <v xml:space="preserve">Update Collaborator Set Organisation = 'University of California Santa Barbara' where User_ID = 'CU00585'; </v>
      </c>
    </row>
    <row r="587" spans="1:21">
      <c r="A587" t="s">
        <v>10227</v>
      </c>
      <c r="B587" t="s">
        <v>802</v>
      </c>
      <c r="D587" t="s">
        <v>541</v>
      </c>
      <c r="E587" t="s">
        <v>60</v>
      </c>
      <c r="F587" t="s">
        <v>803</v>
      </c>
      <c r="G587" t="s">
        <v>804</v>
      </c>
      <c r="H587">
        <f t="shared" si="9"/>
        <v>1</v>
      </c>
      <c r="I587" t="s">
        <v>805</v>
      </c>
      <c r="J587" t="s">
        <v>8759</v>
      </c>
      <c r="K587" t="str">
        <f>VLOOKUP(J587,Organisation!$A$2:$C$499,3,FALSE)</f>
        <v>CORG00065</v>
      </c>
      <c r="L587" t="str">
        <f>VLOOKUP(J587,Organisation!$A$2:$E$499,4,FALSE)</f>
        <v>Not-for-Profit</v>
      </c>
      <c r="M587" t="s">
        <v>546</v>
      </c>
      <c r="N587" t="s">
        <v>547</v>
      </c>
      <c r="O587" t="s">
        <v>253</v>
      </c>
      <c r="P587" s="3" t="s">
        <v>548</v>
      </c>
      <c r="Q587" t="s">
        <v>806</v>
      </c>
      <c r="S587" s="1">
        <v>1</v>
      </c>
      <c r="T587" t="str">
        <f>"Update Collaborator Set Organisation = '"&amp;J587&amp;"' where User_ID = '"&amp;B587&amp;"'; "</f>
        <v xml:space="preserve">Update Collaborator Set Organisation = 'Global Antibiotic Research and Development Partnership' where User_ID = 'CU00586'; </v>
      </c>
    </row>
    <row r="588" spans="1:21">
      <c r="A588" t="s">
        <v>10228</v>
      </c>
      <c r="B588" t="s">
        <v>540</v>
      </c>
      <c r="C588" t="s">
        <v>10540</v>
      </c>
      <c r="D588" t="s">
        <v>541</v>
      </c>
      <c r="E588" t="s">
        <v>60</v>
      </c>
      <c r="F588" t="s">
        <v>542</v>
      </c>
      <c r="G588" t="s">
        <v>543</v>
      </c>
      <c r="H588">
        <f t="shared" si="9"/>
        <v>1</v>
      </c>
      <c r="I588" t="s">
        <v>544</v>
      </c>
      <c r="J588" t="s">
        <v>8759</v>
      </c>
      <c r="K588" t="str">
        <f>VLOOKUP(J588,Organisation!$A$2:$C$499,3,FALSE)</f>
        <v>CORG00065</v>
      </c>
      <c r="L588" t="str">
        <f>VLOOKUP(J588,Organisation!$A$2:$E$499,4,FALSE)</f>
        <v>Not-for-Profit</v>
      </c>
      <c r="M588" t="s">
        <v>546</v>
      </c>
      <c r="N588" t="s">
        <v>547</v>
      </c>
      <c r="O588" t="s">
        <v>253</v>
      </c>
      <c r="P588" s="3" t="s">
        <v>548</v>
      </c>
      <c r="Q588" t="s">
        <v>549</v>
      </c>
      <c r="S588" s="1">
        <v>1</v>
      </c>
      <c r="T588" t="str">
        <f>"Update Collaborator Set Organisation = '"&amp;J588&amp;"' where User_ID = '"&amp;B588&amp;"'; "</f>
        <v xml:space="preserve">Update Collaborator Set Organisation = 'Global Antibiotic Research and Development Partnership' where User_ID = 'CU00587'; </v>
      </c>
      <c r="U588" t="str">
        <f>"Update dcollab.collab_user Set Pi = True where User_ID = '"&amp;A588&amp;"'; "</f>
        <v xml:space="preserve">Update dcollab.collab_user Set Pi = True where User_ID = 'CUSR00655'; </v>
      </c>
    </row>
    <row r="589" spans="1:21">
      <c r="A589" t="s">
        <v>10229</v>
      </c>
      <c r="B589" t="s">
        <v>4104</v>
      </c>
      <c r="D589" t="s">
        <v>541</v>
      </c>
      <c r="E589" t="s">
        <v>41</v>
      </c>
      <c r="F589" t="s">
        <v>2151</v>
      </c>
      <c r="G589" t="s">
        <v>4105</v>
      </c>
      <c r="H589">
        <f t="shared" si="9"/>
        <v>1</v>
      </c>
      <c r="I589" t="s">
        <v>4106</v>
      </c>
      <c r="J589" t="s">
        <v>8759</v>
      </c>
      <c r="K589" t="str">
        <f>VLOOKUP(J589,Organisation!$A$2:$C$499,3,FALSE)</f>
        <v>CORG00065</v>
      </c>
      <c r="L589" t="str">
        <f>VLOOKUP(J589,Organisation!$A$2:$E$499,4,FALSE)</f>
        <v>Not-for-Profit</v>
      </c>
      <c r="M589" t="s">
        <v>546</v>
      </c>
      <c r="N589" t="s">
        <v>547</v>
      </c>
      <c r="O589" t="s">
        <v>253</v>
      </c>
      <c r="P589" s="3" t="s">
        <v>548</v>
      </c>
      <c r="Q589" t="s">
        <v>4107</v>
      </c>
      <c r="S589" s="1">
        <v>1</v>
      </c>
      <c r="T589" t="str">
        <f>"Update Collaborator Set Organisation = '"&amp;J589&amp;"' where User_ID = '"&amp;B589&amp;"'; "</f>
        <v xml:space="preserve">Update Collaborator Set Organisation = 'Global Antibiotic Research and Development Partnership' where User_ID = 'CU00588'; </v>
      </c>
    </row>
    <row r="590" spans="1:21">
      <c r="A590" t="s">
        <v>10230</v>
      </c>
      <c r="B590" t="s">
        <v>3930</v>
      </c>
      <c r="D590" t="s">
        <v>541</v>
      </c>
      <c r="E590" t="s">
        <v>60</v>
      </c>
      <c r="F590" t="s">
        <v>3931</v>
      </c>
      <c r="G590" t="s">
        <v>3932</v>
      </c>
      <c r="H590">
        <f t="shared" si="9"/>
        <v>1</v>
      </c>
      <c r="I590" t="s">
        <v>3933</v>
      </c>
      <c r="J590" t="s">
        <v>8759</v>
      </c>
      <c r="K590" t="str">
        <f>VLOOKUP(J590,Organisation!$A$2:$C$499,3,FALSE)</f>
        <v>CORG00065</v>
      </c>
      <c r="L590" t="str">
        <f>VLOOKUP(J590,Organisation!$A$2:$E$499,4,FALSE)</f>
        <v>Not-for-Profit</v>
      </c>
      <c r="M590" t="s">
        <v>546</v>
      </c>
      <c r="N590" t="s">
        <v>547</v>
      </c>
      <c r="O590" t="s">
        <v>253</v>
      </c>
      <c r="P590" s="3" t="s">
        <v>548</v>
      </c>
      <c r="Q590" t="s">
        <v>3934</v>
      </c>
      <c r="S590" s="1">
        <v>1</v>
      </c>
      <c r="T590" t="str">
        <f>"Update Collaborator Set Organisation = '"&amp;J590&amp;"' where User_ID = '"&amp;B590&amp;"'; "</f>
        <v xml:space="preserve">Update Collaborator Set Organisation = 'Global Antibiotic Research and Development Partnership' where User_ID = 'CU00589'; </v>
      </c>
    </row>
    <row r="591" spans="1:21">
      <c r="A591" t="s">
        <v>10231</v>
      </c>
      <c r="B591" t="s">
        <v>1432</v>
      </c>
      <c r="D591" t="s">
        <v>541</v>
      </c>
      <c r="E591" t="s">
        <v>60</v>
      </c>
      <c r="F591" t="s">
        <v>1433</v>
      </c>
      <c r="G591" t="s">
        <v>1434</v>
      </c>
      <c r="H591">
        <f t="shared" si="9"/>
        <v>1</v>
      </c>
      <c r="I591" t="s">
        <v>1435</v>
      </c>
      <c r="J591" t="s">
        <v>8759</v>
      </c>
      <c r="K591" t="str">
        <f>VLOOKUP(J591,Organisation!$A$2:$C$499,3,FALSE)</f>
        <v>CORG00065</v>
      </c>
      <c r="L591" t="str">
        <f>VLOOKUP(J591,Organisation!$A$2:$E$499,4,FALSE)</f>
        <v>Not-for-Profit</v>
      </c>
      <c r="M591" t="s">
        <v>546</v>
      </c>
      <c r="N591" t="s">
        <v>547</v>
      </c>
      <c r="O591" t="s">
        <v>253</v>
      </c>
      <c r="P591" s="3" t="s">
        <v>548</v>
      </c>
      <c r="Q591" t="s">
        <v>1436</v>
      </c>
      <c r="S591" s="1">
        <v>1</v>
      </c>
      <c r="T591" t="str">
        <f>"Update Collaborator Set Organisation = '"&amp;J591&amp;"' where User_ID = '"&amp;B591&amp;"'; "</f>
        <v xml:space="preserve">Update Collaborator Set Organisation = 'Global Antibiotic Research and Development Partnership' where User_ID = 'CU00590'; </v>
      </c>
    </row>
    <row r="592" spans="1:21">
      <c r="A592" t="s">
        <v>10232</v>
      </c>
      <c r="B592" t="s">
        <v>1991</v>
      </c>
      <c r="D592" t="s">
        <v>541</v>
      </c>
      <c r="E592" t="s">
        <v>60</v>
      </c>
      <c r="F592" t="s">
        <v>1992</v>
      </c>
      <c r="G592" t="s">
        <v>1993</v>
      </c>
      <c r="H592">
        <f t="shared" si="9"/>
        <v>1</v>
      </c>
      <c r="I592" t="s">
        <v>1994</v>
      </c>
      <c r="J592" t="s">
        <v>8759</v>
      </c>
      <c r="K592" t="str">
        <f>VLOOKUP(J592,Organisation!$A$2:$C$499,3,FALSE)</f>
        <v>CORG00065</v>
      </c>
      <c r="L592" t="str">
        <f>VLOOKUP(J592,Organisation!$A$2:$E$499,4,FALSE)</f>
        <v>Not-for-Profit</v>
      </c>
      <c r="M592" t="s">
        <v>546</v>
      </c>
      <c r="N592" t="s">
        <v>547</v>
      </c>
      <c r="O592" t="s">
        <v>253</v>
      </c>
      <c r="P592" s="3" t="s">
        <v>548</v>
      </c>
      <c r="Q592" t="s">
        <v>1995</v>
      </c>
      <c r="S592" s="1">
        <v>1</v>
      </c>
      <c r="T592" t="str">
        <f>"Update Collaborator Set Organisation = '"&amp;J592&amp;"' where User_ID = '"&amp;B592&amp;"'; "</f>
        <v xml:space="preserve">Update Collaborator Set Organisation = 'Global Antibiotic Research and Development Partnership' where User_ID = 'CU00591'; </v>
      </c>
    </row>
    <row r="593" spans="1:21">
      <c r="A593" t="s">
        <v>10233</v>
      </c>
      <c r="B593" t="s">
        <v>1958</v>
      </c>
      <c r="D593" t="s">
        <v>541</v>
      </c>
      <c r="E593" t="s">
        <v>60</v>
      </c>
      <c r="F593" t="s">
        <v>360</v>
      </c>
      <c r="G593" t="s">
        <v>1959</v>
      </c>
      <c r="H593">
        <f t="shared" si="9"/>
        <v>1</v>
      </c>
      <c r="I593" t="s">
        <v>1960</v>
      </c>
      <c r="J593" t="s">
        <v>8759</v>
      </c>
      <c r="K593" t="str">
        <f>VLOOKUP(J593,Organisation!$A$2:$C$499,3,FALSE)</f>
        <v>CORG00065</v>
      </c>
      <c r="L593" t="str">
        <f>VLOOKUP(J593,Organisation!$A$2:$E$499,4,FALSE)</f>
        <v>Not-for-Profit</v>
      </c>
      <c r="M593" t="s">
        <v>546</v>
      </c>
      <c r="N593" t="s">
        <v>547</v>
      </c>
      <c r="O593" t="s">
        <v>253</v>
      </c>
      <c r="P593" s="3" t="s">
        <v>548</v>
      </c>
      <c r="Q593" t="s">
        <v>1961</v>
      </c>
      <c r="S593" s="1">
        <v>1</v>
      </c>
      <c r="T593" t="str">
        <f>"Update Collaborator Set Organisation = '"&amp;J593&amp;"' where User_ID = '"&amp;B593&amp;"'; "</f>
        <v xml:space="preserve">Update Collaborator Set Organisation = 'Global Antibiotic Research and Development Partnership' where User_ID = 'CU00592'; </v>
      </c>
    </row>
    <row r="594" spans="1:21">
      <c r="A594" t="s">
        <v>10234</v>
      </c>
      <c r="B594" t="s">
        <v>2833</v>
      </c>
      <c r="D594" t="s">
        <v>541</v>
      </c>
      <c r="E594" t="s">
        <v>60</v>
      </c>
      <c r="F594" t="s">
        <v>521</v>
      </c>
      <c r="G594" t="s">
        <v>2834</v>
      </c>
      <c r="H594">
        <f t="shared" si="9"/>
        <v>1</v>
      </c>
      <c r="I594" t="s">
        <v>2835</v>
      </c>
      <c r="J594" t="s">
        <v>8759</v>
      </c>
      <c r="K594" t="str">
        <f>VLOOKUP(J594,Organisation!$A$2:$C$499,3,FALSE)</f>
        <v>CORG00065</v>
      </c>
      <c r="L594" t="str">
        <f>VLOOKUP(J594,Organisation!$A$2:$E$499,4,FALSE)</f>
        <v>Not-for-Profit</v>
      </c>
      <c r="M594" t="s">
        <v>546</v>
      </c>
      <c r="N594" t="s">
        <v>547</v>
      </c>
      <c r="O594" t="s">
        <v>253</v>
      </c>
      <c r="P594" s="3" t="s">
        <v>548</v>
      </c>
      <c r="Q594" t="s">
        <v>2836</v>
      </c>
      <c r="S594" s="1">
        <v>1</v>
      </c>
      <c r="T594" t="str">
        <f>"Update Collaborator Set Organisation = '"&amp;J594&amp;"' where User_ID = '"&amp;B594&amp;"'; "</f>
        <v xml:space="preserve">Update Collaborator Set Organisation = 'Global Antibiotic Research and Development Partnership' where User_ID = 'CU00593'; </v>
      </c>
    </row>
    <row r="595" spans="1:21">
      <c r="A595" t="s">
        <v>10235</v>
      </c>
      <c r="B595" t="s">
        <v>3512</v>
      </c>
      <c r="C595" t="s">
        <v>10540</v>
      </c>
      <c r="D595" t="s">
        <v>1595</v>
      </c>
      <c r="E595" t="s">
        <v>41</v>
      </c>
      <c r="F595" t="s">
        <v>3513</v>
      </c>
      <c r="G595" t="s">
        <v>3514</v>
      </c>
      <c r="H595">
        <f t="shared" si="9"/>
        <v>1</v>
      </c>
      <c r="I595" t="s">
        <v>71</v>
      </c>
      <c r="J595" t="s">
        <v>1598</v>
      </c>
      <c r="K595" t="str">
        <f>VLOOKUP(J595,Organisation!$A$2:$C$499,3,FALSE)</f>
        <v>CORG00154</v>
      </c>
      <c r="L595" t="str">
        <f>VLOOKUP(J595,Organisation!$A$2:$E$499,4,FALSE)</f>
        <v>Academic</v>
      </c>
      <c r="M595" t="s">
        <v>712</v>
      </c>
      <c r="N595" t="s">
        <v>1599</v>
      </c>
      <c r="O595" t="s">
        <v>1600</v>
      </c>
      <c r="P595" s="3" t="s">
        <v>3515</v>
      </c>
      <c r="Q595" t="s">
        <v>3516</v>
      </c>
      <c r="S595" s="1">
        <v>1</v>
      </c>
      <c r="T595" t="str">
        <f>"Update Collaborator Set Organisation = '"&amp;J595&amp;"' where User_ID = '"&amp;B595&amp;"'; "</f>
        <v xml:space="preserve">Update Collaborator Set Organisation = 'Perm State University' where User_ID = 'CU00594'; </v>
      </c>
      <c r="U595" t="str">
        <f>"Update dcollab.collab_user Set Pi = True where User_ID = '"&amp;A595&amp;"'; "</f>
        <v xml:space="preserve">Update dcollab.collab_user Set Pi = True where User_ID = 'CUSR00662'; </v>
      </c>
    </row>
    <row r="596" spans="1:21">
      <c r="A596" t="s">
        <v>10236</v>
      </c>
      <c r="B596" t="s">
        <v>4884</v>
      </c>
      <c r="D596" t="s">
        <v>1595</v>
      </c>
      <c r="E596" t="s">
        <v>60</v>
      </c>
      <c r="F596" t="s">
        <v>4885</v>
      </c>
      <c r="G596" t="s">
        <v>4886</v>
      </c>
      <c r="H596">
        <f t="shared" si="9"/>
        <v>1</v>
      </c>
      <c r="I596" t="s">
        <v>4887</v>
      </c>
      <c r="J596" t="s">
        <v>1598</v>
      </c>
      <c r="K596" t="str">
        <f>VLOOKUP(J596,Organisation!$A$2:$C$499,3,FALSE)</f>
        <v>CORG00154</v>
      </c>
      <c r="L596" t="str">
        <f>VLOOKUP(J596,Organisation!$A$2:$E$499,4,FALSE)</f>
        <v>Academic</v>
      </c>
      <c r="M596" t="s">
        <v>712</v>
      </c>
      <c r="N596" t="s">
        <v>1599</v>
      </c>
      <c r="O596" t="s">
        <v>1600</v>
      </c>
      <c r="P596" s="3" t="s">
        <v>4888</v>
      </c>
      <c r="Q596" t="s">
        <v>4889</v>
      </c>
      <c r="S596" s="1">
        <v>1</v>
      </c>
      <c r="T596" t="str">
        <f>"Update Collaborator Set Organisation = '"&amp;J596&amp;"' where User_ID = '"&amp;B596&amp;"'; "</f>
        <v xml:space="preserve">Update Collaborator Set Organisation = 'Perm State University' where User_ID = 'CU00595'; </v>
      </c>
    </row>
    <row r="597" spans="1:21">
      <c r="A597" t="s">
        <v>10237</v>
      </c>
      <c r="B597" t="s">
        <v>1594</v>
      </c>
      <c r="D597" t="s">
        <v>1595</v>
      </c>
      <c r="E597" t="s">
        <v>60</v>
      </c>
      <c r="F597" t="s">
        <v>1596</v>
      </c>
      <c r="G597" t="s">
        <v>1597</v>
      </c>
      <c r="H597">
        <f t="shared" si="9"/>
        <v>1</v>
      </c>
      <c r="I597" t="s">
        <v>1386</v>
      </c>
      <c r="J597" t="s">
        <v>1598</v>
      </c>
      <c r="K597" t="str">
        <f>VLOOKUP(J597,Organisation!$A$2:$C$499,3,FALSE)</f>
        <v>CORG00154</v>
      </c>
      <c r="L597" t="str">
        <f>VLOOKUP(J597,Organisation!$A$2:$E$499,4,FALSE)</f>
        <v>Academic</v>
      </c>
      <c r="M597" t="s">
        <v>712</v>
      </c>
      <c r="N597" t="s">
        <v>1599</v>
      </c>
      <c r="O597" t="s">
        <v>1600</v>
      </c>
      <c r="P597" s="3" t="s">
        <v>1601</v>
      </c>
      <c r="Q597" t="s">
        <v>1602</v>
      </c>
      <c r="S597" s="1">
        <v>1</v>
      </c>
      <c r="T597" t="str">
        <f>"Update Collaborator Set Organisation = '"&amp;J597&amp;"' where User_ID = '"&amp;B597&amp;"'; "</f>
        <v xml:space="preserve">Update Collaborator Set Organisation = 'Perm State University' where User_ID = 'CU00596'; </v>
      </c>
    </row>
    <row r="598" spans="1:21">
      <c r="A598" t="s">
        <v>10238</v>
      </c>
      <c r="B598" t="s">
        <v>1637</v>
      </c>
      <c r="C598" t="s">
        <v>10540</v>
      </c>
      <c r="D598" t="s">
        <v>1638</v>
      </c>
      <c r="E598" t="s">
        <v>41</v>
      </c>
      <c r="F598" t="s">
        <v>1639</v>
      </c>
      <c r="G598" t="s">
        <v>1640</v>
      </c>
      <c r="H598">
        <f t="shared" si="9"/>
        <v>1</v>
      </c>
      <c r="I598" t="s">
        <v>1641</v>
      </c>
      <c r="J598" t="s">
        <v>1642</v>
      </c>
      <c r="K598" t="str">
        <f>VLOOKUP(J598,Organisation!$A$2:$C$499,3,FALSE)</f>
        <v>CORG00274</v>
      </c>
      <c r="L598" t="str">
        <f>VLOOKUP(J598,Organisation!$A$2:$E$499,4,FALSE)</f>
        <v>Academic</v>
      </c>
      <c r="M598" t="s">
        <v>73</v>
      </c>
      <c r="N598" t="s">
        <v>1643</v>
      </c>
      <c r="O598" t="s">
        <v>8808</v>
      </c>
      <c r="P598" s="3" t="s">
        <v>1644</v>
      </c>
      <c r="Q598" t="s">
        <v>1645</v>
      </c>
      <c r="S598" s="1">
        <v>1</v>
      </c>
      <c r="T598" t="str">
        <f>"Update Collaborator Set Organisation = '"&amp;J598&amp;"' where User_ID = '"&amp;B598&amp;"'; "</f>
        <v xml:space="preserve">Update Collaborator Set Organisation = 'University of Texas at San Antonio' where User_ID = 'CU00597'; </v>
      </c>
      <c r="U598" t="str">
        <f>"Update dcollab.collab_user Set Pi = True where User_ID = '"&amp;A598&amp;"'; "</f>
        <v xml:space="preserve">Update dcollab.collab_user Set Pi = True where User_ID = 'CUSR00665'; </v>
      </c>
    </row>
    <row r="599" spans="1:21">
      <c r="A599" t="s">
        <v>10239</v>
      </c>
      <c r="B599" t="s">
        <v>5275</v>
      </c>
      <c r="D599" t="s">
        <v>1638</v>
      </c>
      <c r="E599" t="s">
        <v>60</v>
      </c>
      <c r="F599" t="s">
        <v>5276</v>
      </c>
      <c r="G599" t="s">
        <v>5265</v>
      </c>
      <c r="H599">
        <f t="shared" si="9"/>
        <v>4</v>
      </c>
      <c r="I599" t="s">
        <v>2166</v>
      </c>
      <c r="J599" t="s">
        <v>1642</v>
      </c>
      <c r="K599" t="str">
        <f>VLOOKUP(J599,Organisation!$A$2:$C$499,3,FALSE)</f>
        <v>CORG00274</v>
      </c>
      <c r="L599" t="str">
        <f>VLOOKUP(J599,Organisation!$A$2:$E$499,4,FALSE)</f>
        <v>Academic</v>
      </c>
      <c r="M599" t="s">
        <v>73</v>
      </c>
      <c r="N599" t="s">
        <v>1643</v>
      </c>
      <c r="O599" t="s">
        <v>8808</v>
      </c>
      <c r="P599" s="3" t="s">
        <v>5277</v>
      </c>
      <c r="Q599" t="s">
        <v>5278</v>
      </c>
      <c r="S599" s="1">
        <v>1</v>
      </c>
      <c r="T599" t="str">
        <f>"Update Collaborator Set Organisation = '"&amp;J599&amp;"' where User_ID = '"&amp;B599&amp;"'; "</f>
        <v xml:space="preserve">Update Collaborator Set Organisation = 'University of Texas at San Antonio' where User_ID = 'CU00598'; </v>
      </c>
    </row>
    <row r="600" spans="1:21">
      <c r="A600" t="s">
        <v>10240</v>
      </c>
      <c r="B600" t="s">
        <v>4229</v>
      </c>
      <c r="C600" t="s">
        <v>10540</v>
      </c>
      <c r="D600" t="s">
        <v>4230</v>
      </c>
      <c r="E600" t="s">
        <v>60</v>
      </c>
      <c r="F600" t="s">
        <v>4231</v>
      </c>
      <c r="G600" t="s">
        <v>4232</v>
      </c>
      <c r="H600">
        <f t="shared" si="9"/>
        <v>1</v>
      </c>
      <c r="I600" t="s">
        <v>4233</v>
      </c>
      <c r="J600" t="s">
        <v>2829</v>
      </c>
      <c r="K600" t="str">
        <f>VLOOKUP(J600,Organisation!$A$2:$C$499,3,FALSE)</f>
        <v>CORG00047</v>
      </c>
      <c r="L600" t="str">
        <f>VLOOKUP(J600,Organisation!$A$2:$E$499,4,FALSE)</f>
        <v>Academic</v>
      </c>
      <c r="M600" t="s">
        <v>53</v>
      </c>
      <c r="N600" t="s">
        <v>4234</v>
      </c>
      <c r="O600" t="s">
        <v>55</v>
      </c>
      <c r="P600" s="3" t="s">
        <v>4235</v>
      </c>
      <c r="Q600" t="s">
        <v>4236</v>
      </c>
      <c r="S600" s="1">
        <v>1</v>
      </c>
      <c r="T600" t="str">
        <f>"Update Collaborator Set Organisation = '"&amp;J600&amp;"' where User_ID = '"&amp;B600&amp;"'; "</f>
        <v xml:space="preserve">Update Collaborator Set Organisation = 'Damanhour University' where User_ID = 'CU00599'; </v>
      </c>
      <c r="U600" t="str">
        <f>"Update dcollab.collab_user Set Pi = True where User_ID = '"&amp;A600&amp;"'; "</f>
        <v xml:space="preserve">Update dcollab.collab_user Set Pi = True where User_ID = 'CUSR00667'; </v>
      </c>
    </row>
    <row r="601" spans="1:21">
      <c r="A601" t="s">
        <v>10215</v>
      </c>
      <c r="B601" t="s">
        <v>2866</v>
      </c>
      <c r="D601" t="s">
        <v>1102</v>
      </c>
      <c r="E601" t="s">
        <v>7</v>
      </c>
      <c r="F601" t="s">
        <v>2867</v>
      </c>
      <c r="G601" t="s">
        <v>2868</v>
      </c>
      <c r="H601">
        <f t="shared" si="9"/>
        <v>1</v>
      </c>
      <c r="I601" t="s">
        <v>241</v>
      </c>
      <c r="J601" t="s">
        <v>1105</v>
      </c>
      <c r="K601" t="str">
        <f>VLOOKUP(J601,Organisation!$A$2:$C$499,3,FALSE)</f>
        <v>CORG00299</v>
      </c>
      <c r="L601" t="str">
        <f>VLOOKUP(J601,Organisation!$A$2:$E$499,4,FALSE)</f>
        <v>Academic</v>
      </c>
      <c r="M601" t="s">
        <v>84</v>
      </c>
      <c r="N601" t="s">
        <v>2869</v>
      </c>
      <c r="O601" t="s">
        <v>8808</v>
      </c>
      <c r="P601" s="3" t="s">
        <v>1107</v>
      </c>
      <c r="Q601" t="s">
        <v>2870</v>
      </c>
      <c r="S601" s="1">
        <v>1</v>
      </c>
      <c r="T601" t="str">
        <f>"Update Collaborator Set Organisation = '"&amp;J601&amp;"' where User_ID = '"&amp;B601&amp;"'; "</f>
        <v xml:space="preserve">Update Collaborator Set Organisation = 'Vanderbilt University' where User_ID = 'CU00600'; </v>
      </c>
    </row>
    <row r="602" spans="1:21">
      <c r="A602" t="s">
        <v>10241</v>
      </c>
      <c r="B602" t="s">
        <v>3561</v>
      </c>
      <c r="C602" t="s">
        <v>10540</v>
      </c>
      <c r="D602" t="s">
        <v>3562</v>
      </c>
      <c r="E602" t="s">
        <v>60</v>
      </c>
      <c r="F602" t="s">
        <v>3563</v>
      </c>
      <c r="G602" t="s">
        <v>3564</v>
      </c>
      <c r="H602">
        <f t="shared" si="9"/>
        <v>1</v>
      </c>
      <c r="I602" t="s">
        <v>3565</v>
      </c>
      <c r="J602" t="s">
        <v>1234</v>
      </c>
      <c r="K602" t="str">
        <f>VLOOKUP(J602,Organisation!$A$2:$C$499,3,FALSE)</f>
        <v>CORG00209</v>
      </c>
      <c r="L602" t="str">
        <f>VLOOKUP(J602,Organisation!$A$2:$E$499,4,FALSE)</f>
        <v>Academic</v>
      </c>
      <c r="M602" t="s">
        <v>3566</v>
      </c>
      <c r="N602" t="s">
        <v>3567</v>
      </c>
      <c r="O602" t="s">
        <v>1235</v>
      </c>
      <c r="P602" s="3" t="s">
        <v>3568</v>
      </c>
      <c r="Q602" t="s">
        <v>3569</v>
      </c>
      <c r="S602" s="1">
        <v>1</v>
      </c>
      <c r="T602" t="str">
        <f>"Update Collaborator Set Organisation = '"&amp;J602&amp;"' where User_ID = '"&amp;B602&amp;"'; "</f>
        <v xml:space="preserve">Update Collaborator Set Organisation = 'University College Cork' where User_ID = 'CU00601'; </v>
      </c>
      <c r="U602" t="str">
        <f>"Update dcollab.collab_user Set Pi = True where User_ID = '"&amp;A602&amp;"'; "</f>
        <v xml:space="preserve">Update dcollab.collab_user Set Pi = True where User_ID = 'CUSR00668'; </v>
      </c>
    </row>
    <row r="603" spans="1:21">
      <c r="A603" t="s">
        <v>9609</v>
      </c>
      <c r="B603" t="s">
        <v>2837</v>
      </c>
      <c r="D603" t="s">
        <v>448</v>
      </c>
      <c r="E603" t="s">
        <v>386</v>
      </c>
      <c r="F603" t="s">
        <v>2838</v>
      </c>
      <c r="G603" t="s">
        <v>2839</v>
      </c>
      <c r="H603">
        <f t="shared" si="9"/>
        <v>1</v>
      </c>
      <c r="I603" t="s">
        <v>1412</v>
      </c>
      <c r="J603" t="s">
        <v>362</v>
      </c>
      <c r="K603" t="str">
        <f>VLOOKUP(J603,Organisation!$A$2:$C$499,3,FALSE)</f>
        <v>CORG00001</v>
      </c>
      <c r="L603" t="str">
        <f>VLOOKUP(J603,Organisation!$A$2:$E$499,4,FALSE)</f>
        <v>Academic</v>
      </c>
      <c r="M603" t="s">
        <v>416</v>
      </c>
      <c r="N603" t="s">
        <v>451</v>
      </c>
      <c r="O603" t="s">
        <v>14</v>
      </c>
      <c r="P603" s="3" t="s">
        <v>2840</v>
      </c>
      <c r="Q603" t="s">
        <v>2841</v>
      </c>
      <c r="S603" s="1">
        <v>1</v>
      </c>
      <c r="T603" t="str">
        <f>"Update Collaborator Set Organisation = '"&amp;J603&amp;"' where User_ID = '"&amp;B603&amp;"'; "</f>
        <v xml:space="preserve">Update Collaborator Set Organisation = 'University of Queensland' where User_ID = 'CU00602'; </v>
      </c>
    </row>
    <row r="604" spans="1:21">
      <c r="A604" t="s">
        <v>10242</v>
      </c>
      <c r="B604" t="s">
        <v>4472</v>
      </c>
      <c r="C604" t="s">
        <v>10540</v>
      </c>
      <c r="D604" t="s">
        <v>3531</v>
      </c>
      <c r="E604" t="s">
        <v>60</v>
      </c>
      <c r="F604" t="s">
        <v>4473</v>
      </c>
      <c r="G604" t="s">
        <v>4474</v>
      </c>
      <c r="H604">
        <f t="shared" si="9"/>
        <v>1</v>
      </c>
      <c r="I604" t="s">
        <v>136</v>
      </c>
      <c r="J604" t="s">
        <v>8769</v>
      </c>
      <c r="K604" t="str">
        <f>VLOOKUP(J604,Organisation!$A$2:$C$499,3,FALSE)</f>
        <v>CORG00132</v>
      </c>
      <c r="L604" t="str">
        <f>VLOOKUP(J604,Organisation!$A$2:$E$499,4,FALSE)</f>
        <v>Academic</v>
      </c>
      <c r="M604" t="s">
        <v>3536</v>
      </c>
      <c r="N604" t="s">
        <v>3537</v>
      </c>
      <c r="O604" t="s">
        <v>2634</v>
      </c>
      <c r="P604" s="3" t="s">
        <v>4475</v>
      </c>
      <c r="Q604" t="s">
        <v>4476</v>
      </c>
      <c r="S604" s="1">
        <v>1</v>
      </c>
      <c r="T604" t="str">
        <f>"Update Collaborator Set Organisation = '"&amp;J604&amp;"' where User_ID = '"&amp;B604&amp;"'; "</f>
        <v xml:space="preserve">Update Collaborator Set Organisation = 'National Center for Scientific Research Demokritos' where User_ID = 'CU00603'; </v>
      </c>
      <c r="U604" t="str">
        <f>"Update dcollab.collab_user Set Pi = True where User_ID = '"&amp;A604&amp;"'; "</f>
        <v xml:space="preserve">Update dcollab.collab_user Set Pi = True where User_ID = 'CUSR00669'; </v>
      </c>
    </row>
    <row r="605" spans="1:21">
      <c r="A605" t="s">
        <v>10243</v>
      </c>
      <c r="B605" t="s">
        <v>3530</v>
      </c>
      <c r="D605" t="s">
        <v>3531</v>
      </c>
      <c r="E605" t="s">
        <v>60</v>
      </c>
      <c r="F605" t="s">
        <v>3532</v>
      </c>
      <c r="G605" t="s">
        <v>3533</v>
      </c>
      <c r="H605">
        <f t="shared" si="9"/>
        <v>2</v>
      </c>
      <c r="I605" t="s">
        <v>3534</v>
      </c>
      <c r="J605" t="s">
        <v>8769</v>
      </c>
      <c r="K605" t="str">
        <f>VLOOKUP(J605,Organisation!$A$2:$C$499,3,FALSE)</f>
        <v>CORG00132</v>
      </c>
      <c r="L605" t="str">
        <f>VLOOKUP(J605,Organisation!$A$2:$E$499,4,FALSE)</f>
        <v>Academic</v>
      </c>
      <c r="M605" t="s">
        <v>3536</v>
      </c>
      <c r="N605" t="s">
        <v>3537</v>
      </c>
      <c r="O605" t="s">
        <v>2634</v>
      </c>
      <c r="P605" s="3" t="s">
        <v>3538</v>
      </c>
      <c r="Q605" t="s">
        <v>3539</v>
      </c>
      <c r="S605" s="1">
        <v>1</v>
      </c>
      <c r="T605" t="str">
        <f>"Update Collaborator Set Organisation = '"&amp;J605&amp;"' where User_ID = '"&amp;B605&amp;"'; "</f>
        <v xml:space="preserve">Update Collaborator Set Organisation = 'National Center for Scientific Research Demokritos' where User_ID = 'CU00604'; </v>
      </c>
    </row>
    <row r="606" spans="1:21">
      <c r="A606" t="s">
        <v>10244</v>
      </c>
      <c r="B606" t="s">
        <v>3792</v>
      </c>
      <c r="C606" t="s">
        <v>10540</v>
      </c>
      <c r="D606" t="s">
        <v>2778</v>
      </c>
      <c r="E606" t="s">
        <v>60</v>
      </c>
      <c r="F606" t="s">
        <v>3793</v>
      </c>
      <c r="G606" t="s">
        <v>3789</v>
      </c>
      <c r="H606">
        <f t="shared" si="9"/>
        <v>2</v>
      </c>
      <c r="I606" t="s">
        <v>3794</v>
      </c>
      <c r="J606" t="s">
        <v>2781</v>
      </c>
      <c r="K606" t="str">
        <f>VLOOKUP(J606,Organisation!$A$2:$C$499,3,FALSE)</f>
        <v>CORG00109</v>
      </c>
      <c r="L606" t="str">
        <f>VLOOKUP(J606,Organisation!$A$2:$E$499,4,FALSE)</f>
        <v>Academic</v>
      </c>
      <c r="M606" t="s">
        <v>84</v>
      </c>
      <c r="N606" t="s">
        <v>2782</v>
      </c>
      <c r="O606" t="s">
        <v>211</v>
      </c>
      <c r="P606" s="3" t="s">
        <v>3795</v>
      </c>
      <c r="Q606" t="s">
        <v>3796</v>
      </c>
      <c r="S606" s="1">
        <v>1</v>
      </c>
      <c r="T606" t="str">
        <f>"Update Collaborator Set Organisation = '"&amp;J606&amp;"' where User_ID = '"&amp;B606&amp;"'; "</f>
        <v xml:space="preserve">Update Collaborator Set Organisation = 'Mangalore University' where User_ID = 'CU00605'; </v>
      </c>
      <c r="U606" t="str">
        <f>"Update dcollab.collab_user Set Pi = True where User_ID = '"&amp;A606&amp;"'; "</f>
        <v xml:space="preserve">Update dcollab.collab_user Set Pi = True where User_ID = 'CUSR00671'; </v>
      </c>
    </row>
    <row r="607" spans="1:21">
      <c r="A607" t="s">
        <v>10245</v>
      </c>
      <c r="B607" t="s">
        <v>2777</v>
      </c>
      <c r="D607" t="s">
        <v>2778</v>
      </c>
      <c r="E607" t="s">
        <v>110</v>
      </c>
      <c r="F607" t="s">
        <v>2779</v>
      </c>
      <c r="G607" t="s">
        <v>2780</v>
      </c>
      <c r="H607">
        <f t="shared" si="9"/>
        <v>1</v>
      </c>
      <c r="I607" t="s">
        <v>282</v>
      </c>
      <c r="J607" t="s">
        <v>2781</v>
      </c>
      <c r="K607" t="str">
        <f>VLOOKUP(J607,Organisation!$A$2:$C$499,3,FALSE)</f>
        <v>CORG00109</v>
      </c>
      <c r="L607" t="str">
        <f>VLOOKUP(J607,Organisation!$A$2:$E$499,4,FALSE)</f>
        <v>Academic</v>
      </c>
      <c r="M607" t="s">
        <v>84</v>
      </c>
      <c r="N607" t="s">
        <v>2782</v>
      </c>
      <c r="O607" t="s">
        <v>211</v>
      </c>
      <c r="P607" s="3" t="s">
        <v>2783</v>
      </c>
      <c r="Q607" t="s">
        <v>2784</v>
      </c>
      <c r="S607" s="1">
        <v>1</v>
      </c>
      <c r="T607" t="str">
        <f>"Update Collaborator Set Organisation = '"&amp;J607&amp;"' where User_ID = '"&amp;B607&amp;"'; "</f>
        <v xml:space="preserve">Update Collaborator Set Organisation = 'Mangalore University' where User_ID = 'CU00606'; </v>
      </c>
    </row>
    <row r="608" spans="1:21">
      <c r="A608" t="s">
        <v>10246</v>
      </c>
      <c r="B608" t="s">
        <v>3787</v>
      </c>
      <c r="D608" t="s">
        <v>2778</v>
      </c>
      <c r="E608" t="s">
        <v>110</v>
      </c>
      <c r="F608" t="s">
        <v>3788</v>
      </c>
      <c r="G608" t="s">
        <v>3789</v>
      </c>
      <c r="H608">
        <f t="shared" si="9"/>
        <v>2</v>
      </c>
      <c r="I608" t="s">
        <v>282</v>
      </c>
      <c r="J608" t="s">
        <v>2781</v>
      </c>
      <c r="K608" t="str">
        <f>VLOOKUP(J608,Organisation!$A$2:$C$499,3,FALSE)</f>
        <v>CORG00109</v>
      </c>
      <c r="L608" t="str">
        <f>VLOOKUP(J608,Organisation!$A$2:$E$499,4,FALSE)</f>
        <v>Academic</v>
      </c>
      <c r="M608" t="s">
        <v>84</v>
      </c>
      <c r="N608" t="s">
        <v>2782</v>
      </c>
      <c r="O608" t="s">
        <v>211</v>
      </c>
      <c r="P608" s="3" t="s">
        <v>3790</v>
      </c>
      <c r="Q608" t="s">
        <v>3791</v>
      </c>
      <c r="S608" s="1">
        <v>1</v>
      </c>
      <c r="T608" t="str">
        <f>"Update Collaborator Set Organisation = '"&amp;J608&amp;"' where User_ID = '"&amp;B608&amp;"'; "</f>
        <v xml:space="preserve">Update Collaborator Set Organisation = 'Mangalore University' where User_ID = 'CU00607'; </v>
      </c>
    </row>
    <row r="609" spans="1:21">
      <c r="A609" t="s">
        <v>10247</v>
      </c>
      <c r="B609" t="s">
        <v>3935</v>
      </c>
      <c r="C609" t="s">
        <v>10540</v>
      </c>
      <c r="D609" t="s">
        <v>1013</v>
      </c>
      <c r="E609" t="s">
        <v>60</v>
      </c>
      <c r="F609" t="s">
        <v>3182</v>
      </c>
      <c r="G609" t="s">
        <v>3936</v>
      </c>
      <c r="H609">
        <f t="shared" si="9"/>
        <v>1</v>
      </c>
      <c r="I609" t="s">
        <v>82</v>
      </c>
      <c r="J609" t="s">
        <v>1684</v>
      </c>
      <c r="K609" t="str">
        <f>VLOOKUP(J609,Organisation!$A$2:$C$499,3,FALSE)</f>
        <v>CORG00192</v>
      </c>
      <c r="L609" t="str">
        <f>VLOOKUP(J609,Organisation!$A$2:$E$499,4,FALSE)</f>
        <v>Academic</v>
      </c>
      <c r="M609" t="s">
        <v>8825</v>
      </c>
      <c r="N609" t="s">
        <v>3938</v>
      </c>
      <c r="O609" t="s">
        <v>481</v>
      </c>
      <c r="P609" s="3" t="s">
        <v>1017</v>
      </c>
      <c r="Q609" t="s">
        <v>3939</v>
      </c>
      <c r="S609" s="1">
        <v>1</v>
      </c>
      <c r="T609" t="str">
        <f>"Update Collaborator Set Organisation = '"&amp;J609&amp;"' where User_ID = '"&amp;B609&amp;"'; "</f>
        <v xml:space="preserve">Update Collaborator Set Organisation = 'Universidad de Buenos Aires' where User_ID = 'CU00608'; </v>
      </c>
      <c r="U609" t="str">
        <f>"Update dcollab.collab_user Set Pi = True where User_ID = '"&amp;A609&amp;"'; "</f>
        <v xml:space="preserve">Update dcollab.collab_user Set Pi = True where User_ID = 'CUSR00674'; </v>
      </c>
    </row>
    <row r="610" spans="1:21">
      <c r="A610" t="s">
        <v>10248</v>
      </c>
      <c r="B610" t="s">
        <v>1012</v>
      </c>
      <c r="D610" t="s">
        <v>1013</v>
      </c>
      <c r="E610" t="s">
        <v>60</v>
      </c>
      <c r="F610" t="s">
        <v>1014</v>
      </c>
      <c r="G610" t="s">
        <v>1015</v>
      </c>
      <c r="H610">
        <f t="shared" si="9"/>
        <v>1</v>
      </c>
      <c r="I610" t="s">
        <v>588</v>
      </c>
      <c r="J610" t="s">
        <v>1684</v>
      </c>
      <c r="K610" t="str">
        <f>VLOOKUP(J610,Organisation!$A$2:$C$499,3,FALSE)</f>
        <v>CORG00192</v>
      </c>
      <c r="L610" t="str">
        <f>VLOOKUP(J610,Organisation!$A$2:$E$499,4,FALSE)</f>
        <v>Academic</v>
      </c>
      <c r="M610" t="s">
        <v>8825</v>
      </c>
      <c r="N610" t="s">
        <v>1016</v>
      </c>
      <c r="O610" t="s">
        <v>481</v>
      </c>
      <c r="P610" s="3" t="s">
        <v>1017</v>
      </c>
      <c r="Q610" t="s">
        <v>1018</v>
      </c>
      <c r="S610" s="1">
        <v>1</v>
      </c>
      <c r="T610" t="str">
        <f>"Update Collaborator Set Organisation = '"&amp;J610&amp;"' where User_ID = '"&amp;B610&amp;"'; "</f>
        <v xml:space="preserve">Update Collaborator Set Organisation = 'Universidad de Buenos Aires' where User_ID = 'CU00609'; </v>
      </c>
    </row>
    <row r="611" spans="1:21">
      <c r="A611" t="s">
        <v>10096</v>
      </c>
      <c r="B611" t="s">
        <v>4457</v>
      </c>
      <c r="D611" t="s">
        <v>59</v>
      </c>
      <c r="E611" t="s">
        <v>110</v>
      </c>
      <c r="F611" t="s">
        <v>2384</v>
      </c>
      <c r="G611" t="s">
        <v>4458</v>
      </c>
      <c r="H611">
        <f t="shared" si="9"/>
        <v>1</v>
      </c>
      <c r="I611" t="s">
        <v>4459</v>
      </c>
      <c r="J611" t="s">
        <v>8775</v>
      </c>
      <c r="K611" t="str">
        <f>VLOOKUP(J611,Organisation!$A$2:$C$499,3,FALSE)</f>
        <v>CORG00128</v>
      </c>
      <c r="L611" t="str">
        <f>VLOOKUP(J611,Organisation!$A$2:$E$499,4,FALSE)</f>
        <v>Academic</v>
      </c>
      <c r="M611" t="s">
        <v>2373</v>
      </c>
      <c r="N611" t="s">
        <v>4460</v>
      </c>
      <c r="O611" t="s">
        <v>55</v>
      </c>
      <c r="P611" s="3" t="s">
        <v>4461</v>
      </c>
      <c r="Q611" t="s">
        <v>4462</v>
      </c>
      <c r="S611" s="1">
        <v>1</v>
      </c>
      <c r="T611" t="str">
        <f>"Update Collaborator Set Organisation = '"&amp;J611&amp;"' where User_ID = '"&amp;B611&amp;"'; "</f>
        <v xml:space="preserve">Update Collaborator Set Organisation = 'Nahda University Beni Suef' where User_ID = 'CU00610'; </v>
      </c>
    </row>
    <row r="612" spans="1:21">
      <c r="A612" t="s">
        <v>9734</v>
      </c>
      <c r="B612" t="s">
        <v>1496</v>
      </c>
      <c r="D612" t="s">
        <v>769</v>
      </c>
      <c r="E612" t="s">
        <v>41</v>
      </c>
      <c r="F612" t="s">
        <v>249</v>
      </c>
      <c r="G612" t="s">
        <v>1497</v>
      </c>
      <c r="H612">
        <f t="shared" si="9"/>
        <v>1</v>
      </c>
      <c r="I612" t="s">
        <v>1498</v>
      </c>
      <c r="J612" t="s">
        <v>1499</v>
      </c>
      <c r="K612" t="str">
        <f>VLOOKUP(J612,Organisation!$A$2:$C$499,3,FALSE)</f>
        <v>CORG00236</v>
      </c>
      <c r="L612" t="str">
        <f>VLOOKUP(J612,Organisation!$A$2:$E$499,4,FALSE)</f>
        <v>Academic</v>
      </c>
      <c r="M612" t="s">
        <v>84</v>
      </c>
      <c r="N612" t="s">
        <v>1500</v>
      </c>
      <c r="O612" t="s">
        <v>704</v>
      </c>
      <c r="P612" s="3" t="s">
        <v>1501</v>
      </c>
      <c r="Q612" t="s">
        <v>1502</v>
      </c>
      <c r="S612" s="1">
        <v>1</v>
      </c>
      <c r="T612" t="str">
        <f>"Update Collaborator Set Organisation = '"&amp;J612&amp;"' where User_ID = '"&amp;B612&amp;"'; "</f>
        <v xml:space="preserve">Update Collaborator Set Organisation = 'University of Le Havre Normandy' where User_ID = 'CU00611'; </v>
      </c>
    </row>
    <row r="613" spans="1:21">
      <c r="A613" t="s">
        <v>10097</v>
      </c>
      <c r="B613" t="s">
        <v>3644</v>
      </c>
      <c r="D613" t="s">
        <v>59</v>
      </c>
      <c r="E613" t="s">
        <v>110</v>
      </c>
      <c r="F613" t="s">
        <v>3645</v>
      </c>
      <c r="G613" t="s">
        <v>3646</v>
      </c>
      <c r="H613">
        <f t="shared" si="9"/>
        <v>1</v>
      </c>
      <c r="I613" t="s">
        <v>1779</v>
      </c>
      <c r="J613" t="s">
        <v>8775</v>
      </c>
      <c r="K613" t="str">
        <f>VLOOKUP(J613,Organisation!$A$2:$C$499,3,FALSE)</f>
        <v>CORG00128</v>
      </c>
      <c r="L613" t="str">
        <f>VLOOKUP(J613,Organisation!$A$2:$E$499,4,FALSE)</f>
        <v>Academic</v>
      </c>
      <c r="M613" t="s">
        <v>3647</v>
      </c>
      <c r="N613" t="s">
        <v>3648</v>
      </c>
      <c r="O613" t="s">
        <v>55</v>
      </c>
      <c r="P613" s="3" t="s">
        <v>3649</v>
      </c>
      <c r="Q613" t="s">
        <v>3650</v>
      </c>
      <c r="S613" s="1">
        <v>1</v>
      </c>
      <c r="T613" t="str">
        <f>"Update Collaborator Set Organisation = '"&amp;J613&amp;"' where User_ID = '"&amp;B613&amp;"'; "</f>
        <v xml:space="preserve">Update Collaborator Set Organisation = 'Nahda University Beni Suef' where User_ID = 'CU00612'; </v>
      </c>
    </row>
    <row r="614" spans="1:21">
      <c r="A614" t="s">
        <v>9908</v>
      </c>
      <c r="B614" t="s">
        <v>3844</v>
      </c>
      <c r="D614" t="s">
        <v>925</v>
      </c>
      <c r="E614" t="s">
        <v>7</v>
      </c>
      <c r="F614" t="s">
        <v>3134</v>
      </c>
      <c r="G614" t="s">
        <v>506</v>
      </c>
      <c r="H614">
        <f t="shared" si="9"/>
        <v>1</v>
      </c>
      <c r="I614" t="s">
        <v>259</v>
      </c>
      <c r="J614" t="s">
        <v>929</v>
      </c>
      <c r="K614" t="str">
        <f>VLOOKUP(J614,Organisation!$A$2:$C$499,3,FALSE)</f>
        <v>CORG00160</v>
      </c>
      <c r="L614" t="str">
        <f>VLOOKUP(J614,Organisation!$A$2:$E$499,4,FALSE)</f>
        <v>Academic</v>
      </c>
      <c r="M614" t="s">
        <v>3845</v>
      </c>
      <c r="N614" t="s">
        <v>3846</v>
      </c>
      <c r="O614" t="s">
        <v>14</v>
      </c>
      <c r="P614" s="3" t="s">
        <v>3847</v>
      </c>
      <c r="Q614" t="s">
        <v>3848</v>
      </c>
      <c r="S614" s="1">
        <v>1</v>
      </c>
      <c r="T614" t="str">
        <f>"Update Collaborator Set Organisation = '"&amp;J614&amp;"' where User_ID = '"&amp;B614&amp;"'; "</f>
        <v xml:space="preserve">Update Collaborator Set Organisation = 'RMIT University' where User_ID = 'CU00613'; </v>
      </c>
    </row>
    <row r="615" spans="1:21">
      <c r="A615" t="s">
        <v>10199</v>
      </c>
      <c r="B615" t="s">
        <v>4595</v>
      </c>
      <c r="D615" t="s">
        <v>4596</v>
      </c>
      <c r="E615" t="s">
        <v>7</v>
      </c>
      <c r="F615" t="s">
        <v>4597</v>
      </c>
      <c r="G615" t="s">
        <v>4598</v>
      </c>
      <c r="H615">
        <f t="shared" si="9"/>
        <v>1</v>
      </c>
      <c r="I615" t="s">
        <v>152</v>
      </c>
      <c r="J615" t="s">
        <v>517</v>
      </c>
      <c r="K615" t="str">
        <f>VLOOKUP(J615,Organisation!$A$2:$C$499,3,FALSE)</f>
        <v>CORG00125</v>
      </c>
      <c r="L615" t="str">
        <f>VLOOKUP(J615,Organisation!$A$2:$E$499,4,FALSE)</f>
        <v>Academic</v>
      </c>
      <c r="M615" t="s">
        <v>84</v>
      </c>
      <c r="N615" t="s">
        <v>8829</v>
      </c>
      <c r="O615" t="s">
        <v>14</v>
      </c>
      <c r="P615" s="3" t="s">
        <v>4600</v>
      </c>
      <c r="Q615" t="s">
        <v>4601</v>
      </c>
      <c r="S615" s="1">
        <v>1</v>
      </c>
      <c r="T615" t="str">
        <f>"Update Collaborator Set Organisation = '"&amp;J615&amp;"' where User_ID = '"&amp;B615&amp;"'; "</f>
        <v xml:space="preserve">Update Collaborator Set Organisation = 'Monash University' where User_ID = 'CU00614'; </v>
      </c>
    </row>
    <row r="616" spans="1:21">
      <c r="A616" t="s">
        <v>10249</v>
      </c>
      <c r="B616" t="s">
        <v>4817</v>
      </c>
      <c r="C616" t="s">
        <v>10540</v>
      </c>
      <c r="D616" t="s">
        <v>2843</v>
      </c>
      <c r="E616" t="s">
        <v>60</v>
      </c>
      <c r="F616" t="s">
        <v>4818</v>
      </c>
      <c r="G616" t="s">
        <v>4819</v>
      </c>
      <c r="H616">
        <f t="shared" si="9"/>
        <v>1</v>
      </c>
      <c r="I616" t="s">
        <v>4820</v>
      </c>
      <c r="J616" t="s">
        <v>2846</v>
      </c>
      <c r="K616" t="str">
        <f>VLOOKUP(J616,Organisation!$A$2:$C$499,3,FALSE)</f>
        <v>CORG00191</v>
      </c>
      <c r="L616" t="str">
        <f>VLOOKUP(J616,Organisation!$A$2:$E$499,4,FALSE)</f>
        <v>Academic</v>
      </c>
      <c r="M616" t="s">
        <v>2847</v>
      </c>
      <c r="N616" t="s">
        <v>4821</v>
      </c>
      <c r="O616" t="s">
        <v>1600</v>
      </c>
      <c r="P616" s="3" t="s">
        <v>2849</v>
      </c>
      <c r="Q616" t="s">
        <v>4822</v>
      </c>
      <c r="S616" s="1">
        <v>1</v>
      </c>
      <c r="T616" t="str">
        <f>"Update Collaborator Set Organisation = '"&amp;J616&amp;"' where User_ID = '"&amp;B616&amp;"'; "</f>
        <v xml:space="preserve">Update Collaborator Set Organisation = 'Ufa Institute of Chemistry' where User_ID = 'CU00615'; </v>
      </c>
      <c r="U616" t="str">
        <f>"Update dcollab.collab_user Set Pi = True where User_ID = '"&amp;A616&amp;"'; "</f>
        <v xml:space="preserve">Update dcollab.collab_user Set Pi = True where User_ID = 'CUSR00676'; </v>
      </c>
    </row>
    <row r="617" spans="1:21">
      <c r="A617" t="s">
        <v>10250</v>
      </c>
      <c r="B617" t="s">
        <v>2842</v>
      </c>
      <c r="D617" t="s">
        <v>2843</v>
      </c>
      <c r="E617" t="s">
        <v>60</v>
      </c>
      <c r="F617" t="s">
        <v>2844</v>
      </c>
      <c r="G617" t="s">
        <v>2845</v>
      </c>
      <c r="H617">
        <f t="shared" si="9"/>
        <v>1</v>
      </c>
      <c r="I617" t="s">
        <v>71</v>
      </c>
      <c r="J617" t="s">
        <v>2846</v>
      </c>
      <c r="K617" t="str">
        <f>VLOOKUP(J617,Organisation!$A$2:$C$499,3,FALSE)</f>
        <v>CORG00191</v>
      </c>
      <c r="L617" t="str">
        <f>VLOOKUP(J617,Organisation!$A$2:$E$499,4,FALSE)</f>
        <v>Academic</v>
      </c>
      <c r="M617" t="s">
        <v>2847</v>
      </c>
      <c r="N617" t="s">
        <v>2848</v>
      </c>
      <c r="O617" t="s">
        <v>1600</v>
      </c>
      <c r="P617" s="3" t="s">
        <v>2849</v>
      </c>
      <c r="Q617" t="s">
        <v>2850</v>
      </c>
      <c r="S617" s="1">
        <v>1</v>
      </c>
      <c r="T617" t="str">
        <f>"Update Collaborator Set Organisation = '"&amp;J617&amp;"' where User_ID = '"&amp;B617&amp;"'; "</f>
        <v xml:space="preserve">Update Collaborator Set Organisation = 'Ufa Institute of Chemistry' where User_ID = 'CU00616'; </v>
      </c>
    </row>
    <row r="618" spans="1:21">
      <c r="A618" t="s">
        <v>10251</v>
      </c>
      <c r="B618" t="s">
        <v>1033</v>
      </c>
      <c r="C618" t="s">
        <v>10540</v>
      </c>
      <c r="D618" t="s">
        <v>1034</v>
      </c>
      <c r="E618" t="s">
        <v>1035</v>
      </c>
      <c r="F618" t="s">
        <v>1036</v>
      </c>
      <c r="G618" t="s">
        <v>1037</v>
      </c>
      <c r="H618">
        <f t="shared" si="9"/>
        <v>1</v>
      </c>
      <c r="I618" t="s">
        <v>136</v>
      </c>
      <c r="J618" t="s">
        <v>865</v>
      </c>
      <c r="K618" t="str">
        <f>VLOOKUP(J618,Organisation!$A$2:$C$499,3,FALSE)</f>
        <v>CORG00262</v>
      </c>
      <c r="L618" t="str">
        <f>VLOOKUP(J618,Organisation!$A$2:$E$499,4,FALSE)</f>
        <v>Academic</v>
      </c>
      <c r="M618" t="s">
        <v>1038</v>
      </c>
      <c r="N618" t="s">
        <v>1039</v>
      </c>
      <c r="O618" t="s">
        <v>408</v>
      </c>
      <c r="P618" s="3" t="s">
        <v>1040</v>
      </c>
      <c r="Q618" t="s">
        <v>1041</v>
      </c>
      <c r="S618" s="1">
        <v>0</v>
      </c>
      <c r="T618" t="str">
        <f>"Update Collaborator Set Organisation = '"&amp;J618&amp;"' where User_ID = '"&amp;B618&amp;"'; "</f>
        <v xml:space="preserve">Update Collaborator Set Organisation = 'University of Porto' where User_ID = 'CU00617'; </v>
      </c>
      <c r="U618" t="str">
        <f>"Update dcollab.collab_user Set Pi = True where User_ID = '"&amp;A618&amp;"'; "</f>
        <v xml:space="preserve">Update dcollab.collab_user Set Pi = True where User_ID = 'CUSR00678'; </v>
      </c>
    </row>
    <row r="619" spans="1:21">
      <c r="A619" t="s">
        <v>10252</v>
      </c>
      <c r="B619" t="s">
        <v>5109</v>
      </c>
      <c r="C619" t="s">
        <v>10540</v>
      </c>
      <c r="D619" t="s">
        <v>2058</v>
      </c>
      <c r="E619" t="s">
        <v>60</v>
      </c>
      <c r="F619" t="s">
        <v>2561</v>
      </c>
      <c r="G619" t="s">
        <v>5110</v>
      </c>
      <c r="H619">
        <f t="shared" si="9"/>
        <v>1</v>
      </c>
      <c r="I619" t="s">
        <v>71</v>
      </c>
      <c r="J619" t="s">
        <v>3356</v>
      </c>
      <c r="K619" t="str">
        <f>VLOOKUP(J619,Organisation!$A$2:$C$499,3,FALSE)</f>
        <v>CORG00277</v>
      </c>
      <c r="L619" t="str">
        <f>VLOOKUP(J619,Organisation!$A$2:$E$499,4,FALSE)</f>
        <v>Academic</v>
      </c>
      <c r="M619" t="s">
        <v>1288</v>
      </c>
      <c r="N619" t="s">
        <v>2060</v>
      </c>
      <c r="O619" t="s">
        <v>8808</v>
      </c>
      <c r="P619" s="3" t="s">
        <v>5111</v>
      </c>
      <c r="Q619" t="s">
        <v>5112</v>
      </c>
      <c r="S619" s="1">
        <v>1</v>
      </c>
      <c r="T619" t="str">
        <f>"Update Collaborator Set Organisation = '"&amp;J619&amp;"' where User_ID = '"&amp;B619&amp;"'; "</f>
        <v xml:space="preserve">Update Collaborator Set Organisation = 'University of the Sciences in Philadelphia' where User_ID = 'CU00618'; </v>
      </c>
      <c r="U619" t="str">
        <f>"Update dcollab.collab_user Set Pi = True where User_ID = '"&amp;A619&amp;"'; "</f>
        <v xml:space="preserve">Update dcollab.collab_user Set Pi = True where User_ID = 'CUSR00679'; </v>
      </c>
    </row>
    <row r="620" spans="1:21">
      <c r="A620" t="s">
        <v>10253</v>
      </c>
      <c r="B620" t="s">
        <v>3420</v>
      </c>
      <c r="D620" t="s">
        <v>2058</v>
      </c>
      <c r="E620" t="s">
        <v>1035</v>
      </c>
      <c r="F620" t="s">
        <v>3421</v>
      </c>
      <c r="G620" t="s">
        <v>3422</v>
      </c>
      <c r="H620">
        <f t="shared" si="9"/>
        <v>1</v>
      </c>
      <c r="I620" t="s">
        <v>241</v>
      </c>
      <c r="J620" t="s">
        <v>3356</v>
      </c>
      <c r="K620" t="str">
        <f>VLOOKUP(J620,Organisation!$A$2:$C$499,3,FALSE)</f>
        <v>CORG00277</v>
      </c>
      <c r="L620" t="str">
        <f>VLOOKUP(J620,Organisation!$A$2:$E$499,4,FALSE)</f>
        <v>Academic</v>
      </c>
      <c r="M620" t="s">
        <v>1288</v>
      </c>
      <c r="N620" t="s">
        <v>2060</v>
      </c>
      <c r="O620" t="s">
        <v>8808</v>
      </c>
      <c r="P620" s="3" t="s">
        <v>3423</v>
      </c>
      <c r="Q620" t="s">
        <v>3424</v>
      </c>
      <c r="S620" s="1">
        <v>1</v>
      </c>
      <c r="T620" t="str">
        <f>"Update Collaborator Set Organisation = '"&amp;J620&amp;"' where User_ID = '"&amp;B620&amp;"'; "</f>
        <v xml:space="preserve">Update Collaborator Set Organisation = 'University of the Sciences in Philadelphia' where User_ID = 'CU00619'; </v>
      </c>
    </row>
    <row r="621" spans="1:21">
      <c r="A621" t="s">
        <v>10254</v>
      </c>
      <c r="B621" t="s">
        <v>2057</v>
      </c>
      <c r="D621" t="s">
        <v>2058</v>
      </c>
      <c r="E621" t="s">
        <v>1035</v>
      </c>
      <c r="F621" t="s">
        <v>983</v>
      </c>
      <c r="G621" t="s">
        <v>2059</v>
      </c>
      <c r="H621">
        <f t="shared" si="9"/>
        <v>1</v>
      </c>
      <c r="I621" t="s">
        <v>1939</v>
      </c>
      <c r="J621" t="s">
        <v>3356</v>
      </c>
      <c r="K621" t="str">
        <f>VLOOKUP(J621,Organisation!$A$2:$C$499,3,FALSE)</f>
        <v>CORG00277</v>
      </c>
      <c r="L621" t="str">
        <f>VLOOKUP(J621,Organisation!$A$2:$E$499,4,FALSE)</f>
        <v>Academic</v>
      </c>
      <c r="M621" t="s">
        <v>1288</v>
      </c>
      <c r="N621" t="s">
        <v>2060</v>
      </c>
      <c r="O621" t="s">
        <v>8808</v>
      </c>
      <c r="Q621" t="s">
        <v>2061</v>
      </c>
      <c r="S621" s="1">
        <v>1</v>
      </c>
      <c r="T621" t="str">
        <f>"Update Collaborator Set Organisation = '"&amp;J621&amp;"' where User_ID = '"&amp;B621&amp;"'; "</f>
        <v xml:space="preserve">Update Collaborator Set Organisation = 'University of the Sciences in Philadelphia' where User_ID = 'CU00620'; </v>
      </c>
    </row>
    <row r="622" spans="1:21">
      <c r="A622" t="s">
        <v>10255</v>
      </c>
      <c r="B622" t="s">
        <v>4491</v>
      </c>
      <c r="C622" t="s">
        <v>10540</v>
      </c>
      <c r="D622" t="s">
        <v>109</v>
      </c>
      <c r="E622" t="s">
        <v>60</v>
      </c>
      <c r="F622" t="s">
        <v>4492</v>
      </c>
      <c r="G622" t="s">
        <v>4493</v>
      </c>
      <c r="H622">
        <f t="shared" si="9"/>
        <v>1</v>
      </c>
      <c r="I622" t="s">
        <v>71</v>
      </c>
      <c r="J622" t="s">
        <v>114</v>
      </c>
      <c r="K622" t="str">
        <f>VLOOKUP(J622,Organisation!$A$2:$C$499,3,FALSE)</f>
        <v>CORG00233</v>
      </c>
      <c r="L622" t="str">
        <f>VLOOKUP(J622,Organisation!$A$2:$E$499,4,FALSE)</f>
        <v>Academic</v>
      </c>
      <c r="M622" t="s">
        <v>115</v>
      </c>
      <c r="N622" t="s">
        <v>116</v>
      </c>
      <c r="O622" t="s">
        <v>8808</v>
      </c>
      <c r="P622" s="3" t="s">
        <v>4494</v>
      </c>
      <c r="Q622" t="s">
        <v>4495</v>
      </c>
      <c r="S622" s="1">
        <v>1</v>
      </c>
      <c r="T622" t="str">
        <f>"Update Collaborator Set Organisation = '"&amp;J622&amp;"' where User_ID = '"&amp;B622&amp;"'; "</f>
        <v xml:space="preserve">Update Collaborator Set Organisation = 'University of Iowa' where User_ID = 'CU00621'; </v>
      </c>
      <c r="U622" t="str">
        <f>"Update dcollab.collab_user Set Pi = True where User_ID = '"&amp;A622&amp;"'; "</f>
        <v xml:space="preserve">Update dcollab.collab_user Set Pi = True where User_ID = 'CUSR00682'; </v>
      </c>
    </row>
    <row r="623" spans="1:21">
      <c r="A623" t="s">
        <v>10256</v>
      </c>
      <c r="B623" t="s">
        <v>108</v>
      </c>
      <c r="D623" t="s">
        <v>109</v>
      </c>
      <c r="E623" t="s">
        <v>110</v>
      </c>
      <c r="F623" t="s">
        <v>111</v>
      </c>
      <c r="G623" t="s">
        <v>112</v>
      </c>
      <c r="H623">
        <f t="shared" si="9"/>
        <v>2</v>
      </c>
      <c r="I623" t="s">
        <v>113</v>
      </c>
      <c r="J623" t="s">
        <v>114</v>
      </c>
      <c r="K623" t="str">
        <f>VLOOKUP(J623,Organisation!$A$2:$C$499,3,FALSE)</f>
        <v>CORG00233</v>
      </c>
      <c r="L623" t="str">
        <f>VLOOKUP(J623,Organisation!$A$2:$E$499,4,FALSE)</f>
        <v>Academic</v>
      </c>
      <c r="M623" t="s">
        <v>115</v>
      </c>
      <c r="N623" t="s">
        <v>116</v>
      </c>
      <c r="O623" t="s">
        <v>8808</v>
      </c>
      <c r="P623" s="3" t="s">
        <v>118</v>
      </c>
      <c r="Q623" t="s">
        <v>119</v>
      </c>
      <c r="S623" s="1">
        <v>1</v>
      </c>
      <c r="T623" t="str">
        <f>"Update Collaborator Set Organisation = '"&amp;J623&amp;"' where User_ID = '"&amp;B623&amp;"'; "</f>
        <v xml:space="preserve">Update Collaborator Set Organisation = 'University of Iowa' where User_ID = 'CU00622'; </v>
      </c>
    </row>
    <row r="624" spans="1:21">
      <c r="A624" t="s">
        <v>10257</v>
      </c>
      <c r="B624" t="s">
        <v>2448</v>
      </c>
      <c r="C624" t="s">
        <v>10540</v>
      </c>
      <c r="D624" t="s">
        <v>2449</v>
      </c>
      <c r="E624" t="s">
        <v>60</v>
      </c>
      <c r="F624" t="s">
        <v>521</v>
      </c>
      <c r="G624" t="s">
        <v>2450</v>
      </c>
      <c r="H624">
        <f t="shared" si="9"/>
        <v>1</v>
      </c>
      <c r="I624" t="s">
        <v>2451</v>
      </c>
      <c r="J624" t="s">
        <v>8761</v>
      </c>
      <c r="K624" t="str">
        <f>VLOOKUP(J624,Organisation!$A$2:$C$499,3,FALSE)</f>
        <v>CORG00072</v>
      </c>
      <c r="L624" t="str">
        <f>VLOOKUP(J624,Organisation!$A$2:$E$499,4,FALSE)</f>
        <v>Academic</v>
      </c>
      <c r="M624" t="s">
        <v>2452</v>
      </c>
      <c r="N624" t="s">
        <v>2453</v>
      </c>
      <c r="O624" t="s">
        <v>557</v>
      </c>
      <c r="P624" s="3" t="s">
        <v>2454</v>
      </c>
      <c r="Q624" t="s">
        <v>2455</v>
      </c>
      <c r="S624" s="1">
        <v>1</v>
      </c>
      <c r="T624" t="str">
        <f>"Update Collaborator Set Organisation = '"&amp;J624&amp;"' where User_ID = '"&amp;B624&amp;"'; "</f>
        <v xml:space="preserve">Update Collaborator Set Organisation = 'Helmholtz Institute for Pharmaceutical Research Saarland' where User_ID = 'CU00623'; </v>
      </c>
      <c r="U624" t="str">
        <f>"Update dcollab.collab_user Set Pi = True where User_ID = '"&amp;A624&amp;"'; "</f>
        <v xml:space="preserve">Update dcollab.collab_user Set Pi = True where User_ID = 'CUSR00684'; </v>
      </c>
    </row>
    <row r="625" spans="1:21">
      <c r="A625" t="s">
        <v>10258</v>
      </c>
      <c r="B625" t="s">
        <v>4585</v>
      </c>
      <c r="D625" t="s">
        <v>2449</v>
      </c>
      <c r="E625" t="s">
        <v>60</v>
      </c>
      <c r="F625" t="s">
        <v>4586</v>
      </c>
      <c r="G625" t="s">
        <v>4587</v>
      </c>
      <c r="H625">
        <f t="shared" si="9"/>
        <v>2</v>
      </c>
      <c r="I625" t="s">
        <v>4588</v>
      </c>
      <c r="J625" t="s">
        <v>8761</v>
      </c>
      <c r="K625" t="str">
        <f>VLOOKUP(J625,Organisation!$A$2:$C$499,3,FALSE)</f>
        <v>CORG00072</v>
      </c>
      <c r="L625" t="str">
        <f>VLOOKUP(J625,Organisation!$A$2:$E$499,4,FALSE)</f>
        <v>Academic</v>
      </c>
      <c r="M625" t="s">
        <v>2452</v>
      </c>
      <c r="N625" t="s">
        <v>2453</v>
      </c>
      <c r="O625" t="s">
        <v>557</v>
      </c>
      <c r="P625" s="3" t="s">
        <v>4588</v>
      </c>
      <c r="Q625" t="s">
        <v>4589</v>
      </c>
      <c r="S625" s="1">
        <v>1</v>
      </c>
      <c r="T625" t="str">
        <f>"Update Collaborator Set Organisation = '"&amp;J625&amp;"' where User_ID = '"&amp;B625&amp;"'; "</f>
        <v xml:space="preserve">Update Collaborator Set Organisation = 'Helmholtz Institute for Pharmaceutical Research Saarland' where User_ID = 'CU00624'; </v>
      </c>
    </row>
    <row r="626" spans="1:21">
      <c r="A626" t="s">
        <v>10259</v>
      </c>
      <c r="B626" t="s">
        <v>300</v>
      </c>
      <c r="C626" t="s">
        <v>10540</v>
      </c>
      <c r="D626" t="s">
        <v>301</v>
      </c>
      <c r="E626" t="s">
        <v>7</v>
      </c>
      <c r="F626" t="s">
        <v>302</v>
      </c>
      <c r="G626" t="s">
        <v>303</v>
      </c>
      <c r="H626">
        <f t="shared" si="9"/>
        <v>1</v>
      </c>
      <c r="I626" t="s">
        <v>304</v>
      </c>
      <c r="J626" t="s">
        <v>305</v>
      </c>
      <c r="K626" t="str">
        <f>VLOOKUP(J626,Organisation!$A$2:$C$499,3,FALSE)</f>
        <v>CORG00149</v>
      </c>
      <c r="L626" t="str">
        <f>VLOOKUP(J626,Organisation!$A$2:$E$499,4,FALSE)</f>
        <v>Academic</v>
      </c>
      <c r="M626" t="s">
        <v>306</v>
      </c>
      <c r="N626" t="s">
        <v>307</v>
      </c>
      <c r="O626" t="s">
        <v>37</v>
      </c>
      <c r="P626" s="3" t="s">
        <v>308</v>
      </c>
      <c r="Q626" t="s">
        <v>309</v>
      </c>
      <c r="S626" s="1">
        <v>1</v>
      </c>
      <c r="T626" t="str">
        <f>"Update Collaborator Set Organisation = '"&amp;J626&amp;"' where User_ID = '"&amp;B626&amp;"'; "</f>
        <v xml:space="preserve">Update Collaborator Set Organisation = 'Omdurman Islamic University' where User_ID = 'CU00625'; </v>
      </c>
      <c r="U626" t="str">
        <f>"Update dcollab.collab_user Set Pi = True where User_ID = '"&amp;A626&amp;"'; "</f>
        <v xml:space="preserve">Update dcollab.collab_user Set Pi = True where User_ID = 'CUSR00686'; </v>
      </c>
    </row>
    <row r="627" spans="1:21">
      <c r="A627" t="s">
        <v>10260</v>
      </c>
      <c r="B627" t="s">
        <v>1953</v>
      </c>
      <c r="D627" t="s">
        <v>1354</v>
      </c>
      <c r="E627" t="s">
        <v>60</v>
      </c>
      <c r="F627" t="s">
        <v>1954</v>
      </c>
      <c r="G627" t="s">
        <v>1955</v>
      </c>
      <c r="H627">
        <f t="shared" si="9"/>
        <v>1</v>
      </c>
      <c r="I627" t="s">
        <v>1356</v>
      </c>
      <c r="J627" t="s">
        <v>1357</v>
      </c>
      <c r="K627" t="str">
        <f>VLOOKUP(J627,Organisation!$A$2:$C$499,3,FALSE)</f>
        <v>CORG00114</v>
      </c>
      <c r="L627" t="str">
        <f>VLOOKUP(J627,Organisation!$A$2:$E$499,4,FALSE)</f>
        <v>Academic</v>
      </c>
      <c r="M627" t="s">
        <v>84</v>
      </c>
      <c r="N627" t="s">
        <v>1358</v>
      </c>
      <c r="O627" t="s">
        <v>8808</v>
      </c>
      <c r="P627" s="3" t="s">
        <v>1956</v>
      </c>
      <c r="Q627" t="s">
        <v>1957</v>
      </c>
      <c r="S627" s="1">
        <v>1</v>
      </c>
      <c r="T627" t="str">
        <f>"Update Collaborator Set Organisation = '"&amp;J627&amp;"' where User_ID = '"&amp;B627&amp;"'; "</f>
        <v xml:space="preserve">Update Collaborator Set Organisation = 'McDaniel College' where User_ID = 'CU00626'; </v>
      </c>
    </row>
    <row r="628" spans="1:21">
      <c r="A628" t="s">
        <v>10261</v>
      </c>
      <c r="B628" t="s">
        <v>3271</v>
      </c>
      <c r="D628" t="s">
        <v>1354</v>
      </c>
      <c r="E628" t="s">
        <v>386</v>
      </c>
      <c r="F628" t="s">
        <v>2525</v>
      </c>
      <c r="G628" t="s">
        <v>3272</v>
      </c>
      <c r="H628">
        <f t="shared" si="9"/>
        <v>1</v>
      </c>
      <c r="I628" t="s">
        <v>3273</v>
      </c>
      <c r="J628" t="s">
        <v>1357</v>
      </c>
      <c r="K628" t="str">
        <f>VLOOKUP(J628,Organisation!$A$2:$C$499,3,FALSE)</f>
        <v>CORG00114</v>
      </c>
      <c r="L628" t="str">
        <f>VLOOKUP(J628,Organisation!$A$2:$E$499,4,FALSE)</f>
        <v>Academic</v>
      </c>
      <c r="M628" t="s">
        <v>84</v>
      </c>
      <c r="N628" t="s">
        <v>1358</v>
      </c>
      <c r="O628" t="s">
        <v>8808</v>
      </c>
      <c r="P628" s="3" t="s">
        <v>3274</v>
      </c>
      <c r="Q628" t="s">
        <v>3275</v>
      </c>
      <c r="S628" s="1">
        <v>1</v>
      </c>
      <c r="T628" t="str">
        <f>"Update Collaborator Set Organisation = '"&amp;J628&amp;"' where User_ID = '"&amp;B628&amp;"'; "</f>
        <v xml:space="preserve">Update Collaborator Set Organisation = 'McDaniel College' where User_ID = 'CU00627'; </v>
      </c>
    </row>
    <row r="629" spans="1:21">
      <c r="A629" t="s">
        <v>10263</v>
      </c>
      <c r="B629" t="s">
        <v>2659</v>
      </c>
      <c r="C629" t="s">
        <v>10540</v>
      </c>
      <c r="D629" t="s">
        <v>2660</v>
      </c>
      <c r="E629" t="s">
        <v>60</v>
      </c>
      <c r="F629" t="s">
        <v>2661</v>
      </c>
      <c r="G629" t="s">
        <v>2662</v>
      </c>
      <c r="H629">
        <f t="shared" si="9"/>
        <v>1</v>
      </c>
      <c r="I629" t="s">
        <v>82</v>
      </c>
      <c r="J629" t="s">
        <v>2663</v>
      </c>
      <c r="K629" t="str">
        <f>VLOOKUP(J629,Organisation!$A$2:$C$499,3,FALSE)</f>
        <v>CORG00171</v>
      </c>
      <c r="L629" t="str">
        <f>VLOOKUP(J629,Organisation!$A$2:$E$499,4,FALSE)</f>
        <v>Academic</v>
      </c>
      <c r="M629" t="s">
        <v>2664</v>
      </c>
      <c r="N629" t="s">
        <v>2665</v>
      </c>
      <c r="O629" t="s">
        <v>211</v>
      </c>
      <c r="P629" s="3" t="s">
        <v>2666</v>
      </c>
      <c r="Q629" t="s">
        <v>2667</v>
      </c>
      <c r="S629" s="1">
        <v>1</v>
      </c>
      <c r="T629" t="str">
        <f>"Update Collaborator Set Organisation = '"&amp;J629&amp;"' where User_ID = '"&amp;B629&amp;"'; "</f>
        <v xml:space="preserve">Update Collaborator Set Organisation = 'Savitribai Phule Pune University' where User_ID = 'CU00628'; </v>
      </c>
      <c r="U629" t="str">
        <f>"Update dcollab.collab_user Set Pi = True where User_ID = '"&amp;A629&amp;"'; "</f>
        <v xml:space="preserve">Update dcollab.collab_user Set Pi = True where User_ID = 'CUSR00690'; </v>
      </c>
    </row>
    <row r="630" spans="1:21">
      <c r="A630" t="s">
        <v>10264</v>
      </c>
      <c r="B630" t="s">
        <v>4275</v>
      </c>
      <c r="D630" t="s">
        <v>2660</v>
      </c>
      <c r="E630" t="s">
        <v>7</v>
      </c>
      <c r="F630" t="s">
        <v>4276</v>
      </c>
      <c r="G630" t="s">
        <v>4277</v>
      </c>
      <c r="H630">
        <f t="shared" si="9"/>
        <v>1</v>
      </c>
      <c r="I630" t="s">
        <v>3960</v>
      </c>
      <c r="J630" t="s">
        <v>2663</v>
      </c>
      <c r="K630" t="str">
        <f>VLOOKUP(J630,Organisation!$A$2:$C$499,3,FALSE)</f>
        <v>CORG00171</v>
      </c>
      <c r="L630" t="str">
        <f>VLOOKUP(J630,Organisation!$A$2:$E$499,4,FALSE)</f>
        <v>Academic</v>
      </c>
      <c r="M630" t="s">
        <v>2664</v>
      </c>
      <c r="N630" t="s">
        <v>2665</v>
      </c>
      <c r="O630" t="s">
        <v>211</v>
      </c>
      <c r="P630" s="3" t="s">
        <v>4278</v>
      </c>
      <c r="Q630" t="s">
        <v>4279</v>
      </c>
      <c r="S630" s="1">
        <v>1</v>
      </c>
      <c r="T630" t="str">
        <f>"Update Collaborator Set Organisation = '"&amp;J630&amp;"' where User_ID = '"&amp;B630&amp;"'; "</f>
        <v xml:space="preserve">Update Collaborator Set Organisation = 'Savitribai Phule Pune University' where User_ID = 'CU00629'; </v>
      </c>
    </row>
    <row r="631" spans="1:21">
      <c r="A631" t="s">
        <v>10266</v>
      </c>
      <c r="B631" t="s">
        <v>4395</v>
      </c>
      <c r="C631" t="s">
        <v>10540</v>
      </c>
      <c r="D631" t="s">
        <v>4396</v>
      </c>
      <c r="E631" t="s">
        <v>60</v>
      </c>
      <c r="F631" t="s">
        <v>3386</v>
      </c>
      <c r="G631" t="s">
        <v>4397</v>
      </c>
      <c r="H631">
        <f t="shared" si="9"/>
        <v>1</v>
      </c>
      <c r="I631" t="s">
        <v>564</v>
      </c>
      <c r="J631" t="s">
        <v>1114</v>
      </c>
      <c r="K631" t="str">
        <f>VLOOKUP(J631,Organisation!$A$2:$C$499,3,FALSE)</f>
        <v>CORG00106</v>
      </c>
      <c r="L631" t="str">
        <f>VLOOKUP(J631,Organisation!$A$2:$E$499,4,FALSE)</f>
        <v>Academic</v>
      </c>
      <c r="M631" t="s">
        <v>4398</v>
      </c>
      <c r="N631" t="s">
        <v>4399</v>
      </c>
      <c r="O631" t="s">
        <v>14</v>
      </c>
      <c r="P631" s="3" t="s">
        <v>4400</v>
      </c>
      <c r="Q631" t="s">
        <v>4401</v>
      </c>
      <c r="S631" s="1">
        <v>1</v>
      </c>
      <c r="T631" t="str">
        <f>"Update Collaborator Set Organisation = '"&amp;J631&amp;"' where User_ID = '"&amp;B631&amp;"'; "</f>
        <v xml:space="preserve">Update Collaborator Set Organisation = 'Macquarie University' where User_ID = 'CU00630'; </v>
      </c>
      <c r="U631" t="str">
        <f>"Update dcollab.collab_user Set Pi = True where User_ID = '"&amp;A631&amp;"'; "</f>
        <v xml:space="preserve">Update dcollab.collab_user Set Pi = True where User_ID = 'CUSR00693'; </v>
      </c>
    </row>
    <row r="632" spans="1:21">
      <c r="A632" t="s">
        <v>9741</v>
      </c>
      <c r="B632" t="s">
        <v>2925</v>
      </c>
      <c r="D632" t="s">
        <v>48</v>
      </c>
      <c r="E632" t="s">
        <v>60</v>
      </c>
      <c r="F632" t="s">
        <v>2926</v>
      </c>
      <c r="G632" t="s">
        <v>2927</v>
      </c>
      <c r="H632">
        <f t="shared" si="9"/>
        <v>1</v>
      </c>
      <c r="I632" t="s">
        <v>2928</v>
      </c>
      <c r="J632" t="s">
        <v>52</v>
      </c>
      <c r="K632" t="str">
        <f>VLOOKUP(J632,Organisation!$A$2:$C$499,3,FALSE)</f>
        <v>CORG00064</v>
      </c>
      <c r="L632" t="str">
        <f>VLOOKUP(J632,Organisation!$A$2:$E$499,4,FALSE)</f>
        <v>Academic</v>
      </c>
      <c r="M632" t="s">
        <v>2929</v>
      </c>
      <c r="N632" t="s">
        <v>2930</v>
      </c>
      <c r="O632" t="s">
        <v>55</v>
      </c>
      <c r="P632" s="3" t="s">
        <v>2931</v>
      </c>
      <c r="Q632" t="s">
        <v>2932</v>
      </c>
      <c r="S632" s="1">
        <v>1</v>
      </c>
      <c r="T632" t="str">
        <f>"Update Collaborator Set Organisation = '"&amp;J632&amp;"' where User_ID = '"&amp;B632&amp;"'; "</f>
        <v xml:space="preserve">Update Collaborator Set Organisation = 'German University in Cairo' where User_ID = 'CU00631'; </v>
      </c>
    </row>
    <row r="633" spans="1:21">
      <c r="A633" t="s">
        <v>10268</v>
      </c>
      <c r="B633" t="s">
        <v>454</v>
      </c>
      <c r="C633" t="s">
        <v>10540</v>
      </c>
      <c r="D633" t="s">
        <v>455</v>
      </c>
      <c r="E633" t="s">
        <v>41</v>
      </c>
      <c r="F633" t="s">
        <v>456</v>
      </c>
      <c r="G633" t="s">
        <v>450</v>
      </c>
      <c r="H633">
        <f t="shared" si="9"/>
        <v>2</v>
      </c>
      <c r="I633" t="s">
        <v>333</v>
      </c>
      <c r="J633" t="s">
        <v>457</v>
      </c>
      <c r="K633" t="str">
        <f>VLOOKUP(J633,Organisation!$A$2:$C$499,3,FALSE)</f>
        <v>CORG00140</v>
      </c>
      <c r="L633" t="str">
        <f>VLOOKUP(J633,Organisation!$A$2:$E$499,4,FALSE)</f>
        <v>Academic</v>
      </c>
      <c r="M633" t="s">
        <v>73</v>
      </c>
      <c r="N633" t="s">
        <v>458</v>
      </c>
      <c r="O633" t="s">
        <v>459</v>
      </c>
      <c r="P633" s="3" t="s">
        <v>460</v>
      </c>
      <c r="Q633" t="s">
        <v>461</v>
      </c>
      <c r="S633" s="1">
        <v>1</v>
      </c>
      <c r="T633" t="str">
        <f>"Update Collaborator Set Organisation = '"&amp;J633&amp;"' where User_ID = '"&amp;B633&amp;"'; "</f>
        <v xml:space="preserve">Update Collaborator Set Organisation = 'National University of Singapore' where User_ID = 'CU00632'; </v>
      </c>
      <c r="U633" t="str">
        <f>"Update dcollab.collab_user Set Pi = True where User_ID = '"&amp;A633&amp;"'; "</f>
        <v xml:space="preserve">Update dcollab.collab_user Set Pi = True where User_ID = 'CUSR00695'; </v>
      </c>
    </row>
    <row r="634" spans="1:21">
      <c r="A634" t="s">
        <v>10301</v>
      </c>
      <c r="B634" t="s">
        <v>394</v>
      </c>
      <c r="C634" t="s">
        <v>10540</v>
      </c>
      <c r="D634" t="s">
        <v>395</v>
      </c>
      <c r="E634" t="s">
        <v>60</v>
      </c>
      <c r="F634" t="s">
        <v>396</v>
      </c>
      <c r="G634" t="s">
        <v>397</v>
      </c>
      <c r="H634">
        <f t="shared" si="9"/>
        <v>1</v>
      </c>
      <c r="I634" t="s">
        <v>71</v>
      </c>
      <c r="J634" t="s">
        <v>398</v>
      </c>
      <c r="K634" t="str">
        <f>VLOOKUP(J634,Organisation!$A$2:$C$499,3,FALSE)</f>
        <v>CORG00198</v>
      </c>
      <c r="L634" t="str">
        <f>VLOOKUP(J634,Organisation!$A$2:$E$499,4,FALSE)</f>
        <v>Academic</v>
      </c>
      <c r="M634" t="s">
        <v>84</v>
      </c>
      <c r="N634" t="s">
        <v>399</v>
      </c>
      <c r="O634" t="s">
        <v>234</v>
      </c>
      <c r="P634" s="3" t="s">
        <v>400</v>
      </c>
      <c r="Q634" t="s">
        <v>401</v>
      </c>
      <c r="S634" s="1">
        <v>1</v>
      </c>
      <c r="T634" t="str">
        <f>"Update Collaborator Set Organisation = '"&amp;J634&amp;"' where User_ID = '"&amp;B634&amp;"'; "</f>
        <v xml:space="preserve">Update Collaborator Set Organisation = 'Universidade Federal de Vicosa' where User_ID = 'CU00633'; </v>
      </c>
      <c r="U634" t="str">
        <f>"Update dcollab.collab_user Set Pi = True where User_ID = '"&amp;A634&amp;"'; "</f>
        <v xml:space="preserve">Update dcollab.collab_user Set Pi = True where User_ID = 'CUSR00728'; </v>
      </c>
    </row>
    <row r="635" spans="1:21">
      <c r="A635" t="s">
        <v>10271</v>
      </c>
      <c r="B635" t="s">
        <v>4097</v>
      </c>
      <c r="C635" t="s">
        <v>10540</v>
      </c>
      <c r="D635" t="s">
        <v>2808</v>
      </c>
      <c r="E635" t="s">
        <v>60</v>
      </c>
      <c r="F635" t="s">
        <v>4098</v>
      </c>
      <c r="G635" t="s">
        <v>4099</v>
      </c>
      <c r="H635">
        <f t="shared" si="9"/>
        <v>1</v>
      </c>
      <c r="I635" t="s">
        <v>4100</v>
      </c>
      <c r="J635" t="s">
        <v>2811</v>
      </c>
      <c r="K635" t="str">
        <f>VLOOKUP(J635,Organisation!$A$2:$C$499,3,FALSE)</f>
        <v>CORG00187</v>
      </c>
      <c r="L635" t="str">
        <f>VLOOKUP(J635,Organisation!$A$2:$E$499,4,FALSE)</f>
        <v>Academic</v>
      </c>
      <c r="M635" t="s">
        <v>84</v>
      </c>
      <c r="N635" t="s">
        <v>4101</v>
      </c>
      <c r="O635" t="s">
        <v>8808</v>
      </c>
      <c r="P635" s="3" t="s">
        <v>4102</v>
      </c>
      <c r="Q635" t="s">
        <v>4103</v>
      </c>
      <c r="S635" s="1">
        <v>1</v>
      </c>
      <c r="T635" t="str">
        <f>"Update Collaborator Set Organisation = '"&amp;J635&amp;"' where User_ID = '"&amp;B635&amp;"'; "</f>
        <v xml:space="preserve">Update Collaborator Set Organisation = 'Tennessee State University' where User_ID = 'CU00634'; </v>
      </c>
      <c r="U635" t="str">
        <f>"Update dcollab.collab_user Set Pi = True where User_ID = '"&amp;A635&amp;"'; "</f>
        <v xml:space="preserve">Update dcollab.collab_user Set Pi = True where User_ID = 'CUSR00698'; </v>
      </c>
    </row>
    <row r="636" spans="1:21">
      <c r="A636" t="s">
        <v>10272</v>
      </c>
      <c r="B636" t="s">
        <v>2807</v>
      </c>
      <c r="D636" t="s">
        <v>2808</v>
      </c>
      <c r="E636" t="s">
        <v>60</v>
      </c>
      <c r="F636" t="s">
        <v>312</v>
      </c>
      <c r="G636" t="s">
        <v>2809</v>
      </c>
      <c r="H636">
        <f t="shared" si="9"/>
        <v>1</v>
      </c>
      <c r="I636" t="s">
        <v>2810</v>
      </c>
      <c r="J636" t="s">
        <v>2811</v>
      </c>
      <c r="K636" t="str">
        <f>VLOOKUP(J636,Organisation!$A$2:$C$499,3,FALSE)</f>
        <v>CORG00187</v>
      </c>
      <c r="L636" t="str">
        <f>VLOOKUP(J636,Organisation!$A$2:$E$499,4,FALSE)</f>
        <v>Academic</v>
      </c>
      <c r="M636" t="s">
        <v>84</v>
      </c>
      <c r="N636" t="s">
        <v>2812</v>
      </c>
      <c r="O636" t="s">
        <v>8808</v>
      </c>
      <c r="P636" s="3" t="s">
        <v>2813</v>
      </c>
      <c r="Q636" t="s">
        <v>2814</v>
      </c>
      <c r="S636" s="1">
        <v>1</v>
      </c>
      <c r="T636" t="str">
        <f>"Update Collaborator Set Organisation = '"&amp;J636&amp;"' where User_ID = '"&amp;B636&amp;"'; "</f>
        <v xml:space="preserve">Update Collaborator Set Organisation = 'Tennessee State University' where User_ID = 'CU00635'; </v>
      </c>
    </row>
    <row r="637" spans="1:21">
      <c r="A637" t="s">
        <v>10273</v>
      </c>
      <c r="B637" t="s">
        <v>1572</v>
      </c>
      <c r="C637" t="s">
        <v>10540</v>
      </c>
      <c r="D637" t="s">
        <v>1573</v>
      </c>
      <c r="E637" t="s">
        <v>7</v>
      </c>
      <c r="F637" t="s">
        <v>1574</v>
      </c>
      <c r="G637" t="s">
        <v>1575</v>
      </c>
      <c r="H637">
        <f t="shared" si="9"/>
        <v>1</v>
      </c>
      <c r="I637" t="s">
        <v>207</v>
      </c>
      <c r="J637" t="s">
        <v>362</v>
      </c>
      <c r="K637" t="str">
        <f>VLOOKUP(J637,Organisation!$A$2:$C$499,3,FALSE)</f>
        <v>CORG00001</v>
      </c>
      <c r="L637" t="str">
        <f>VLOOKUP(J637,Organisation!$A$2:$E$499,4,FALSE)</f>
        <v>Academic</v>
      </c>
      <c r="M637" t="s">
        <v>1576</v>
      </c>
      <c r="N637" t="s">
        <v>1577</v>
      </c>
      <c r="O637" t="s">
        <v>14</v>
      </c>
      <c r="P637" s="3" t="s">
        <v>1578</v>
      </c>
      <c r="Q637" t="s">
        <v>1579</v>
      </c>
      <c r="S637" s="1">
        <v>1</v>
      </c>
      <c r="T637" t="str">
        <f>"Update Collaborator Set Organisation = '"&amp;J637&amp;"' where User_ID = '"&amp;B637&amp;"'; "</f>
        <v xml:space="preserve">Update Collaborator Set Organisation = 'University of Queensland' where User_ID = 'CU00636'; </v>
      </c>
      <c r="U637" t="str">
        <f>"Update dcollab.collab_user Set Pi = True where User_ID = '"&amp;A637&amp;"'; "</f>
        <v xml:space="preserve">Update dcollab.collab_user Set Pi = True where User_ID = 'CUSR00700'; </v>
      </c>
    </row>
    <row r="638" spans="1:21">
      <c r="A638" t="s">
        <v>10274</v>
      </c>
      <c r="B638" t="s">
        <v>3886</v>
      </c>
      <c r="C638" t="s">
        <v>10540</v>
      </c>
      <c r="D638" t="s">
        <v>439</v>
      </c>
      <c r="E638" t="s">
        <v>60</v>
      </c>
      <c r="F638" t="s">
        <v>1308</v>
      </c>
      <c r="G638" t="s">
        <v>3887</v>
      </c>
      <c r="H638">
        <f t="shared" si="9"/>
        <v>1</v>
      </c>
      <c r="I638" t="s">
        <v>190</v>
      </c>
      <c r="J638" t="s">
        <v>5802</v>
      </c>
      <c r="K638" t="str">
        <f>VLOOKUP(J638,Organisation!$A$2:$C$499,3,FALSE)</f>
        <v>CORG00291</v>
      </c>
      <c r="L638" t="str">
        <f>VLOOKUP(J638,Organisation!$A$2:$E$499,4,FALSE)</f>
        <v>Academic</v>
      </c>
      <c r="M638" t="s">
        <v>443</v>
      </c>
      <c r="N638" t="s">
        <v>444</v>
      </c>
      <c r="O638" t="s">
        <v>8808</v>
      </c>
      <c r="P638" s="3" t="s">
        <v>3888</v>
      </c>
      <c r="Q638" t="s">
        <v>3889</v>
      </c>
      <c r="S638" s="1">
        <v>1</v>
      </c>
      <c r="T638" t="str">
        <f>"Update Collaborator Set Organisation = '"&amp;J638&amp;"' where User_ID = '"&amp;B638&amp;"'; "</f>
        <v xml:space="preserve">Update Collaborator Set Organisation = 'University of Wisconsin River Falls' where User_ID = 'CU00637'; </v>
      </c>
      <c r="U638" t="str">
        <f>"Update dcollab.collab_user Set Pi = True where User_ID = '"&amp;A638&amp;"'; "</f>
        <v xml:space="preserve">Update dcollab.collab_user Set Pi = True where User_ID = 'CUSR00701'; </v>
      </c>
    </row>
    <row r="639" spans="1:21">
      <c r="A639" t="s">
        <v>10275</v>
      </c>
      <c r="B639" t="s">
        <v>438</v>
      </c>
      <c r="D639" t="s">
        <v>439</v>
      </c>
      <c r="E639" t="s">
        <v>7</v>
      </c>
      <c r="F639" t="s">
        <v>440</v>
      </c>
      <c r="G639" t="s">
        <v>441</v>
      </c>
      <c r="H639">
        <f t="shared" si="9"/>
        <v>1</v>
      </c>
      <c r="I639" t="s">
        <v>442</v>
      </c>
      <c r="J639" t="s">
        <v>5802</v>
      </c>
      <c r="K639" t="str">
        <f>VLOOKUP(J639,Organisation!$A$2:$C$499,3,FALSE)</f>
        <v>CORG00291</v>
      </c>
      <c r="L639" t="str">
        <f>VLOOKUP(J639,Organisation!$A$2:$E$499,4,FALSE)</f>
        <v>Academic</v>
      </c>
      <c r="M639" t="s">
        <v>443</v>
      </c>
      <c r="N639" t="s">
        <v>444</v>
      </c>
      <c r="O639" t="s">
        <v>8808</v>
      </c>
      <c r="P639" s="3" t="s">
        <v>445</v>
      </c>
      <c r="Q639" t="s">
        <v>446</v>
      </c>
      <c r="S639" s="1">
        <v>1</v>
      </c>
      <c r="T639" t="str">
        <f>"Update Collaborator Set Organisation = '"&amp;J639&amp;"' where User_ID = '"&amp;B639&amp;"'; "</f>
        <v xml:space="preserve">Update Collaborator Set Organisation = 'University of Wisconsin River Falls' where User_ID = 'CU00638'; </v>
      </c>
    </row>
    <row r="640" spans="1:21">
      <c r="A640" t="s">
        <v>10276</v>
      </c>
      <c r="B640" t="s">
        <v>1163</v>
      </c>
      <c r="D640" t="s">
        <v>1164</v>
      </c>
      <c r="F640" t="s">
        <v>1165</v>
      </c>
      <c r="G640" t="s">
        <v>1144</v>
      </c>
      <c r="H640">
        <f t="shared" si="9"/>
        <v>4</v>
      </c>
      <c r="I640" t="s">
        <v>1166</v>
      </c>
      <c r="J640" t="s">
        <v>582</v>
      </c>
      <c r="K640" t="str">
        <f>VLOOKUP(J640,Organisation!$A$2:$C$499,3,FALSE)</f>
        <v>CORG00172</v>
      </c>
      <c r="L640" t="str">
        <f>VLOOKUP(J640,Organisation!$A$2:$E$499,4,FALSE)</f>
        <v>Academic</v>
      </c>
      <c r="M640" t="s">
        <v>1167</v>
      </c>
      <c r="N640" t="s">
        <v>1168</v>
      </c>
      <c r="O640" t="s">
        <v>8808</v>
      </c>
      <c r="P640" s="3" t="s">
        <v>1169</v>
      </c>
      <c r="Q640" t="s">
        <v>1170</v>
      </c>
      <c r="S640" s="1">
        <v>1</v>
      </c>
      <c r="T640" t="str">
        <f>"Update Collaborator Set Organisation = '"&amp;J640&amp;"' where User_ID = '"&amp;B640&amp;"'; "</f>
        <v xml:space="preserve">Update Collaborator Set Organisation = 'Scripps Research Institute' where User_ID = 'CU00639'; </v>
      </c>
    </row>
    <row r="641" spans="1:21">
      <c r="A641" t="s">
        <v>10277</v>
      </c>
      <c r="B641" t="s">
        <v>2582</v>
      </c>
      <c r="C641" t="s">
        <v>10540</v>
      </c>
      <c r="D641" t="s">
        <v>1164</v>
      </c>
      <c r="E641" t="s">
        <v>60</v>
      </c>
      <c r="F641" t="s">
        <v>958</v>
      </c>
      <c r="G641" t="s">
        <v>2583</v>
      </c>
      <c r="H641">
        <f t="shared" si="9"/>
        <v>1</v>
      </c>
      <c r="I641" t="s">
        <v>2584</v>
      </c>
      <c r="J641" t="s">
        <v>582</v>
      </c>
      <c r="K641" t="str">
        <f>VLOOKUP(J641,Organisation!$A$2:$C$499,3,FALSE)</f>
        <v>CORG00172</v>
      </c>
      <c r="L641" t="str">
        <f>VLOOKUP(J641,Organisation!$A$2:$E$499,4,FALSE)</f>
        <v>Academic</v>
      </c>
      <c r="M641" t="s">
        <v>1167</v>
      </c>
      <c r="N641" t="s">
        <v>1168</v>
      </c>
      <c r="O641" t="s">
        <v>8808</v>
      </c>
      <c r="P641" s="3" t="s">
        <v>2585</v>
      </c>
      <c r="Q641" t="s">
        <v>2586</v>
      </c>
      <c r="S641" s="1">
        <v>1</v>
      </c>
      <c r="T641" t="str">
        <f>"Update Collaborator Set Organisation = '"&amp;J641&amp;"' where User_ID = '"&amp;B641&amp;"'; "</f>
        <v xml:space="preserve">Update Collaborator Set Organisation = 'Scripps Research Institute' where User_ID = 'CU00640'; </v>
      </c>
      <c r="U641" t="str">
        <f>"Update dcollab.collab_user Set Pi = True where User_ID = '"&amp;A641&amp;"'; "</f>
        <v xml:space="preserve">Update dcollab.collab_user Set Pi = True where User_ID = 'CUSR00704'; </v>
      </c>
    </row>
    <row r="642" spans="1:21">
      <c r="A642" t="s">
        <v>9961</v>
      </c>
      <c r="B642" t="s">
        <v>5263</v>
      </c>
      <c r="D642" t="s">
        <v>743</v>
      </c>
      <c r="E642" t="s">
        <v>110</v>
      </c>
      <c r="F642" t="s">
        <v>5264</v>
      </c>
      <c r="G642" t="s">
        <v>5265</v>
      </c>
      <c r="H642">
        <f t="shared" ref="H642:H705" si="10">COUNTIF($G$2:$G$900,G642)</f>
        <v>4</v>
      </c>
      <c r="I642" t="s">
        <v>136</v>
      </c>
      <c r="J642" t="s">
        <v>746</v>
      </c>
      <c r="K642" t="str">
        <f>VLOOKUP(J642,Organisation!$A$2:$C$499,3,FALSE)</f>
        <v>CORG00311</v>
      </c>
      <c r="L642" t="str">
        <f>VLOOKUP(J642,Organisation!$A$2:$E$499,4,FALSE)</f>
        <v>Academic</v>
      </c>
      <c r="M642" t="s">
        <v>435</v>
      </c>
      <c r="N642" t="s">
        <v>747</v>
      </c>
      <c r="O642" t="s">
        <v>748</v>
      </c>
      <c r="P642" s="3" t="s">
        <v>5266</v>
      </c>
      <c r="Q642" t="s">
        <v>5267</v>
      </c>
      <c r="S642" s="1">
        <v>1</v>
      </c>
      <c r="T642" t="str">
        <f>"Update Collaborator Set Organisation = '"&amp;J642&amp;"' where User_ID = '"&amp;B642&amp;"'; "</f>
        <v xml:space="preserve">Update Collaborator Set Organisation = 'Yantai University' where User_ID = 'CU00641'; </v>
      </c>
    </row>
    <row r="643" spans="1:21">
      <c r="A643" t="s">
        <v>10128</v>
      </c>
      <c r="B643" t="s">
        <v>494</v>
      </c>
      <c r="C643" t="s">
        <v>10540</v>
      </c>
      <c r="D643" t="s">
        <v>495</v>
      </c>
      <c r="E643" t="s">
        <v>60</v>
      </c>
      <c r="F643" t="s">
        <v>496</v>
      </c>
      <c r="G643" t="s">
        <v>497</v>
      </c>
      <c r="H643">
        <f t="shared" si="10"/>
        <v>1</v>
      </c>
      <c r="I643" t="s">
        <v>498</v>
      </c>
      <c r="J643" t="s">
        <v>499</v>
      </c>
      <c r="K643" t="str">
        <f>VLOOKUP(J643,Organisation!$A$2:$C$499,3,FALSE)</f>
        <v>CORG00256</v>
      </c>
      <c r="L643" t="str">
        <f>VLOOKUP(J643,Organisation!$A$2:$E$499,4,FALSE)</f>
        <v>Academic</v>
      </c>
      <c r="M643" t="s">
        <v>500</v>
      </c>
      <c r="N643" t="s">
        <v>501</v>
      </c>
      <c r="O643" t="s">
        <v>8808</v>
      </c>
      <c r="P643" s="3" t="s">
        <v>502</v>
      </c>
      <c r="Q643" t="s">
        <v>503</v>
      </c>
      <c r="S643" s="1">
        <v>1</v>
      </c>
      <c r="T643" t="str">
        <f>"Update Collaborator Set Organisation = '"&amp;J643&amp;"' where User_ID = '"&amp;B643&amp;"'; "</f>
        <v xml:space="preserve">Update Collaborator Set Organisation = 'University of North Carolina at Chapel Hill' where User_ID = 'CU00642'; </v>
      </c>
      <c r="U643" t="str">
        <f>"Update dcollab.collab_user Set Pi = True where User_ID = '"&amp;A643&amp;"'; "</f>
        <v xml:space="preserve">Update dcollab.collab_user Set Pi = True where User_ID = 'CUSR00543'; </v>
      </c>
    </row>
    <row r="644" spans="1:21">
      <c r="A644" t="s">
        <v>10278</v>
      </c>
      <c r="B644" t="s">
        <v>5130</v>
      </c>
      <c r="C644" t="s">
        <v>10540</v>
      </c>
      <c r="D644" t="s">
        <v>2650</v>
      </c>
      <c r="E644" t="s">
        <v>60</v>
      </c>
      <c r="F644" t="s">
        <v>5131</v>
      </c>
      <c r="G644" t="s">
        <v>5132</v>
      </c>
      <c r="H644">
        <f t="shared" si="10"/>
        <v>1</v>
      </c>
      <c r="I644" t="s">
        <v>5133</v>
      </c>
      <c r="J644" t="s">
        <v>8756</v>
      </c>
      <c r="K644" t="str">
        <f>VLOOKUP(J644,Organisation!$A$2:$C$499,3,FALSE)</f>
        <v>CORG00042</v>
      </c>
      <c r="L644" t="str">
        <f>VLOOKUP(J644,Organisation!$A$2:$E$499,4,FALSE)</f>
        <v>Academic</v>
      </c>
      <c r="M644" t="s">
        <v>2655</v>
      </c>
      <c r="N644" t="s">
        <v>5134</v>
      </c>
      <c r="O644" t="s">
        <v>609</v>
      </c>
      <c r="P644" s="3" t="s">
        <v>5135</v>
      </c>
      <c r="Q644" t="s">
        <v>5136</v>
      </c>
      <c r="S644" s="1">
        <v>1</v>
      </c>
      <c r="T644" t="str">
        <f>"Update Collaborator Set Organisation = '"&amp;J644&amp;"' where User_ID = '"&amp;B644&amp;"'; "</f>
        <v xml:space="preserve">Update Collaborator Set Organisation = 'Council for Scientific and Industrial Research' where User_ID = 'CU00643'; </v>
      </c>
      <c r="U644" t="str">
        <f>"Update dcollab.collab_user Set Pi = True where User_ID = '"&amp;A644&amp;"'; "</f>
        <v xml:space="preserve">Update dcollab.collab_user Set Pi = True where User_ID = 'CUSR00705'; </v>
      </c>
    </row>
    <row r="645" spans="1:21">
      <c r="A645" t="s">
        <v>10279</v>
      </c>
      <c r="B645" t="s">
        <v>2649</v>
      </c>
      <c r="D645" t="s">
        <v>2650</v>
      </c>
      <c r="E645" t="s">
        <v>110</v>
      </c>
      <c r="F645" t="s">
        <v>2651</v>
      </c>
      <c r="G645" t="s">
        <v>2652</v>
      </c>
      <c r="H645">
        <f t="shared" si="10"/>
        <v>1</v>
      </c>
      <c r="I645" t="s">
        <v>2653</v>
      </c>
      <c r="J645" t="s">
        <v>8756</v>
      </c>
      <c r="K645" t="str">
        <f>VLOOKUP(J645,Organisation!$A$2:$C$499,3,FALSE)</f>
        <v>CORG00042</v>
      </c>
      <c r="L645" t="str">
        <f>VLOOKUP(J645,Organisation!$A$2:$E$499,4,FALSE)</f>
        <v>Academic</v>
      </c>
      <c r="M645" t="s">
        <v>2655</v>
      </c>
      <c r="N645" t="s">
        <v>2656</v>
      </c>
      <c r="O645" t="s">
        <v>609</v>
      </c>
      <c r="P645" s="3" t="s">
        <v>2657</v>
      </c>
      <c r="Q645" t="s">
        <v>2658</v>
      </c>
      <c r="S645" s="1">
        <v>1</v>
      </c>
      <c r="T645" t="str">
        <f>"Update Collaborator Set Organisation = '"&amp;J645&amp;"' where User_ID = '"&amp;B645&amp;"'; "</f>
        <v xml:space="preserve">Update Collaborator Set Organisation = 'Council for Scientific and Industrial Research' where User_ID = 'CU00644'; </v>
      </c>
    </row>
    <row r="646" spans="1:21">
      <c r="A646" t="s">
        <v>10280</v>
      </c>
      <c r="B646" t="s">
        <v>4125</v>
      </c>
      <c r="D646" t="s">
        <v>2650</v>
      </c>
      <c r="E646" t="s">
        <v>60</v>
      </c>
      <c r="F646" t="s">
        <v>4126</v>
      </c>
      <c r="G646" t="s">
        <v>4127</v>
      </c>
      <c r="H646">
        <f t="shared" si="10"/>
        <v>1</v>
      </c>
      <c r="I646" t="s">
        <v>4128</v>
      </c>
      <c r="J646" t="s">
        <v>8756</v>
      </c>
      <c r="K646" t="str">
        <f>VLOOKUP(J646,Organisation!$A$2:$C$499,3,FALSE)</f>
        <v>CORG00042</v>
      </c>
      <c r="L646" t="str">
        <f>VLOOKUP(J646,Organisation!$A$2:$E$499,4,FALSE)</f>
        <v>Academic</v>
      </c>
      <c r="M646" t="s">
        <v>2655</v>
      </c>
      <c r="N646" t="s">
        <v>2656</v>
      </c>
      <c r="O646" t="s">
        <v>609</v>
      </c>
      <c r="P646" s="3" t="s">
        <v>4129</v>
      </c>
      <c r="Q646" t="s">
        <v>4130</v>
      </c>
      <c r="S646" s="1">
        <v>1</v>
      </c>
      <c r="T646" t="str">
        <f>"Update Collaborator Set Organisation = '"&amp;J646&amp;"' where User_ID = '"&amp;B646&amp;"'; "</f>
        <v xml:space="preserve">Update Collaborator Set Organisation = 'Council for Scientific and Industrial Research' where User_ID = 'CU00645'; </v>
      </c>
    </row>
    <row r="647" spans="1:21">
      <c r="A647" t="s">
        <v>10281</v>
      </c>
      <c r="B647" t="s">
        <v>1740</v>
      </c>
      <c r="C647" t="s">
        <v>10540</v>
      </c>
      <c r="D647" t="s">
        <v>1741</v>
      </c>
      <c r="E647" t="s">
        <v>60</v>
      </c>
      <c r="F647" t="s">
        <v>1044</v>
      </c>
      <c r="G647" t="s">
        <v>1742</v>
      </c>
      <c r="H647">
        <f t="shared" si="10"/>
        <v>1</v>
      </c>
      <c r="I647" t="s">
        <v>1743</v>
      </c>
      <c r="J647" t="s">
        <v>1744</v>
      </c>
      <c r="K647" t="str">
        <f>VLOOKUP(J647,Organisation!$A$2:$C$499,3,FALSE)</f>
        <v>CORG00153</v>
      </c>
      <c r="L647" t="str">
        <f>VLOOKUP(J647,Organisation!$A$2:$E$499,4,FALSE)</f>
        <v>Academic</v>
      </c>
      <c r="M647" t="s">
        <v>1492</v>
      </c>
      <c r="N647" t="s">
        <v>1745</v>
      </c>
      <c r="O647" t="s">
        <v>8808</v>
      </c>
      <c r="P647" s="3" t="s">
        <v>1746</v>
      </c>
      <c r="Q647" t="s">
        <v>1747</v>
      </c>
      <c r="S647" s="1">
        <v>1</v>
      </c>
      <c r="T647" t="str">
        <f>"Update Collaborator Set Organisation = '"&amp;J647&amp;"' where User_ID = '"&amp;B647&amp;"'; "</f>
        <v xml:space="preserve">Update Collaborator Set Organisation = 'Penn State Behrend' where User_ID = 'CU00646'; </v>
      </c>
      <c r="U647" t="str">
        <f>"Update dcollab.collab_user Set Pi = True where User_ID = '"&amp;A647&amp;"'; "</f>
        <v xml:space="preserve">Update dcollab.collab_user Set Pi = True where User_ID = 'CUSR00708'; </v>
      </c>
    </row>
    <row r="648" spans="1:21">
      <c r="A648" t="s">
        <v>10282</v>
      </c>
      <c r="B648" t="s">
        <v>10541</v>
      </c>
      <c r="C648" t="s">
        <v>10540</v>
      </c>
      <c r="D648" t="s">
        <v>949</v>
      </c>
      <c r="E648" t="s">
        <v>60</v>
      </c>
      <c r="F648" t="s">
        <v>950</v>
      </c>
      <c r="G648" t="s">
        <v>951</v>
      </c>
      <c r="H648">
        <f t="shared" si="10"/>
        <v>2</v>
      </c>
      <c r="I648" t="s">
        <v>956</v>
      </c>
      <c r="J648" t="s">
        <v>952</v>
      </c>
      <c r="K648" t="str">
        <f>VLOOKUP(J648,Organisation!$A$2:$C$499,3,FALSE)</f>
        <v>CORG00240</v>
      </c>
      <c r="L648" t="str">
        <f>VLOOKUP(J648,Organisation!$A$2:$E$499,4,FALSE)</f>
        <v>Academic</v>
      </c>
      <c r="M648" t="s">
        <v>84</v>
      </c>
      <c r="N648" t="s">
        <v>953</v>
      </c>
      <c r="O648" t="s">
        <v>8808</v>
      </c>
      <c r="P648" s="3" t="s">
        <v>954</v>
      </c>
      <c r="Q648" t="s">
        <v>955</v>
      </c>
      <c r="S648" s="1">
        <v>1</v>
      </c>
      <c r="T648" t="str">
        <f>"Update Collaborator Set Organisation = '"&amp;J648&amp;"' where User_ID = '"&amp;B648&amp;"'; "</f>
        <v xml:space="preserve">Update Collaborator Set Organisation = 'University of Maine' where User_ID = 'CU00648; CU00647'; </v>
      </c>
      <c r="U648" t="str">
        <f>"Update dcollab.collab_user Set Pi = True where User_ID = '"&amp;A648&amp;"'; "</f>
        <v xml:space="preserve">Update dcollab.collab_user Set Pi = True where User_ID = 'CUSR00709'; </v>
      </c>
    </row>
    <row r="649" spans="1:21">
      <c r="A649" t="s">
        <v>10283</v>
      </c>
      <c r="B649" t="s">
        <v>957</v>
      </c>
      <c r="D649" t="s">
        <v>949</v>
      </c>
      <c r="E649" t="s">
        <v>60</v>
      </c>
      <c r="F649" t="s">
        <v>958</v>
      </c>
      <c r="G649" t="s">
        <v>951</v>
      </c>
      <c r="H649">
        <f t="shared" si="10"/>
        <v>2</v>
      </c>
      <c r="I649" t="s">
        <v>959</v>
      </c>
      <c r="J649" t="s">
        <v>952</v>
      </c>
      <c r="K649" t="str">
        <f>VLOOKUP(J649,Organisation!$A$2:$C$499,3,FALSE)</f>
        <v>CORG00240</v>
      </c>
      <c r="L649" t="str">
        <f>VLOOKUP(J649,Organisation!$A$2:$E$499,4,FALSE)</f>
        <v>Academic</v>
      </c>
      <c r="M649" t="s">
        <v>84</v>
      </c>
      <c r="N649" t="s">
        <v>953</v>
      </c>
      <c r="O649" t="s">
        <v>8808</v>
      </c>
      <c r="P649" s="3" t="s">
        <v>960</v>
      </c>
      <c r="Q649" t="s">
        <v>961</v>
      </c>
      <c r="S649" s="1">
        <v>1</v>
      </c>
      <c r="T649" t="str">
        <f>"Update Collaborator Set Organisation = '"&amp;J649&amp;"' where User_ID = '"&amp;B649&amp;"'; "</f>
        <v xml:space="preserve">Update Collaborator Set Organisation = 'University of Maine' where User_ID = 'CU00649'; </v>
      </c>
    </row>
    <row r="650" spans="1:21">
      <c r="A650" t="s">
        <v>10284</v>
      </c>
      <c r="B650" t="s">
        <v>98</v>
      </c>
      <c r="C650" t="s">
        <v>10540</v>
      </c>
      <c r="D650" t="s">
        <v>99</v>
      </c>
      <c r="E650" t="s">
        <v>18</v>
      </c>
      <c r="F650" t="s">
        <v>100</v>
      </c>
      <c r="G650" t="s">
        <v>101</v>
      </c>
      <c r="H650">
        <f t="shared" si="10"/>
        <v>1</v>
      </c>
      <c r="I650" t="s">
        <v>102</v>
      </c>
      <c r="J650" t="s">
        <v>8775</v>
      </c>
      <c r="K650" t="str">
        <f>VLOOKUP(J650,Organisation!$A$2:$C$499,3,FALSE)</f>
        <v>CORG00128</v>
      </c>
      <c r="L650" t="str">
        <f>VLOOKUP(J650,Organisation!$A$2:$E$499,4,FALSE)</f>
        <v>Academic</v>
      </c>
      <c r="M650" t="s">
        <v>104</v>
      </c>
      <c r="N650" t="s">
        <v>105</v>
      </c>
      <c r="O650" t="s">
        <v>55</v>
      </c>
      <c r="P650" s="3" t="s">
        <v>106</v>
      </c>
      <c r="Q650" t="s">
        <v>107</v>
      </c>
      <c r="S650" s="1">
        <v>1</v>
      </c>
      <c r="T650" t="str">
        <f>"Update Collaborator Set Organisation = '"&amp;J650&amp;"' where User_ID = '"&amp;B650&amp;"'; "</f>
        <v xml:space="preserve">Update Collaborator Set Organisation = 'Nahda University Beni Suef' where User_ID = 'CU00650'; </v>
      </c>
      <c r="U650" t="str">
        <f>"Update dcollab.collab_user Set Pi = True where User_ID = '"&amp;A650&amp;"'; "</f>
        <v xml:space="preserve">Update dcollab.collab_user Set Pi = True where User_ID = 'CUSR00711'; </v>
      </c>
    </row>
    <row r="651" spans="1:21">
      <c r="A651" t="s">
        <v>10285</v>
      </c>
      <c r="B651" t="s">
        <v>120</v>
      </c>
      <c r="D651" t="s">
        <v>99</v>
      </c>
      <c r="E651" t="s">
        <v>41</v>
      </c>
      <c r="F651" t="s">
        <v>90</v>
      </c>
      <c r="G651" t="s">
        <v>112</v>
      </c>
      <c r="H651">
        <f t="shared" si="10"/>
        <v>2</v>
      </c>
      <c r="I651" t="s">
        <v>71</v>
      </c>
      <c r="J651" t="s">
        <v>8775</v>
      </c>
      <c r="K651" t="str">
        <f>VLOOKUP(J651,Organisation!$A$2:$C$499,3,FALSE)</f>
        <v>CORG00128</v>
      </c>
      <c r="L651" t="str">
        <f>VLOOKUP(J651,Organisation!$A$2:$E$499,4,FALSE)</f>
        <v>Academic</v>
      </c>
      <c r="M651" t="s">
        <v>104</v>
      </c>
      <c r="N651" t="s">
        <v>105</v>
      </c>
      <c r="O651" t="s">
        <v>55</v>
      </c>
      <c r="P651" s="3" t="s">
        <v>121</v>
      </c>
      <c r="Q651" t="s">
        <v>122</v>
      </c>
      <c r="S651" s="1">
        <v>1</v>
      </c>
      <c r="T651" t="str">
        <f>"Update Collaborator Set Organisation = '"&amp;J651&amp;"' where User_ID = '"&amp;B651&amp;"'; "</f>
        <v xml:space="preserve">Update Collaborator Set Organisation = 'Nahda University Beni Suef' where User_ID = 'CU00651'; </v>
      </c>
    </row>
    <row r="652" spans="1:21">
      <c r="A652" t="s">
        <v>9769</v>
      </c>
      <c r="B652" t="s">
        <v>3311</v>
      </c>
      <c r="D652" t="s">
        <v>3312</v>
      </c>
      <c r="E652" t="s">
        <v>60</v>
      </c>
      <c r="F652" t="s">
        <v>2628</v>
      </c>
      <c r="G652" t="s">
        <v>3313</v>
      </c>
      <c r="H652">
        <f t="shared" si="10"/>
        <v>1</v>
      </c>
      <c r="I652" t="s">
        <v>3314</v>
      </c>
      <c r="J652" t="s">
        <v>3315</v>
      </c>
      <c r="K652" t="str">
        <f>VLOOKUP(J652,Organisation!$A$2:$C$499,3,FALSE)</f>
        <v>CORG00146</v>
      </c>
      <c r="L652" t="str">
        <f>VLOOKUP(J652,Organisation!$A$2:$E$499,4,FALSE)</f>
        <v>Academic</v>
      </c>
      <c r="M652" t="s">
        <v>650</v>
      </c>
      <c r="N652" t="s">
        <v>3316</v>
      </c>
      <c r="O652" t="s">
        <v>1600</v>
      </c>
      <c r="P652" s="3" t="s">
        <v>3317</v>
      </c>
      <c r="Q652" t="s">
        <v>3318</v>
      </c>
      <c r="S652" s="1">
        <v>1</v>
      </c>
      <c r="T652" t="str">
        <f>"Update Collaborator Set Organisation = '"&amp;J652&amp;"' where User_ID = '"&amp;B652&amp;"'; "</f>
        <v xml:space="preserve">Update Collaborator Set Organisation = 'Novosibirsk Institute of Organic Chemistry' where User_ID = 'CU00652'; </v>
      </c>
    </row>
    <row r="653" spans="1:21">
      <c r="A653" t="s">
        <v>10076</v>
      </c>
      <c r="B653" t="s">
        <v>519</v>
      </c>
      <c r="D653" t="s">
        <v>520</v>
      </c>
      <c r="E653" t="s">
        <v>110</v>
      </c>
      <c r="F653" t="s">
        <v>521</v>
      </c>
      <c r="G653" t="s">
        <v>522</v>
      </c>
      <c r="H653">
        <f t="shared" si="10"/>
        <v>1</v>
      </c>
      <c r="I653" t="s">
        <v>523</v>
      </c>
      <c r="J653" t="s">
        <v>524</v>
      </c>
      <c r="K653" t="str">
        <f>VLOOKUP(J653,Organisation!$A$2:$C$499,3,FALSE)</f>
        <v>CORG00255</v>
      </c>
      <c r="L653" t="str">
        <f>VLOOKUP(J653,Organisation!$A$2:$E$499,4,FALSE)</f>
        <v>Academic</v>
      </c>
      <c r="M653" t="s">
        <v>525</v>
      </c>
      <c r="N653" t="s">
        <v>526</v>
      </c>
      <c r="O653" t="s">
        <v>14</v>
      </c>
      <c r="P653" s="3" t="s">
        <v>527</v>
      </c>
      <c r="Q653" t="s">
        <v>528</v>
      </c>
      <c r="S653" s="1">
        <v>1</v>
      </c>
      <c r="T653" t="str">
        <f>"Update Collaborator Set Organisation = '"&amp;J653&amp;"' where User_ID = '"&amp;B653&amp;"'; "</f>
        <v xml:space="preserve">Update Collaborator Set Organisation = 'University of Newcastle' where User_ID = 'CU00653'; </v>
      </c>
    </row>
    <row r="654" spans="1:21">
      <c r="A654" t="s">
        <v>9664</v>
      </c>
      <c r="B654" t="s">
        <v>4547</v>
      </c>
      <c r="D654" t="s">
        <v>2872</v>
      </c>
      <c r="E654" t="s">
        <v>7</v>
      </c>
      <c r="F654" t="s">
        <v>762</v>
      </c>
      <c r="G654" t="s">
        <v>4548</v>
      </c>
      <c r="H654">
        <f t="shared" si="10"/>
        <v>1</v>
      </c>
      <c r="I654" t="s">
        <v>523</v>
      </c>
      <c r="J654" t="s">
        <v>1422</v>
      </c>
      <c r="K654" t="str">
        <f>VLOOKUP(J654,Organisation!$A$2:$C$499,3,FALSE)</f>
        <v>CORG00292</v>
      </c>
      <c r="L654" t="str">
        <f>VLOOKUP(J654,Organisation!$A$2:$E$499,4,FALSE)</f>
        <v>Academic</v>
      </c>
      <c r="M654" t="s">
        <v>84</v>
      </c>
      <c r="N654" t="s">
        <v>4549</v>
      </c>
      <c r="O654" t="s">
        <v>14</v>
      </c>
      <c r="P654" s="3" t="s">
        <v>4550</v>
      </c>
      <c r="Q654" t="s">
        <v>4551</v>
      </c>
      <c r="S654" s="1">
        <v>1</v>
      </c>
      <c r="T654" t="str">
        <f>"Update Collaborator Set Organisation = '"&amp;J654&amp;"' where User_ID = '"&amp;B654&amp;"'; "</f>
        <v xml:space="preserve">Update Collaborator Set Organisation = 'University of Wollongong' where User_ID = 'CU00654'; </v>
      </c>
    </row>
    <row r="655" spans="1:21">
      <c r="A655" t="s">
        <v>10270</v>
      </c>
      <c r="B655" t="s">
        <v>2484</v>
      </c>
      <c r="D655" t="s">
        <v>2485</v>
      </c>
      <c r="E655" t="s">
        <v>41</v>
      </c>
      <c r="F655" t="s">
        <v>1489</v>
      </c>
      <c r="G655" t="s">
        <v>2486</v>
      </c>
      <c r="H655">
        <f t="shared" si="10"/>
        <v>2</v>
      </c>
      <c r="I655" t="s">
        <v>71</v>
      </c>
      <c r="J655" t="s">
        <v>8752</v>
      </c>
      <c r="K655" t="str">
        <f>VLOOKUP(J655,Organisation!$A$2:$C$499,3,FALSE)</f>
        <v>CORG00014</v>
      </c>
      <c r="L655" t="str">
        <f>VLOOKUP(J655,Organisation!$A$2:$E$499,4,FALSE)</f>
        <v>Academic</v>
      </c>
      <c r="M655" t="s">
        <v>1067</v>
      </c>
      <c r="N655" t="s">
        <v>2487</v>
      </c>
      <c r="O655" t="s">
        <v>14</v>
      </c>
      <c r="P655" s="3" t="s">
        <v>2488</v>
      </c>
      <c r="Q655" t="s">
        <v>2489</v>
      </c>
      <c r="S655" s="1">
        <v>1</v>
      </c>
      <c r="T655" t="str">
        <f>"Update Collaborator Set Organisation = '"&amp;J655&amp;"' where User_ID = '"&amp;B655&amp;"'; "</f>
        <v xml:space="preserve">Update Collaborator Set Organisation = 'Australian National University' where User_ID = 'CU00655'; </v>
      </c>
    </row>
    <row r="656" spans="1:21">
      <c r="A656" t="s">
        <v>10153</v>
      </c>
      <c r="B656" t="s">
        <v>3405</v>
      </c>
      <c r="D656" t="s">
        <v>377</v>
      </c>
      <c r="E656" t="s">
        <v>386</v>
      </c>
      <c r="F656" t="s">
        <v>3406</v>
      </c>
      <c r="G656" t="s">
        <v>3407</v>
      </c>
      <c r="H656">
        <f t="shared" si="10"/>
        <v>1</v>
      </c>
      <c r="I656" t="s">
        <v>343</v>
      </c>
      <c r="J656" t="s">
        <v>381</v>
      </c>
      <c r="K656" t="str">
        <f>VLOOKUP(J656,Organisation!$A$2:$C$499,3,FALSE)</f>
        <v>CORG00229</v>
      </c>
      <c r="L656" t="str">
        <f>VLOOKUP(J656,Organisation!$A$2:$E$499,4,FALSE)</f>
        <v>Academic</v>
      </c>
      <c r="M656" t="s">
        <v>170</v>
      </c>
      <c r="N656" t="s">
        <v>382</v>
      </c>
      <c r="O656" t="s">
        <v>269</v>
      </c>
      <c r="Q656" t="s">
        <v>3408</v>
      </c>
      <c r="S656" s="1">
        <v>1</v>
      </c>
      <c r="T656" t="str">
        <f>"Update Collaborator Set Organisation = '"&amp;J656&amp;"' where User_ID = '"&amp;B656&amp;"'; "</f>
        <v xml:space="preserve">Update Collaborator Set Organisation = 'University of East Anglia' where User_ID = 'CU00656'; </v>
      </c>
    </row>
    <row r="657" spans="1:21">
      <c r="A657" t="s">
        <v>9637</v>
      </c>
      <c r="B657" t="s">
        <v>2265</v>
      </c>
      <c r="D657" t="s">
        <v>2194</v>
      </c>
      <c r="E657" t="s">
        <v>110</v>
      </c>
      <c r="F657" t="s">
        <v>2266</v>
      </c>
      <c r="G657" t="s">
        <v>2267</v>
      </c>
      <c r="H657">
        <f t="shared" si="10"/>
        <v>1</v>
      </c>
      <c r="I657" t="s">
        <v>2268</v>
      </c>
      <c r="J657" t="s">
        <v>362</v>
      </c>
      <c r="K657" t="str">
        <f>VLOOKUP(J657,Organisation!$A$2:$C$499,3,FALSE)</f>
        <v>CORG00001</v>
      </c>
      <c r="L657" t="str">
        <f>VLOOKUP(J657,Organisation!$A$2:$E$499,4,FALSE)</f>
        <v>Academic</v>
      </c>
      <c r="M657" t="s">
        <v>416</v>
      </c>
      <c r="N657" t="s">
        <v>2269</v>
      </c>
      <c r="O657" t="s">
        <v>14</v>
      </c>
      <c r="P657" s="3" t="s">
        <v>2270</v>
      </c>
      <c r="Q657" t="s">
        <v>2271</v>
      </c>
      <c r="S657" s="1">
        <v>1</v>
      </c>
      <c r="T657" t="str">
        <f>"Update Collaborator Set Organisation = '"&amp;J657&amp;"' where User_ID = '"&amp;B657&amp;"'; "</f>
        <v xml:space="preserve">Update Collaborator Set Organisation = 'University of Queensland' where User_ID = 'CU00657'; </v>
      </c>
    </row>
    <row r="658" spans="1:21">
      <c r="A658" t="s">
        <v>9638</v>
      </c>
      <c r="B658" t="s">
        <v>3940</v>
      </c>
      <c r="D658" t="s">
        <v>2194</v>
      </c>
      <c r="E658" t="s">
        <v>60</v>
      </c>
      <c r="F658" t="s">
        <v>3941</v>
      </c>
      <c r="G658" t="s">
        <v>3942</v>
      </c>
      <c r="H658">
        <f t="shared" si="10"/>
        <v>1</v>
      </c>
      <c r="I658" t="s">
        <v>3761</v>
      </c>
      <c r="J658" t="s">
        <v>8776</v>
      </c>
      <c r="K658" t="str">
        <f>VLOOKUP(J658,Organisation!$A$2:$C$499,3,FALSE)</f>
        <v>CORG00168</v>
      </c>
      <c r="L658" t="str">
        <f>VLOOKUP(J658,Organisation!$A$2:$E$499,4,FALSE)</f>
        <v>Academic</v>
      </c>
      <c r="M658" t="s">
        <v>3943</v>
      </c>
      <c r="N658" t="s">
        <v>3944</v>
      </c>
      <c r="O658" t="s">
        <v>234</v>
      </c>
      <c r="P658" s="3" t="s">
        <v>3945</v>
      </c>
      <c r="Q658" t="s">
        <v>3946</v>
      </c>
      <c r="S658" s="1">
        <v>1</v>
      </c>
      <c r="T658" t="str">
        <f>"Update Collaborator Set Organisation = '"&amp;J658&amp;"' where User_ID = '"&amp;B658&amp;"'; "</f>
        <v xml:space="preserve">Update Collaborator Set Organisation = 'São Paulo State University' where User_ID = 'CU00658'; </v>
      </c>
    </row>
    <row r="659" spans="1:21">
      <c r="A659" t="s">
        <v>10286</v>
      </c>
      <c r="B659" t="s">
        <v>5182</v>
      </c>
      <c r="C659" t="s">
        <v>10540</v>
      </c>
      <c r="D659" t="s">
        <v>4256</v>
      </c>
      <c r="E659" t="s">
        <v>60</v>
      </c>
      <c r="F659" t="s">
        <v>5183</v>
      </c>
      <c r="G659" t="s">
        <v>5184</v>
      </c>
      <c r="H659">
        <f t="shared" si="10"/>
        <v>1</v>
      </c>
      <c r="I659" t="s">
        <v>82</v>
      </c>
      <c r="J659" t="s">
        <v>4259</v>
      </c>
      <c r="K659" t="str">
        <f>VLOOKUP(J659,Organisation!$A$2:$C$499,3,FALSE)</f>
        <v>CORG00174</v>
      </c>
      <c r="L659" t="str">
        <f>VLOOKUP(J659,Organisation!$A$2:$E$499,4,FALSE)</f>
        <v>Academic</v>
      </c>
      <c r="M659" t="s">
        <v>35</v>
      </c>
      <c r="N659" t="s">
        <v>4260</v>
      </c>
      <c r="O659" t="s">
        <v>211</v>
      </c>
      <c r="P659" s="3" t="s">
        <v>5185</v>
      </c>
      <c r="Q659" t="s">
        <v>5186</v>
      </c>
      <c r="S659" s="1">
        <v>1</v>
      </c>
      <c r="T659" t="str">
        <f>"Update Collaborator Set Organisation = '"&amp;J659&amp;"' where User_ID = '"&amp;B659&amp;"'; "</f>
        <v xml:space="preserve">Update Collaborator Set Organisation = 'Sree Vidyanikethan College of Pharmacy' where User_ID = 'CU00659'; </v>
      </c>
      <c r="U659" t="str">
        <f>"Update dcollab.collab_user Set Pi = True where User_ID = '"&amp;A659&amp;"'; "</f>
        <v xml:space="preserve">Update dcollab.collab_user Set Pi = True where User_ID = 'CUSR00713'; </v>
      </c>
    </row>
    <row r="660" spans="1:21">
      <c r="A660" t="s">
        <v>10287</v>
      </c>
      <c r="B660" t="s">
        <v>4255</v>
      </c>
      <c r="D660" t="s">
        <v>4256</v>
      </c>
      <c r="E660" t="s">
        <v>110</v>
      </c>
      <c r="F660" t="s">
        <v>4257</v>
      </c>
      <c r="G660" t="s">
        <v>4258</v>
      </c>
      <c r="H660">
        <f t="shared" si="10"/>
        <v>1</v>
      </c>
      <c r="I660" t="s">
        <v>282</v>
      </c>
      <c r="J660" t="s">
        <v>4259</v>
      </c>
      <c r="K660" t="str">
        <f>VLOOKUP(J660,Organisation!$A$2:$C$499,3,FALSE)</f>
        <v>CORG00174</v>
      </c>
      <c r="L660" t="str">
        <f>VLOOKUP(J660,Organisation!$A$2:$E$499,4,FALSE)</f>
        <v>Academic</v>
      </c>
      <c r="M660" t="s">
        <v>35</v>
      </c>
      <c r="N660" t="s">
        <v>4260</v>
      </c>
      <c r="O660" t="s">
        <v>211</v>
      </c>
      <c r="P660" s="3" t="s">
        <v>4261</v>
      </c>
      <c r="Q660" t="s">
        <v>4262</v>
      </c>
      <c r="S660" s="1">
        <v>1</v>
      </c>
      <c r="T660" t="str">
        <f>"Update Collaborator Set Organisation = '"&amp;J660&amp;"' where User_ID = '"&amp;B660&amp;"'; "</f>
        <v xml:space="preserve">Update Collaborator Set Organisation = 'Sree Vidyanikethan College of Pharmacy' where User_ID = 'CU00660'; </v>
      </c>
    </row>
    <row r="661" spans="1:21">
      <c r="A661" t="s">
        <v>10288</v>
      </c>
      <c r="B661" t="s">
        <v>4978</v>
      </c>
      <c r="C661" t="s">
        <v>10540</v>
      </c>
      <c r="D661" t="s">
        <v>3603</v>
      </c>
      <c r="E661" t="s">
        <v>60</v>
      </c>
      <c r="F661" t="s">
        <v>4979</v>
      </c>
      <c r="G661" t="s">
        <v>4980</v>
      </c>
      <c r="H661">
        <f t="shared" si="10"/>
        <v>1</v>
      </c>
      <c r="I661" t="s">
        <v>4981</v>
      </c>
      <c r="J661" t="s">
        <v>3607</v>
      </c>
      <c r="K661" t="str">
        <f>VLOOKUP(J661,Organisation!$A$2:$C$499,3,FALSE)</f>
        <v>CORG00306</v>
      </c>
      <c r="L661" t="str">
        <f>VLOOKUP(J661,Organisation!$A$2:$E$499,4,FALSE)</f>
        <v>Academic</v>
      </c>
      <c r="M661" t="s">
        <v>3608</v>
      </c>
      <c r="N661" t="s">
        <v>3609</v>
      </c>
      <c r="O661" t="s">
        <v>8808</v>
      </c>
      <c r="P661" s="3" t="s">
        <v>4982</v>
      </c>
      <c r="Q661" t="s">
        <v>4983</v>
      </c>
      <c r="S661" s="1">
        <v>1</v>
      </c>
      <c r="T661" t="str">
        <f>"Update Collaborator Set Organisation = '"&amp;J661&amp;"' where User_ID = '"&amp;B661&amp;"'; "</f>
        <v xml:space="preserve">Update Collaborator Set Organisation = 'Waynesburg University' where User_ID = 'CU00661'; </v>
      </c>
      <c r="U661" t="str">
        <f>"Update dcollab.collab_user Set Pi = True where User_ID = '"&amp;A661&amp;"'; "</f>
        <v xml:space="preserve">Update dcollab.collab_user Set Pi = True where User_ID = 'CUSR00715'; </v>
      </c>
    </row>
    <row r="662" spans="1:21">
      <c r="A662" t="s">
        <v>10289</v>
      </c>
      <c r="B662" t="s">
        <v>3602</v>
      </c>
      <c r="D662" t="s">
        <v>3603</v>
      </c>
      <c r="E662" t="s">
        <v>110</v>
      </c>
      <c r="F662" t="s">
        <v>3604</v>
      </c>
      <c r="G662" t="s">
        <v>3605</v>
      </c>
      <c r="H662">
        <f t="shared" si="10"/>
        <v>1</v>
      </c>
      <c r="I662" t="s">
        <v>3606</v>
      </c>
      <c r="J662" t="s">
        <v>3607</v>
      </c>
      <c r="K662" t="str">
        <f>VLOOKUP(J662,Organisation!$A$2:$C$499,3,FALSE)</f>
        <v>CORG00306</v>
      </c>
      <c r="L662" t="str">
        <f>VLOOKUP(J662,Organisation!$A$2:$E$499,4,FALSE)</f>
        <v>Academic</v>
      </c>
      <c r="M662" t="s">
        <v>3608</v>
      </c>
      <c r="N662" t="s">
        <v>3609</v>
      </c>
      <c r="O662" t="s">
        <v>8808</v>
      </c>
      <c r="P662" s="3" t="s">
        <v>3610</v>
      </c>
      <c r="Q662" t="s">
        <v>3611</v>
      </c>
      <c r="S662" s="1">
        <v>1</v>
      </c>
      <c r="T662" t="str">
        <f>"Update Collaborator Set Organisation = '"&amp;J662&amp;"' where User_ID = '"&amp;B662&amp;"'; "</f>
        <v xml:space="preserve">Update Collaborator Set Organisation = 'Waynesburg University' where User_ID = 'CU00662'; </v>
      </c>
    </row>
    <row r="663" spans="1:21">
      <c r="A663" t="s">
        <v>10290</v>
      </c>
      <c r="B663" t="s">
        <v>155</v>
      </c>
      <c r="C663" t="s">
        <v>10540</v>
      </c>
      <c r="D663" t="s">
        <v>156</v>
      </c>
      <c r="E663" t="s">
        <v>60</v>
      </c>
      <c r="F663" t="s">
        <v>157</v>
      </c>
      <c r="G663" t="s">
        <v>158</v>
      </c>
      <c r="H663">
        <f t="shared" si="10"/>
        <v>1</v>
      </c>
      <c r="I663" t="s">
        <v>159</v>
      </c>
      <c r="J663" t="s">
        <v>160</v>
      </c>
      <c r="K663" t="str">
        <f>VLOOKUP(J663,Organisation!$A$2:$C$499,3,FALSE)</f>
        <v>CORG00006</v>
      </c>
      <c r="L663" t="str">
        <f>VLOOKUP(J663,Organisation!$A$2:$E$499,4,FALSE)</f>
        <v>Academic</v>
      </c>
      <c r="M663" t="s">
        <v>161</v>
      </c>
      <c r="N663" t="s">
        <v>162</v>
      </c>
      <c r="O663" t="s">
        <v>55</v>
      </c>
      <c r="P663" s="3" t="s">
        <v>163</v>
      </c>
      <c r="Q663" t="s">
        <v>164</v>
      </c>
      <c r="S663" s="1">
        <v>1</v>
      </c>
      <c r="T663" t="str">
        <f>"Update Collaborator Set Organisation = '"&amp;J663&amp;"' where User_ID = '"&amp;B663&amp;"'; "</f>
        <v xml:space="preserve">Update Collaborator Set Organisation = 'Al-Azhar University' where User_ID = 'CU00663'; </v>
      </c>
      <c r="U663" t="str">
        <f>"Update dcollab.collab_user Set Pi = True where User_ID = '"&amp;A663&amp;"'; "</f>
        <v xml:space="preserve">Update dcollab.collab_user Set Pi = True where User_ID = 'CUSR00717'; </v>
      </c>
    </row>
    <row r="664" spans="1:21">
      <c r="A664" t="s">
        <v>10053</v>
      </c>
      <c r="B664" t="s">
        <v>1855</v>
      </c>
      <c r="C664" t="s">
        <v>10540</v>
      </c>
      <c r="D664" t="s">
        <v>1856</v>
      </c>
      <c r="E664" t="s">
        <v>41</v>
      </c>
      <c r="F664" t="s">
        <v>1857</v>
      </c>
      <c r="G664" t="s">
        <v>1858</v>
      </c>
      <c r="H664">
        <f t="shared" si="10"/>
        <v>1</v>
      </c>
      <c r="I664" t="s">
        <v>1859</v>
      </c>
      <c r="J664" t="s">
        <v>160</v>
      </c>
      <c r="K664" t="str">
        <f>VLOOKUP(J664,Organisation!$A$2:$C$499,3,FALSE)</f>
        <v>CORG00006</v>
      </c>
      <c r="L664" t="str">
        <f>VLOOKUP(J664,Organisation!$A$2:$E$499,4,FALSE)</f>
        <v>Academic</v>
      </c>
      <c r="M664" t="s">
        <v>1860</v>
      </c>
      <c r="N664" t="s">
        <v>1861</v>
      </c>
      <c r="O664" t="s">
        <v>55</v>
      </c>
      <c r="P664" s="3" t="s">
        <v>1862</v>
      </c>
      <c r="Q664" t="s">
        <v>1863</v>
      </c>
      <c r="S664" s="1">
        <v>1</v>
      </c>
      <c r="T664" t="str">
        <f>"Update Collaborator Set Organisation = '"&amp;J664&amp;"' where User_ID = '"&amp;B664&amp;"'; "</f>
        <v xml:space="preserve">Update Collaborator Set Organisation = 'Al-Azhar University' where User_ID = 'CU00664'; </v>
      </c>
      <c r="U664" t="str">
        <f>"Update dcollab.collab_user Set Pi = True where User_ID = '"&amp;A664&amp;"'; "</f>
        <v xml:space="preserve">Update dcollab.collab_user Set Pi = True where User_ID = 'CUSR00465'; </v>
      </c>
    </row>
    <row r="665" spans="1:21">
      <c r="A665" t="s">
        <v>10291</v>
      </c>
      <c r="B665" t="s">
        <v>1042</v>
      </c>
      <c r="C665" t="s">
        <v>10540</v>
      </c>
      <c r="D665" t="s">
        <v>1043</v>
      </c>
      <c r="E665" t="s">
        <v>60</v>
      </c>
      <c r="F665" t="s">
        <v>1044</v>
      </c>
      <c r="G665" t="s">
        <v>1045</v>
      </c>
      <c r="H665">
        <f t="shared" si="10"/>
        <v>1</v>
      </c>
      <c r="I665" t="s">
        <v>1046</v>
      </c>
      <c r="J665" t="s">
        <v>1047</v>
      </c>
      <c r="K665" t="str">
        <f>VLOOKUP(J665,Organisation!$A$2:$C$499,3,FALSE)</f>
        <v>CORG00176</v>
      </c>
      <c r="L665" t="str">
        <f>VLOOKUP(J665,Organisation!$A$2:$E$499,4,FALSE)</f>
        <v>Academic</v>
      </c>
      <c r="M665" t="s">
        <v>1048</v>
      </c>
      <c r="N665" t="s">
        <v>1049</v>
      </c>
      <c r="O665" t="s">
        <v>8808</v>
      </c>
      <c r="P665" s="3" t="s">
        <v>1050</v>
      </c>
      <c r="Q665" t="s">
        <v>1051</v>
      </c>
      <c r="S665" s="1">
        <v>1</v>
      </c>
      <c r="T665" t="str">
        <f>"Update Collaborator Set Organisation = '"&amp;J665&amp;"' where User_ID = '"&amp;B665&amp;"'; "</f>
        <v xml:space="preserve">Update Collaborator Set Organisation = 'St John Fisher College' where User_ID = 'CU00665'; </v>
      </c>
      <c r="U665" t="str">
        <f>"Update dcollab.collab_user Set Pi = True where User_ID = '"&amp;A665&amp;"'; "</f>
        <v xml:space="preserve">Update dcollab.collab_user Set Pi = True where User_ID = 'CUSR00718'; </v>
      </c>
    </row>
    <row r="666" spans="1:21">
      <c r="A666" t="s">
        <v>10292</v>
      </c>
      <c r="B666" t="s">
        <v>3575</v>
      </c>
      <c r="D666" t="s">
        <v>1043</v>
      </c>
      <c r="E666" t="s">
        <v>60</v>
      </c>
      <c r="F666" t="s">
        <v>3576</v>
      </c>
      <c r="G666" t="s">
        <v>3577</v>
      </c>
      <c r="H666">
        <f t="shared" si="10"/>
        <v>1</v>
      </c>
      <c r="I666" t="s">
        <v>3273</v>
      </c>
      <c r="J666" t="s">
        <v>1047</v>
      </c>
      <c r="K666" t="str">
        <f>VLOOKUP(J666,Organisation!$A$2:$C$499,3,FALSE)</f>
        <v>CORG00176</v>
      </c>
      <c r="L666" t="str">
        <f>VLOOKUP(J666,Organisation!$A$2:$E$499,4,FALSE)</f>
        <v>Academic</v>
      </c>
      <c r="M666" t="s">
        <v>1048</v>
      </c>
      <c r="N666" t="s">
        <v>1049</v>
      </c>
      <c r="O666" t="s">
        <v>8808</v>
      </c>
      <c r="P666" s="3" t="s">
        <v>3578</v>
      </c>
      <c r="Q666" t="s">
        <v>3579</v>
      </c>
      <c r="S666" s="1">
        <v>1</v>
      </c>
      <c r="T666" t="str">
        <f>"Update Collaborator Set Organisation = '"&amp;J666&amp;"' where User_ID = '"&amp;B666&amp;"'; "</f>
        <v xml:space="preserve">Update Collaborator Set Organisation = 'St John Fisher College' where User_ID = 'CU00666'; </v>
      </c>
    </row>
    <row r="667" spans="1:21">
      <c r="A667" t="s">
        <v>9794</v>
      </c>
      <c r="B667" t="s">
        <v>150</v>
      </c>
      <c r="D667" t="s">
        <v>17</v>
      </c>
      <c r="E667" t="s">
        <v>7</v>
      </c>
      <c r="F667" t="s">
        <v>19</v>
      </c>
      <c r="G667" t="s">
        <v>151</v>
      </c>
      <c r="H667">
        <f t="shared" si="10"/>
        <v>1</v>
      </c>
      <c r="I667" t="s">
        <v>152</v>
      </c>
      <c r="J667" t="s">
        <v>22</v>
      </c>
      <c r="K667" t="str">
        <f>VLOOKUP(J667,Organisation!$A$2:$C$499,3,FALSE)</f>
        <v>CORG00248</v>
      </c>
      <c r="L667" t="str">
        <f>VLOOKUP(J667,Organisation!$A$2:$E$499,4,FALSE)</f>
        <v>Academic</v>
      </c>
      <c r="M667" t="s">
        <v>35</v>
      </c>
      <c r="N667" t="s">
        <v>24</v>
      </c>
      <c r="O667" t="s">
        <v>25</v>
      </c>
      <c r="P667" s="3" t="s">
        <v>153</v>
      </c>
      <c r="Q667" t="s">
        <v>154</v>
      </c>
      <c r="S667" s="1">
        <v>1</v>
      </c>
      <c r="T667" t="str">
        <f>"Update Collaborator Set Organisation = '"&amp;J667&amp;"' where User_ID = '"&amp;B667&amp;"'; "</f>
        <v xml:space="preserve">Update Collaborator Set Organisation = 'University of Mosul' where User_ID = 'CU00667'; </v>
      </c>
    </row>
    <row r="668" spans="1:21">
      <c r="A668" t="s">
        <v>9795</v>
      </c>
      <c r="B668" t="s">
        <v>294</v>
      </c>
      <c r="D668" t="s">
        <v>17</v>
      </c>
      <c r="E668" t="s">
        <v>18</v>
      </c>
      <c r="F668" t="s">
        <v>295</v>
      </c>
      <c r="G668" t="s">
        <v>296</v>
      </c>
      <c r="H668">
        <f t="shared" si="10"/>
        <v>1</v>
      </c>
      <c r="I668" t="s">
        <v>297</v>
      </c>
      <c r="J668" t="s">
        <v>22</v>
      </c>
      <c r="K668" t="str">
        <f>VLOOKUP(J668,Organisation!$A$2:$C$499,3,FALSE)</f>
        <v>CORG00248</v>
      </c>
      <c r="L668" t="str">
        <f>VLOOKUP(J668,Organisation!$A$2:$E$499,4,FALSE)</f>
        <v>Academic</v>
      </c>
      <c r="M668" t="s">
        <v>84</v>
      </c>
      <c r="N668" t="s">
        <v>24</v>
      </c>
      <c r="O668" t="s">
        <v>25</v>
      </c>
      <c r="P668" s="3" t="s">
        <v>298</v>
      </c>
      <c r="Q668" t="s">
        <v>299</v>
      </c>
      <c r="S668" s="1">
        <v>1</v>
      </c>
      <c r="T668" t="str">
        <f>"Update Collaborator Set Organisation = '"&amp;J668&amp;"' where User_ID = '"&amp;B668&amp;"'; "</f>
        <v xml:space="preserve">Update Collaborator Set Organisation = 'University of Mosul' where User_ID = 'CU00668'; </v>
      </c>
    </row>
    <row r="669" spans="1:21">
      <c r="A669" t="s">
        <v>9665</v>
      </c>
      <c r="B669" t="s">
        <v>3865</v>
      </c>
      <c r="D669" t="s">
        <v>2872</v>
      </c>
      <c r="E669" t="s">
        <v>60</v>
      </c>
      <c r="F669" t="s">
        <v>3866</v>
      </c>
      <c r="G669" t="s">
        <v>3867</v>
      </c>
      <c r="H669">
        <f t="shared" si="10"/>
        <v>1</v>
      </c>
      <c r="I669" t="s">
        <v>3868</v>
      </c>
      <c r="J669" t="s">
        <v>1422</v>
      </c>
      <c r="K669" t="str">
        <f>VLOOKUP(J669,Organisation!$A$2:$C$499,3,FALSE)</f>
        <v>CORG00292</v>
      </c>
      <c r="L669" t="str">
        <f>VLOOKUP(J669,Organisation!$A$2:$E$499,4,FALSE)</f>
        <v>Academic</v>
      </c>
      <c r="M669" t="s">
        <v>1423</v>
      </c>
      <c r="N669" t="s">
        <v>3869</v>
      </c>
      <c r="O669" t="s">
        <v>14</v>
      </c>
      <c r="P669" s="3" t="s">
        <v>3870</v>
      </c>
      <c r="Q669" t="s">
        <v>3871</v>
      </c>
      <c r="S669" s="1">
        <v>1</v>
      </c>
      <c r="T669" t="str">
        <f>"Update Collaborator Set Organisation = '"&amp;J669&amp;"' where User_ID = '"&amp;B669&amp;"'; "</f>
        <v xml:space="preserve">Update Collaborator Set Organisation = 'University of Wollongong' where User_ID = 'CU00669'; </v>
      </c>
    </row>
    <row r="670" spans="1:21">
      <c r="A670" t="s">
        <v>10293</v>
      </c>
      <c r="B670" t="s">
        <v>2706</v>
      </c>
      <c r="C670" t="s">
        <v>10540</v>
      </c>
      <c r="D670" t="s">
        <v>2707</v>
      </c>
      <c r="E670" t="s">
        <v>60</v>
      </c>
      <c r="F670" t="s">
        <v>2708</v>
      </c>
      <c r="G670" t="s">
        <v>2709</v>
      </c>
      <c r="H670">
        <f t="shared" si="10"/>
        <v>1</v>
      </c>
      <c r="I670" t="s">
        <v>605</v>
      </c>
      <c r="J670" t="s">
        <v>2710</v>
      </c>
      <c r="K670" t="str">
        <f>VLOOKUP(J670,Organisation!$A$2:$C$499,3,FALSE)</f>
        <v>CORG00144</v>
      </c>
      <c r="L670" t="str">
        <f>VLOOKUP(J670,Organisation!$A$2:$E$499,4,FALSE)</f>
        <v>Academic</v>
      </c>
      <c r="M670" t="s">
        <v>1031</v>
      </c>
      <c r="N670" t="s">
        <v>2711</v>
      </c>
      <c r="O670" t="s">
        <v>609</v>
      </c>
      <c r="P670" s="3" t="s">
        <v>2712</v>
      </c>
      <c r="Q670" t="s">
        <v>2713</v>
      </c>
      <c r="S670" s="1">
        <v>1</v>
      </c>
      <c r="T670" t="str">
        <f>"Update Collaborator Set Organisation = '"&amp;J670&amp;"' where User_ID = '"&amp;B670&amp;"'; "</f>
        <v xml:space="preserve">Update Collaborator Set Organisation = 'North-West University' where User_ID = 'CU00670'; </v>
      </c>
      <c r="U670" t="str">
        <f>"Update dcollab.collab_user Set Pi = True where User_ID = '"&amp;A670&amp;"'; "</f>
        <v xml:space="preserve">Update dcollab.collab_user Set Pi = True where User_ID = 'CUSR00720'; </v>
      </c>
    </row>
    <row r="671" spans="1:21">
      <c r="A671" t="s">
        <v>10027</v>
      </c>
      <c r="B671" t="s">
        <v>4430</v>
      </c>
      <c r="D671" t="s">
        <v>143</v>
      </c>
      <c r="E671" t="s">
        <v>41</v>
      </c>
      <c r="F671" t="s">
        <v>1319</v>
      </c>
      <c r="G671" t="s">
        <v>4431</v>
      </c>
      <c r="H671">
        <f t="shared" si="10"/>
        <v>1</v>
      </c>
      <c r="I671" t="s">
        <v>4432</v>
      </c>
      <c r="J671" t="s">
        <v>389</v>
      </c>
      <c r="K671" t="str">
        <f>VLOOKUP(J671,Organisation!$A$2:$C$499,3,FALSE)</f>
        <v>CORG00271</v>
      </c>
      <c r="L671" t="str">
        <f>VLOOKUP(J671,Organisation!$A$2:$E$499,4,FALSE)</f>
        <v>Academic</v>
      </c>
      <c r="M671" t="s">
        <v>170</v>
      </c>
      <c r="N671" t="s">
        <v>4433</v>
      </c>
      <c r="O671" t="s">
        <v>14</v>
      </c>
      <c r="P671" s="3" t="s">
        <v>4434</v>
      </c>
      <c r="Q671" t="s">
        <v>4435</v>
      </c>
      <c r="S671" s="1">
        <v>1</v>
      </c>
      <c r="T671" t="str">
        <f>"Update Collaborator Set Organisation = '"&amp;J671&amp;"' where User_ID = '"&amp;B671&amp;"'; "</f>
        <v xml:space="preserve">Update Collaborator Set Organisation = 'University of Sydney' where User_ID = 'CU00672'; </v>
      </c>
    </row>
    <row r="672" spans="1:21">
      <c r="A672" t="s">
        <v>10294</v>
      </c>
      <c r="B672" t="s">
        <v>5413</v>
      </c>
      <c r="C672" t="s">
        <v>10540</v>
      </c>
      <c r="D672" t="s">
        <v>5414</v>
      </c>
      <c r="E672" t="s">
        <v>60</v>
      </c>
      <c r="F672" t="s">
        <v>2628</v>
      </c>
      <c r="G672" t="s">
        <v>5415</v>
      </c>
      <c r="H672">
        <f t="shared" si="10"/>
        <v>1</v>
      </c>
      <c r="I672" t="s">
        <v>5416</v>
      </c>
      <c r="J672" t="s">
        <v>5417</v>
      </c>
      <c r="K672" t="str">
        <f>VLOOKUP(J672,Organisation!$A$2:$C$499,3,FALSE)</f>
        <v>CORG00098</v>
      </c>
      <c r="L672" t="str">
        <f>VLOOKUP(J672,Organisation!$A$2:$E$499,4,FALSE)</f>
        <v>Academic</v>
      </c>
      <c r="M672" t="s">
        <v>2277</v>
      </c>
      <c r="N672" t="s">
        <v>5418</v>
      </c>
      <c r="O672" t="s">
        <v>1600</v>
      </c>
      <c r="P672" s="3" t="s">
        <v>5419</v>
      </c>
      <c r="Q672" t="s">
        <v>5420</v>
      </c>
      <c r="S672" s="1">
        <v>1</v>
      </c>
      <c r="T672" t="str">
        <f>"Update Collaborator Set Organisation = '"&amp;J672&amp;"' where User_ID = '"&amp;B672&amp;"'; "</f>
        <v xml:space="preserve">Update Collaborator Set Organisation = 'Komi Scientific Centre, Ural Branch of the Russian Academy of Sciences' where User_ID = 'CU00673'; </v>
      </c>
      <c r="U672" t="str">
        <f>"Update dcollab.collab_user Set Pi = True where User_ID = '"&amp;A672&amp;"'; "</f>
        <v xml:space="preserve">Update dcollab.collab_user Set Pi = True where User_ID = 'CUSR00721'; </v>
      </c>
    </row>
    <row r="673" spans="1:21">
      <c r="A673" t="s">
        <v>10295</v>
      </c>
      <c r="B673" t="s">
        <v>123</v>
      </c>
      <c r="C673" t="s">
        <v>10540</v>
      </c>
      <c r="D673" t="s">
        <v>124</v>
      </c>
      <c r="E673" t="s">
        <v>41</v>
      </c>
      <c r="F673" t="s">
        <v>125</v>
      </c>
      <c r="G673" t="s">
        <v>126</v>
      </c>
      <c r="H673">
        <f t="shared" si="10"/>
        <v>1</v>
      </c>
      <c r="I673" t="s">
        <v>127</v>
      </c>
      <c r="J673" t="s">
        <v>128</v>
      </c>
      <c r="K673" t="str">
        <f>VLOOKUP(J673,Organisation!$A$2:$C$499,3,FALSE)</f>
        <v>CORG00313</v>
      </c>
      <c r="L673" t="str">
        <f>VLOOKUP(J673,Organisation!$A$2:$E$499,4,FALSE)</f>
        <v>Academic</v>
      </c>
      <c r="M673" t="s">
        <v>129</v>
      </c>
      <c r="N673" t="s">
        <v>130</v>
      </c>
      <c r="O673" t="s">
        <v>55</v>
      </c>
      <c r="P673" s="3" t="s">
        <v>131</v>
      </c>
      <c r="Q673" t="s">
        <v>132</v>
      </c>
      <c r="S673" s="1">
        <v>1</v>
      </c>
      <c r="T673" t="str">
        <f>"Update Collaborator Set Organisation = '"&amp;J673&amp;"' where User_ID = '"&amp;B673&amp;"'; "</f>
        <v xml:space="preserve">Update Collaborator Set Organisation = 'Zagazig University' where User_ID = 'CU00674'; </v>
      </c>
      <c r="U673" t="str">
        <f>"Update dcollab.collab_user Set Pi = True where User_ID = '"&amp;A673&amp;"'; "</f>
        <v xml:space="preserve">Update dcollab.collab_user Set Pi = True where User_ID = 'CUSR00722'; </v>
      </c>
    </row>
    <row r="674" spans="1:21">
      <c r="A674" t="s">
        <v>10296</v>
      </c>
      <c r="B674" t="s">
        <v>2394</v>
      </c>
      <c r="D674" t="s">
        <v>124</v>
      </c>
      <c r="E674" t="s">
        <v>7</v>
      </c>
      <c r="F674" t="s">
        <v>180</v>
      </c>
      <c r="G674" t="s">
        <v>2395</v>
      </c>
      <c r="H674">
        <f t="shared" si="10"/>
        <v>1</v>
      </c>
      <c r="I674" t="s">
        <v>343</v>
      </c>
      <c r="J674" t="s">
        <v>8745</v>
      </c>
      <c r="K674" t="str">
        <f>VLOOKUP(J674,Organisation!$A$2:$C$499,3,FALSE)</f>
        <v>CORG00254</v>
      </c>
      <c r="L674" t="str">
        <f>VLOOKUP(J674,Organisation!$A$2:$E$499,4,FALSE)</f>
        <v>Academic</v>
      </c>
      <c r="M674" t="s">
        <v>1492</v>
      </c>
      <c r="N674" t="s">
        <v>1493</v>
      </c>
      <c r="O674" t="s">
        <v>14</v>
      </c>
      <c r="P674" s="3" t="s">
        <v>2396</v>
      </c>
      <c r="Q674" t="s">
        <v>2397</v>
      </c>
      <c r="S674" s="1">
        <v>1</v>
      </c>
      <c r="T674" t="str">
        <f>"Update Collaborator Set Organisation = '"&amp;J674&amp;"' where User_ID = '"&amp;B674&amp;"'; "</f>
        <v xml:space="preserve">Update Collaborator Set Organisation = 'University of New South Wales, Australian Defence Force Academy' where User_ID = 'CU00675'; </v>
      </c>
    </row>
    <row r="675" spans="1:21">
      <c r="A675" t="s">
        <v>10297</v>
      </c>
      <c r="B675" t="s">
        <v>173</v>
      </c>
      <c r="C675" t="s">
        <v>10540</v>
      </c>
      <c r="D675" t="s">
        <v>174</v>
      </c>
      <c r="E675" t="s">
        <v>18</v>
      </c>
      <c r="F675" t="s">
        <v>175</v>
      </c>
      <c r="G675" t="s">
        <v>176</v>
      </c>
      <c r="H675">
        <f t="shared" si="10"/>
        <v>1</v>
      </c>
      <c r="I675" t="s">
        <v>127</v>
      </c>
      <c r="J675" t="s">
        <v>128</v>
      </c>
      <c r="K675" t="str">
        <f>VLOOKUP(J675,Organisation!$A$2:$C$499,3,FALSE)</f>
        <v>CORG00313</v>
      </c>
      <c r="L675" t="str">
        <f>VLOOKUP(J675,Organisation!$A$2:$E$499,4,FALSE)</f>
        <v>Academic</v>
      </c>
      <c r="M675" t="s">
        <v>129</v>
      </c>
      <c r="N675" t="s">
        <v>130</v>
      </c>
      <c r="O675" t="s">
        <v>55</v>
      </c>
      <c r="P675" s="3" t="s">
        <v>177</v>
      </c>
      <c r="Q675" t="s">
        <v>178</v>
      </c>
      <c r="S675" s="1">
        <v>1</v>
      </c>
      <c r="T675" t="str">
        <f>"Update Collaborator Set Organisation = '"&amp;J675&amp;"' where User_ID = '"&amp;B675&amp;"'; "</f>
        <v xml:space="preserve">Update Collaborator Set Organisation = 'Zagazig University' where User_ID = 'CU00676'; </v>
      </c>
      <c r="U675" t="str">
        <f>"Update dcollab.collab_user Set Pi = True where User_ID = '"&amp;A675&amp;"'; "</f>
        <v xml:space="preserve">Update dcollab.collab_user Set Pi = True where User_ID = 'CUSR00724'; </v>
      </c>
    </row>
    <row r="676" spans="1:21">
      <c r="A676" t="s">
        <v>10298</v>
      </c>
      <c r="B676" t="s">
        <v>1552</v>
      </c>
      <c r="D676" t="s">
        <v>174</v>
      </c>
      <c r="E676" t="s">
        <v>386</v>
      </c>
      <c r="F676" t="s">
        <v>1553</v>
      </c>
      <c r="G676" t="s">
        <v>1554</v>
      </c>
      <c r="H676">
        <f t="shared" si="10"/>
        <v>1</v>
      </c>
      <c r="I676" t="s">
        <v>102</v>
      </c>
      <c r="J676" t="s">
        <v>128</v>
      </c>
      <c r="K676" t="str">
        <f>VLOOKUP(J676,Organisation!$A$2:$C$499,3,FALSE)</f>
        <v>CORG00313</v>
      </c>
      <c r="L676" t="str">
        <f>VLOOKUP(J676,Organisation!$A$2:$E$499,4,FALSE)</f>
        <v>Academic</v>
      </c>
      <c r="M676" t="s">
        <v>129</v>
      </c>
      <c r="N676" t="s">
        <v>130</v>
      </c>
      <c r="O676" t="s">
        <v>55</v>
      </c>
      <c r="P676" s="3" t="s">
        <v>1555</v>
      </c>
      <c r="Q676" t="s">
        <v>1556</v>
      </c>
      <c r="S676" s="1">
        <v>1</v>
      </c>
      <c r="T676" t="str">
        <f>"Update Collaborator Set Organisation = '"&amp;J676&amp;"' where User_ID = '"&amp;B676&amp;"'; "</f>
        <v xml:space="preserve">Update Collaborator Set Organisation = 'Zagazig University' where User_ID = 'CU00677'; </v>
      </c>
    </row>
    <row r="677" spans="1:21">
      <c r="A677" t="s">
        <v>10299</v>
      </c>
      <c r="B677" t="s">
        <v>4616</v>
      </c>
      <c r="C677" t="s">
        <v>10540</v>
      </c>
      <c r="D677" t="s">
        <v>4617</v>
      </c>
      <c r="E677" t="s">
        <v>41</v>
      </c>
      <c r="F677" t="s">
        <v>4618</v>
      </c>
      <c r="G677" t="s">
        <v>4619</v>
      </c>
      <c r="H677">
        <f t="shared" si="10"/>
        <v>1</v>
      </c>
      <c r="I677" t="s">
        <v>333</v>
      </c>
      <c r="J677" t="s">
        <v>4620</v>
      </c>
      <c r="K677" t="str">
        <f>VLOOKUP(J677,Organisation!$A$2:$C$499,3,FALSE)</f>
        <v>CORG00164</v>
      </c>
      <c r="L677" t="str">
        <f>VLOOKUP(J677,Organisation!$A$2:$E$499,4,FALSE)</f>
        <v>Academic</v>
      </c>
      <c r="M677" t="s">
        <v>4621</v>
      </c>
      <c r="N677" t="s">
        <v>4622</v>
      </c>
      <c r="O677" t="s">
        <v>557</v>
      </c>
      <c r="P677" s="3" t="s">
        <v>4623</v>
      </c>
      <c r="Q677" t="s">
        <v>4624</v>
      </c>
      <c r="S677" s="1">
        <v>1</v>
      </c>
      <c r="T677" t="str">
        <f>"Update Collaborator Set Organisation = '"&amp;J677&amp;"' where User_ID = '"&amp;B677&amp;"'; "</f>
        <v xml:space="preserve">Update Collaborator Set Organisation = 'Ruhr-Universität Bochum' where User_ID = 'CU00678'; </v>
      </c>
      <c r="U677" t="str">
        <f>"Update dcollab.collab_user Set Pi = True where User_ID = '"&amp;A677&amp;"'; "</f>
        <v xml:space="preserve">Update dcollab.collab_user Set Pi = True where User_ID = 'CUSR00726'; </v>
      </c>
    </row>
    <row r="678" spans="1:21">
      <c r="A678" t="s">
        <v>10262</v>
      </c>
      <c r="B678" t="s">
        <v>1353</v>
      </c>
      <c r="C678" t="s">
        <v>10540</v>
      </c>
      <c r="D678" t="s">
        <v>1354</v>
      </c>
      <c r="E678" t="s">
        <v>60</v>
      </c>
      <c r="F678" t="s">
        <v>1319</v>
      </c>
      <c r="G678" t="s">
        <v>1355</v>
      </c>
      <c r="H678">
        <f t="shared" si="10"/>
        <v>1</v>
      </c>
      <c r="I678" t="s">
        <v>1356</v>
      </c>
      <c r="J678" t="s">
        <v>1357</v>
      </c>
      <c r="K678" t="str">
        <f>VLOOKUP(J678,Organisation!$A$2:$C$499,3,FALSE)</f>
        <v>CORG00114</v>
      </c>
      <c r="L678" t="str">
        <f>VLOOKUP(J678,Organisation!$A$2:$E$499,4,FALSE)</f>
        <v>Academic</v>
      </c>
      <c r="M678" t="s">
        <v>84</v>
      </c>
      <c r="N678" t="s">
        <v>1358</v>
      </c>
      <c r="O678" t="s">
        <v>8808</v>
      </c>
      <c r="P678" s="3" t="s">
        <v>1359</v>
      </c>
      <c r="Q678" t="s">
        <v>1360</v>
      </c>
      <c r="S678" s="1">
        <v>1</v>
      </c>
      <c r="T678" t="str">
        <f>"Update Collaborator Set Organisation = '"&amp;J678&amp;"' where User_ID = '"&amp;B678&amp;"'; "</f>
        <v xml:space="preserve">Update Collaborator Set Organisation = 'McDaniel College' where User_ID = 'CU00679'; </v>
      </c>
      <c r="U678" t="str">
        <f>"Update dcollab.collab_user Set Pi = True where User_ID = '"&amp;A678&amp;"'; "</f>
        <v xml:space="preserve">Update dcollab.collab_user Set Pi = True where User_ID = 'CUSR00689'; </v>
      </c>
    </row>
    <row r="679" spans="1:21">
      <c r="A679" t="s">
        <v>10300</v>
      </c>
      <c r="B679" t="s">
        <v>2242</v>
      </c>
      <c r="C679" t="s">
        <v>10540</v>
      </c>
      <c r="D679" t="s">
        <v>2243</v>
      </c>
      <c r="E679" t="s">
        <v>41</v>
      </c>
      <c r="F679" t="s">
        <v>2151</v>
      </c>
      <c r="G679" t="s">
        <v>2244</v>
      </c>
      <c r="H679">
        <f t="shared" si="10"/>
        <v>1</v>
      </c>
      <c r="I679" t="s">
        <v>71</v>
      </c>
      <c r="J679" t="s">
        <v>2245</v>
      </c>
      <c r="K679" t="str">
        <f>VLOOKUP(J679,Organisation!$A$2:$C$499,3,FALSE)</f>
        <v>CORG00194</v>
      </c>
      <c r="L679" t="str">
        <f>VLOOKUP(J679,Organisation!$A$2:$E$499,4,FALSE)</f>
        <v>Academic</v>
      </c>
      <c r="M679" t="s">
        <v>2246</v>
      </c>
      <c r="N679" t="s">
        <v>2247</v>
      </c>
      <c r="O679" t="s">
        <v>1256</v>
      </c>
      <c r="P679" s="3" t="s">
        <v>2248</v>
      </c>
      <c r="Q679" t="s">
        <v>2249</v>
      </c>
      <c r="S679" s="1">
        <v>1</v>
      </c>
      <c r="T679" t="str">
        <f>"Update Collaborator Set Organisation = '"&amp;J679&amp;"' where User_ID = '"&amp;B679&amp;"'; "</f>
        <v xml:space="preserve">Update Collaborator Set Organisation = 'Universidad de Zaragoza' where User_ID = 'CU00680'; </v>
      </c>
      <c r="U679" t="str">
        <f>"Update dcollab.collab_user Set Pi = True where User_ID = '"&amp;A679&amp;"'; "</f>
        <v xml:space="preserve">Update dcollab.collab_user Set Pi = True where User_ID = 'CUSR00727'; </v>
      </c>
    </row>
    <row r="680" spans="1:21">
      <c r="A680" t="s">
        <v>10302</v>
      </c>
      <c r="B680" t="s">
        <v>1382</v>
      </c>
      <c r="C680" t="s">
        <v>10540</v>
      </c>
      <c r="D680" t="s">
        <v>1383</v>
      </c>
      <c r="E680" t="s">
        <v>60</v>
      </c>
      <c r="F680" t="s">
        <v>1384</v>
      </c>
      <c r="G680" t="s">
        <v>1385</v>
      </c>
      <c r="H680">
        <f t="shared" si="10"/>
        <v>1</v>
      </c>
      <c r="I680" t="s">
        <v>1386</v>
      </c>
      <c r="J680" t="s">
        <v>1387</v>
      </c>
      <c r="K680" t="str">
        <f>VLOOKUP(J680,Organisation!$A$2:$C$499,3,FALSE)</f>
        <v>CORG00123</v>
      </c>
      <c r="L680" t="str">
        <f>VLOOKUP(J680,Organisation!$A$2:$E$499,4,FALSE)</f>
        <v>Academic</v>
      </c>
      <c r="M680" t="s">
        <v>84</v>
      </c>
      <c r="N680" t="s">
        <v>1388</v>
      </c>
      <c r="O680" t="s">
        <v>8808</v>
      </c>
      <c r="P680" s="3" t="s">
        <v>1389</v>
      </c>
      <c r="Q680" t="s">
        <v>1390</v>
      </c>
      <c r="S680" s="1">
        <v>1</v>
      </c>
      <c r="T680" t="str">
        <f>"Update Collaborator Set Organisation = '"&amp;J680&amp;"' where User_ID = '"&amp;B680&amp;"'; "</f>
        <v xml:space="preserve">Update Collaborator Set Organisation = 'Mississippi State University' where User_ID = 'CU00681'; </v>
      </c>
      <c r="U680" t="str">
        <f>"Update dcollab.collab_user Set Pi = True where User_ID = '"&amp;A680&amp;"'; "</f>
        <v xml:space="preserve">Update dcollab.collab_user Set Pi = True where User_ID = 'CUSR00729'; </v>
      </c>
    </row>
    <row r="681" spans="1:21">
      <c r="A681" t="s">
        <v>10303</v>
      </c>
      <c r="B681" t="s">
        <v>2121</v>
      </c>
      <c r="D681" t="s">
        <v>1383</v>
      </c>
      <c r="E681" t="s">
        <v>7</v>
      </c>
      <c r="F681" t="s">
        <v>2122</v>
      </c>
      <c r="G681" t="s">
        <v>2123</v>
      </c>
      <c r="H681">
        <f t="shared" si="10"/>
        <v>1</v>
      </c>
      <c r="I681" t="s">
        <v>2124</v>
      </c>
      <c r="J681" t="s">
        <v>1387</v>
      </c>
      <c r="K681" t="str">
        <f>VLOOKUP(J681,Organisation!$A$2:$C$499,3,FALSE)</f>
        <v>CORG00123</v>
      </c>
      <c r="L681" t="str">
        <f>VLOOKUP(J681,Organisation!$A$2:$E$499,4,FALSE)</f>
        <v>Academic</v>
      </c>
      <c r="M681" t="s">
        <v>84</v>
      </c>
      <c r="N681" t="s">
        <v>1388</v>
      </c>
      <c r="O681" t="s">
        <v>8808</v>
      </c>
      <c r="P681" s="3" t="s">
        <v>1389</v>
      </c>
      <c r="Q681" t="s">
        <v>2125</v>
      </c>
      <c r="S681" s="1">
        <v>1</v>
      </c>
      <c r="T681" t="str">
        <f>"Update Collaborator Set Organisation = '"&amp;J681&amp;"' where User_ID = '"&amp;B681&amp;"'; "</f>
        <v xml:space="preserve">Update Collaborator Set Organisation = 'Mississippi State University' where User_ID = 'CU00682'; </v>
      </c>
    </row>
    <row r="682" spans="1:21">
      <c r="A682" t="s">
        <v>10304</v>
      </c>
      <c r="B682" t="s">
        <v>4086</v>
      </c>
      <c r="C682" t="s">
        <v>10540</v>
      </c>
      <c r="D682" t="s">
        <v>10410</v>
      </c>
      <c r="E682" t="s">
        <v>60</v>
      </c>
      <c r="F682" t="s">
        <v>4088</v>
      </c>
      <c r="G682" t="s">
        <v>4089</v>
      </c>
      <c r="H682">
        <f t="shared" si="10"/>
        <v>1</v>
      </c>
      <c r="I682" t="s">
        <v>33</v>
      </c>
      <c r="J682" t="s">
        <v>4090</v>
      </c>
      <c r="K682" t="str">
        <f>VLOOKUP(J682,Organisation!$A$2:$C$499,3,FALSE)</f>
        <v>CORG00243</v>
      </c>
      <c r="L682" t="str">
        <f>VLOOKUP(J682,Organisation!$A$2:$E$499,4,FALSE)</f>
        <v>Academic</v>
      </c>
      <c r="M682" t="s">
        <v>4091</v>
      </c>
      <c r="N682" t="s">
        <v>4092</v>
      </c>
      <c r="O682" t="s">
        <v>4093</v>
      </c>
      <c r="P682" s="3" t="s">
        <v>4094</v>
      </c>
      <c r="Q682" t="s">
        <v>4095</v>
      </c>
      <c r="S682" s="1">
        <v>1</v>
      </c>
      <c r="T682" t="str">
        <f>"Update Collaborator Set Organisation = '"&amp;J682&amp;"' where User_ID = '"&amp;B682&amp;"'; "</f>
        <v xml:space="preserve">Update Collaborator Set Organisation = 'University of Medicine and Pharmacy Ho Chi Minh City' where User_ID = 'CU00683'; </v>
      </c>
      <c r="U682" t="str">
        <f>"Update dcollab.collab_user Set Pi = True where User_ID = '"&amp;A682&amp;"'; "</f>
        <v xml:space="preserve">Update dcollab.collab_user Set Pi = True where User_ID = 'CUSR00731'; </v>
      </c>
    </row>
    <row r="683" spans="1:21">
      <c r="A683" t="s">
        <v>10305</v>
      </c>
      <c r="B683" t="s">
        <v>2915</v>
      </c>
      <c r="C683" t="s">
        <v>10540</v>
      </c>
      <c r="D683" t="s">
        <v>2916</v>
      </c>
      <c r="E683" t="s">
        <v>41</v>
      </c>
      <c r="F683" t="s">
        <v>2917</v>
      </c>
      <c r="G683" t="s">
        <v>2918</v>
      </c>
      <c r="H683">
        <f t="shared" si="10"/>
        <v>1</v>
      </c>
      <c r="I683" t="s">
        <v>8845</v>
      </c>
      <c r="J683" t="s">
        <v>8765</v>
      </c>
      <c r="K683" t="str">
        <f>VLOOKUP(J683,Organisation!$A$2:$C$499,3,FALSE)</f>
        <v>CORG00100</v>
      </c>
      <c r="L683" t="str">
        <f>VLOOKUP(J683,Organisation!$A$2:$E$499,4,FALSE)</f>
        <v>Academic</v>
      </c>
      <c r="M683" t="s">
        <v>2920</v>
      </c>
      <c r="N683" t="s">
        <v>2921</v>
      </c>
      <c r="O683" t="s">
        <v>2922</v>
      </c>
      <c r="P683" s="3" t="s">
        <v>2923</v>
      </c>
      <c r="Q683" t="s">
        <v>2924</v>
      </c>
      <c r="S683" s="1">
        <v>1</v>
      </c>
      <c r="T683" t="str">
        <f>"Update Collaborator Set Organisation = '"&amp;J683&amp;"' where User_ID = '"&amp;B683&amp;"'; "</f>
        <v xml:space="preserve">Update Collaborator Set Organisation = 'Korea Institute of Science and Technology' where User_ID = 'CU00685'; </v>
      </c>
      <c r="U683" t="str">
        <f>"Update dcollab.collab_user Set Pi = True where User_ID = '"&amp;A683&amp;"'; "</f>
        <v xml:space="preserve">Update dcollab.collab_user Set Pi = True where User_ID = 'CUSR00733'; </v>
      </c>
    </row>
    <row r="684" spans="1:21">
      <c r="A684" t="s">
        <v>10306</v>
      </c>
      <c r="B684" t="s">
        <v>2642</v>
      </c>
      <c r="C684" t="s">
        <v>10540</v>
      </c>
      <c r="D684" t="s">
        <v>2643</v>
      </c>
      <c r="E684" t="s">
        <v>18</v>
      </c>
      <c r="F684" t="s">
        <v>2644</v>
      </c>
      <c r="G684" t="s">
        <v>2645</v>
      </c>
      <c r="H684">
        <f t="shared" si="10"/>
        <v>1</v>
      </c>
      <c r="I684" t="s">
        <v>71</v>
      </c>
      <c r="J684" t="s">
        <v>5803</v>
      </c>
      <c r="K684" t="str">
        <f>VLOOKUP(J684,Organisation!$A$2:$C$499,3,FALSE)</f>
        <v>CORG00269</v>
      </c>
      <c r="L684" t="str">
        <f>VLOOKUP(J684,Organisation!$A$2:$E$499,4,FALSE)</f>
        <v>Academic</v>
      </c>
      <c r="M684" t="s">
        <v>84</v>
      </c>
      <c r="N684" t="s">
        <v>2646</v>
      </c>
      <c r="O684" t="s">
        <v>8808</v>
      </c>
      <c r="P684" s="3" t="s">
        <v>2647</v>
      </c>
      <c r="Q684" t="s">
        <v>2648</v>
      </c>
      <c r="S684" s="1">
        <v>0</v>
      </c>
      <c r="T684" t="str">
        <f>"Update Collaborator Set Organisation = '"&amp;J684&amp;"' where User_ID = '"&amp;B684&amp;"'; "</f>
        <v xml:space="preserve">Update Collaborator Set Organisation = 'University of St Thomas' where User_ID = 'CU00686'; </v>
      </c>
      <c r="U684" t="str">
        <f>"Update dcollab.collab_user Set Pi = True where User_ID = '"&amp;A684&amp;"'; "</f>
        <v xml:space="preserve">Update dcollab.collab_user Set Pi = True where User_ID = 'CUSR00734'; </v>
      </c>
    </row>
    <row r="685" spans="1:21">
      <c r="A685" t="s">
        <v>10307</v>
      </c>
      <c r="B685" t="s">
        <v>4590</v>
      </c>
      <c r="D685" t="s">
        <v>2643</v>
      </c>
      <c r="E685" t="s">
        <v>7</v>
      </c>
      <c r="F685" t="s">
        <v>4591</v>
      </c>
      <c r="G685" t="s">
        <v>4587</v>
      </c>
      <c r="H685">
        <f t="shared" si="10"/>
        <v>2</v>
      </c>
      <c r="I685" t="s">
        <v>4592</v>
      </c>
      <c r="J685" t="s">
        <v>5803</v>
      </c>
      <c r="K685" t="str">
        <f>VLOOKUP(J685,Organisation!$A$2:$C$499,3,FALSE)</f>
        <v>CORG00269</v>
      </c>
      <c r="L685" t="str">
        <f>VLOOKUP(J685,Organisation!$A$2:$E$499,4,FALSE)</f>
        <v>Academic</v>
      </c>
      <c r="M685" t="s">
        <v>84</v>
      </c>
      <c r="N685" t="s">
        <v>2646</v>
      </c>
      <c r="O685" t="s">
        <v>8808</v>
      </c>
      <c r="P685" s="3" t="s">
        <v>4593</v>
      </c>
      <c r="Q685" t="s">
        <v>4594</v>
      </c>
      <c r="S685" s="1">
        <v>1</v>
      </c>
      <c r="T685" t="str">
        <f>"Update Collaborator Set Organisation = '"&amp;J685&amp;"' where User_ID = '"&amp;B685&amp;"'; "</f>
        <v xml:space="preserve">Update Collaborator Set Organisation = 'University of St Thomas' where User_ID = 'CU00687'; </v>
      </c>
    </row>
    <row r="686" spans="1:21">
      <c r="A686" t="s">
        <v>10308</v>
      </c>
      <c r="B686" t="s">
        <v>1119</v>
      </c>
      <c r="C686" t="s">
        <v>10540</v>
      </c>
      <c r="D686" t="s">
        <v>1120</v>
      </c>
      <c r="E686" t="s">
        <v>60</v>
      </c>
      <c r="F686" t="s">
        <v>1121</v>
      </c>
      <c r="G686" t="s">
        <v>1122</v>
      </c>
      <c r="H686">
        <f t="shared" si="10"/>
        <v>1</v>
      </c>
      <c r="I686" t="s">
        <v>82</v>
      </c>
      <c r="J686" t="s">
        <v>1123</v>
      </c>
      <c r="K686" t="str">
        <f>VLOOKUP(J686,Organisation!$A$2:$C$499,3,FALSE)</f>
        <v>CORG00078</v>
      </c>
      <c r="L686" t="str">
        <f>VLOOKUP(J686,Organisation!$A$2:$E$499,4,FALSE)</f>
        <v>Academic</v>
      </c>
      <c r="M686" t="s">
        <v>1124</v>
      </c>
      <c r="N686" t="s">
        <v>1125</v>
      </c>
      <c r="O686" t="s">
        <v>211</v>
      </c>
      <c r="P686" s="3" t="s">
        <v>1126</v>
      </c>
      <c r="Q686" t="s">
        <v>1127</v>
      </c>
      <c r="S686" s="1">
        <v>1</v>
      </c>
      <c r="T686" t="str">
        <f>"Update Collaborator Set Organisation = '"&amp;J686&amp;"' where User_ID = '"&amp;B686&amp;"'; "</f>
        <v xml:space="preserve">Update Collaborator Set Organisation = 'Indian Institute of Science' where User_ID = 'CU00688'; </v>
      </c>
      <c r="U686" t="str">
        <f>"Update dcollab.collab_user Set Pi = True where User_ID = '"&amp;A686&amp;"'; "</f>
        <v xml:space="preserve">Update dcollab.collab_user Set Pi = True where User_ID = 'CUSR00736'; </v>
      </c>
    </row>
    <row r="687" spans="1:21">
      <c r="A687" t="s">
        <v>10309</v>
      </c>
      <c r="B687" t="s">
        <v>3111</v>
      </c>
      <c r="D687" t="s">
        <v>1120</v>
      </c>
      <c r="E687" t="s">
        <v>60</v>
      </c>
      <c r="F687" t="s">
        <v>3112</v>
      </c>
      <c r="G687" t="s">
        <v>3113</v>
      </c>
      <c r="H687">
        <f t="shared" si="10"/>
        <v>1</v>
      </c>
      <c r="I687" t="s">
        <v>581</v>
      </c>
      <c r="J687" t="s">
        <v>1123</v>
      </c>
      <c r="K687" t="str">
        <f>VLOOKUP(J687,Organisation!$A$2:$C$499,3,FALSE)</f>
        <v>CORG00078</v>
      </c>
      <c r="L687" t="str">
        <f>VLOOKUP(J687,Organisation!$A$2:$E$499,4,FALSE)</f>
        <v>Academic</v>
      </c>
      <c r="M687" t="s">
        <v>1124</v>
      </c>
      <c r="N687" t="s">
        <v>1125</v>
      </c>
      <c r="O687" t="s">
        <v>211</v>
      </c>
      <c r="P687" s="3" t="s">
        <v>3114</v>
      </c>
      <c r="Q687" t="s">
        <v>3115</v>
      </c>
      <c r="S687" s="1">
        <v>1</v>
      </c>
      <c r="T687" t="str">
        <f>"Update Collaborator Set Organisation = '"&amp;J687&amp;"' where User_ID = '"&amp;B687&amp;"'; "</f>
        <v xml:space="preserve">Update Collaborator Set Organisation = 'Indian Institute of Science' where User_ID = 'CU00689'; </v>
      </c>
    </row>
    <row r="688" spans="1:21">
      <c r="A688" t="s">
        <v>9796</v>
      </c>
      <c r="B688" t="s">
        <v>10404</v>
      </c>
      <c r="D688" t="s">
        <v>17</v>
      </c>
      <c r="E688" t="s">
        <v>18</v>
      </c>
      <c r="F688" t="s">
        <v>19</v>
      </c>
      <c r="G688" t="s">
        <v>20</v>
      </c>
      <c r="H688">
        <f t="shared" si="10"/>
        <v>1</v>
      </c>
      <c r="I688" t="s">
        <v>21</v>
      </c>
      <c r="J688" t="s">
        <v>22</v>
      </c>
      <c r="K688" t="str">
        <f>VLOOKUP(J688,Organisation!$A$2:$C$499,3,FALSE)</f>
        <v>CORG00248</v>
      </c>
      <c r="L688" t="str">
        <f>VLOOKUP(J688,Organisation!$A$2:$E$499,4,FALSE)</f>
        <v>Academic</v>
      </c>
      <c r="M688" t="s">
        <v>23</v>
      </c>
      <c r="N688" t="s">
        <v>24</v>
      </c>
      <c r="O688" t="s">
        <v>25</v>
      </c>
      <c r="P688" s="3" t="s">
        <v>26</v>
      </c>
      <c r="Q688" t="s">
        <v>27</v>
      </c>
      <c r="S688" s="1">
        <v>0</v>
      </c>
      <c r="T688" t="str">
        <f>"Update Collaborator Set Organisation = '"&amp;J688&amp;"' where User_ID = '"&amp;B688&amp;"'; "</f>
        <v xml:space="preserve">Update Collaborator Set Organisation = 'University of Mosul' where User_ID = 'CU00690; CU00692'; </v>
      </c>
    </row>
    <row r="689" spans="1:21">
      <c r="A689" t="s">
        <v>9797</v>
      </c>
      <c r="B689" t="s">
        <v>4329</v>
      </c>
      <c r="D689" t="s">
        <v>17</v>
      </c>
      <c r="E689" t="s">
        <v>18</v>
      </c>
      <c r="F689" t="s">
        <v>4330</v>
      </c>
      <c r="G689" t="s">
        <v>4331</v>
      </c>
      <c r="H689">
        <f t="shared" si="10"/>
        <v>1</v>
      </c>
      <c r="I689" t="s">
        <v>4332</v>
      </c>
      <c r="J689" t="s">
        <v>22</v>
      </c>
      <c r="K689" t="str">
        <f>VLOOKUP(J689,Organisation!$A$2:$C$499,3,FALSE)</f>
        <v>CORG00248</v>
      </c>
      <c r="L689" t="str">
        <f>VLOOKUP(J689,Organisation!$A$2:$E$499,4,FALSE)</f>
        <v>Academic</v>
      </c>
      <c r="M689" t="s">
        <v>23</v>
      </c>
      <c r="N689" t="s">
        <v>4333</v>
      </c>
      <c r="O689" t="s">
        <v>25</v>
      </c>
      <c r="P689" s="3" t="s">
        <v>4334</v>
      </c>
      <c r="Q689" t="s">
        <v>4335</v>
      </c>
      <c r="S689" s="1">
        <v>1</v>
      </c>
      <c r="T689" t="str">
        <f>"Update Collaborator Set Organisation = '"&amp;J689&amp;"' where User_ID = '"&amp;B689&amp;"'; "</f>
        <v xml:space="preserve">Update Collaborator Set Organisation = 'University of Mosul' where User_ID = 'CU00691'; </v>
      </c>
    </row>
    <row r="690" spans="1:21">
      <c r="A690" t="s">
        <v>10310</v>
      </c>
      <c r="B690" t="s">
        <v>2046</v>
      </c>
      <c r="C690" t="s">
        <v>10540</v>
      </c>
      <c r="D690" t="s">
        <v>2047</v>
      </c>
      <c r="E690" t="s">
        <v>18</v>
      </c>
      <c r="F690" t="s">
        <v>2048</v>
      </c>
      <c r="G690" t="s">
        <v>2049</v>
      </c>
      <c r="H690">
        <f t="shared" si="10"/>
        <v>1</v>
      </c>
      <c r="I690" t="s">
        <v>2050</v>
      </c>
      <c r="J690" t="s">
        <v>2051</v>
      </c>
      <c r="K690" t="str">
        <f>VLOOKUP(J690,Organisation!$A$2:$C$499,3,FALSE)</f>
        <v>CORG00151</v>
      </c>
      <c r="L690" t="str">
        <f>VLOOKUP(J690,Organisation!$A$2:$E$499,4,FALSE)</f>
        <v>Academic</v>
      </c>
      <c r="M690" t="s">
        <v>2052</v>
      </c>
      <c r="N690" t="s">
        <v>2053</v>
      </c>
      <c r="O690" t="s">
        <v>2054</v>
      </c>
      <c r="P690" s="3" t="s">
        <v>2055</v>
      </c>
      <c r="Q690" t="s">
        <v>2056</v>
      </c>
      <c r="S690" s="1">
        <v>0</v>
      </c>
      <c r="T690" t="str">
        <f>"Update Collaborator Set Organisation = '"&amp;J690&amp;"' where User_ID = '"&amp;B690&amp;"'; "</f>
        <v xml:space="preserve">Update Collaborator Set Organisation = 'Pedeciba Universidad de la República' where User_ID = 'CU00694'; </v>
      </c>
      <c r="U690" t="str">
        <f>"Update dcollab.collab_user Set Pi = True where User_ID = '"&amp;A690&amp;"'; "</f>
        <v xml:space="preserve">Update dcollab.collab_user Set Pi = True where User_ID = 'CUSR00738'; </v>
      </c>
    </row>
    <row r="691" spans="1:21">
      <c r="A691" t="s">
        <v>10311</v>
      </c>
      <c r="B691" t="s">
        <v>1766</v>
      </c>
      <c r="C691" t="s">
        <v>10540</v>
      </c>
      <c r="D691" t="s">
        <v>1767</v>
      </c>
      <c r="E691" t="s">
        <v>41</v>
      </c>
      <c r="F691" t="s">
        <v>1768</v>
      </c>
      <c r="G691" t="s">
        <v>1769</v>
      </c>
      <c r="H691">
        <f t="shared" si="10"/>
        <v>1</v>
      </c>
      <c r="I691" t="s">
        <v>1770</v>
      </c>
      <c r="J691" t="s">
        <v>1771</v>
      </c>
      <c r="K691" t="str">
        <f>VLOOKUP(J691,Organisation!$A$2:$C$499,3,FALSE)</f>
        <v>CORG00007</v>
      </c>
      <c r="L691" t="str">
        <f>VLOOKUP(J691,Organisation!$A$2:$E$499,4,FALSE)</f>
        <v>Academic</v>
      </c>
      <c r="M691" t="s">
        <v>53</v>
      </c>
      <c r="N691" t="s">
        <v>1772</v>
      </c>
      <c r="O691" t="s">
        <v>55</v>
      </c>
      <c r="P691" s="3" t="s">
        <v>1773</v>
      </c>
      <c r="Q691" t="s">
        <v>1774</v>
      </c>
      <c r="S691" s="1">
        <v>1</v>
      </c>
      <c r="T691" t="str">
        <f>"Update Collaborator Set Organisation = '"&amp;J691&amp;"' where User_ID = '"&amp;B691&amp;"'; "</f>
        <v xml:space="preserve">Update Collaborator Set Organisation = 'Alexandria University' where User_ID = 'CU00695'; </v>
      </c>
      <c r="U691" t="str">
        <f>"Update dcollab.collab_user Set Pi = True where User_ID = '"&amp;A691&amp;"'; "</f>
        <v xml:space="preserve">Update dcollab.collab_user Set Pi = True where User_ID = 'CUSR00739'; </v>
      </c>
    </row>
    <row r="692" spans="1:21">
      <c r="A692" t="s">
        <v>10316</v>
      </c>
      <c r="B692" t="s">
        <v>1133</v>
      </c>
      <c r="C692" t="s">
        <v>10540</v>
      </c>
      <c r="D692" t="s">
        <v>1134</v>
      </c>
      <c r="E692" t="s">
        <v>60</v>
      </c>
      <c r="F692" t="s">
        <v>1135</v>
      </c>
      <c r="G692" t="s">
        <v>1136</v>
      </c>
      <c r="H692">
        <f t="shared" si="10"/>
        <v>1</v>
      </c>
      <c r="I692" t="s">
        <v>33</v>
      </c>
      <c r="J692" t="s">
        <v>606</v>
      </c>
      <c r="K692" t="str">
        <f>VLOOKUP(J692,Organisation!$A$2:$C$499,3,FALSE)</f>
        <v>CORG00179</v>
      </c>
      <c r="L692" t="str">
        <f>VLOOKUP(J692,Organisation!$A$2:$E$499,4,FALSE)</f>
        <v>Academic</v>
      </c>
      <c r="M692" t="s">
        <v>1137</v>
      </c>
      <c r="N692" t="s">
        <v>1138</v>
      </c>
      <c r="O692" t="s">
        <v>609</v>
      </c>
      <c r="P692" s="3" t="s">
        <v>1139</v>
      </c>
      <c r="Q692" t="s">
        <v>1140</v>
      </c>
      <c r="S692" s="1">
        <v>1</v>
      </c>
      <c r="T692" t="str">
        <f>"Update Collaborator Set Organisation = '"&amp;J692&amp;"' where User_ID = '"&amp;B692&amp;"'; "</f>
        <v xml:space="preserve">Update Collaborator Set Organisation = 'Stellenbosch University' where User_ID = 'CU00696'; </v>
      </c>
      <c r="U692" t="str">
        <f>"Update dcollab.collab_user Set Pi = True where User_ID = '"&amp;A692&amp;"'; "</f>
        <v xml:space="preserve">Update dcollab.collab_user Set Pi = True where User_ID = 'CUSR00744'; </v>
      </c>
    </row>
    <row r="693" spans="1:21">
      <c r="A693" t="s">
        <v>10319</v>
      </c>
      <c r="B693" t="s">
        <v>3258</v>
      </c>
      <c r="C693" t="s">
        <v>10540</v>
      </c>
      <c r="D693" t="s">
        <v>3259</v>
      </c>
      <c r="E693" t="s">
        <v>41</v>
      </c>
      <c r="F693" t="s">
        <v>3260</v>
      </c>
      <c r="G693" t="s">
        <v>3261</v>
      </c>
      <c r="H693">
        <f t="shared" si="10"/>
        <v>1</v>
      </c>
      <c r="I693" t="s">
        <v>71</v>
      </c>
      <c r="J693" t="s">
        <v>815</v>
      </c>
      <c r="K693" t="str">
        <f>VLOOKUP(J693,Organisation!$A$2:$C$499,3,FALSE)</f>
        <v>CORG00075</v>
      </c>
      <c r="L693" t="str">
        <f>VLOOKUP(J693,Organisation!$A$2:$E$499,4,FALSE)</f>
        <v>Academic</v>
      </c>
      <c r="M693" t="s">
        <v>73</v>
      </c>
      <c r="N693" t="s">
        <v>3262</v>
      </c>
      <c r="O693" t="s">
        <v>269</v>
      </c>
      <c r="P693" s="3" t="s">
        <v>3263</v>
      </c>
      <c r="Q693" t="s">
        <v>3264</v>
      </c>
      <c r="S693" s="1">
        <v>1</v>
      </c>
      <c r="T693" t="str">
        <f>"Update Collaborator Set Organisation = '"&amp;J693&amp;"' where User_ID = '"&amp;B693&amp;"'; "</f>
        <v xml:space="preserve">Update Collaborator Set Organisation = 'Imperial College London' where User_ID = 'CU00697'; </v>
      </c>
      <c r="U693" t="str">
        <f>"Update dcollab.collab_user Set Pi = True where User_ID = '"&amp;A693&amp;"'; "</f>
        <v xml:space="preserve">Update dcollab.collab_user Set Pi = True where User_ID = 'CUSR00747'; </v>
      </c>
    </row>
    <row r="694" spans="1:21">
      <c r="A694" t="s">
        <v>9639</v>
      </c>
      <c r="B694" t="s">
        <v>2193</v>
      </c>
      <c r="D694" t="s">
        <v>2194</v>
      </c>
      <c r="E694" t="s">
        <v>110</v>
      </c>
      <c r="F694" t="s">
        <v>2195</v>
      </c>
      <c r="G694" t="s">
        <v>2196</v>
      </c>
      <c r="H694">
        <f t="shared" si="10"/>
        <v>1</v>
      </c>
      <c r="I694" t="s">
        <v>343</v>
      </c>
      <c r="J694" t="s">
        <v>362</v>
      </c>
      <c r="K694" t="str">
        <f>VLOOKUP(J694,Organisation!$A$2:$C$499,3,FALSE)</f>
        <v>CORG00001</v>
      </c>
      <c r="L694" t="str">
        <f>VLOOKUP(J694,Organisation!$A$2:$E$499,4,FALSE)</f>
        <v>Academic</v>
      </c>
      <c r="M694" t="s">
        <v>416</v>
      </c>
      <c r="N694" t="s">
        <v>2198</v>
      </c>
      <c r="O694" t="s">
        <v>14</v>
      </c>
      <c r="P694" s="3" t="s">
        <v>2199</v>
      </c>
      <c r="Q694" t="s">
        <v>2200</v>
      </c>
      <c r="S694" s="1">
        <v>1</v>
      </c>
      <c r="T694" t="str">
        <f>"Update Collaborator Set Organisation = '"&amp;J694&amp;"' where User_ID = '"&amp;B694&amp;"'; "</f>
        <v xml:space="preserve">Update Collaborator Set Organisation = 'University of Queensland' where User_ID = 'CU00698'; </v>
      </c>
    </row>
    <row r="695" spans="1:21">
      <c r="A695" t="s">
        <v>10312</v>
      </c>
      <c r="B695" t="s">
        <v>3414</v>
      </c>
      <c r="C695" t="s">
        <v>10540</v>
      </c>
      <c r="D695" t="s">
        <v>1870</v>
      </c>
      <c r="E695" t="s">
        <v>41</v>
      </c>
      <c r="F695" t="s">
        <v>3415</v>
      </c>
      <c r="G695" t="s">
        <v>3416</v>
      </c>
      <c r="H695">
        <f t="shared" si="10"/>
        <v>1</v>
      </c>
      <c r="I695" t="s">
        <v>3417</v>
      </c>
      <c r="J695" t="s">
        <v>8752</v>
      </c>
      <c r="K695" t="str">
        <f>VLOOKUP(J695,Organisation!$A$2:$C$499,3,FALSE)</f>
        <v>CORG00014</v>
      </c>
      <c r="L695" t="str">
        <f>VLOOKUP(J695,Organisation!$A$2:$E$499,4,FALSE)</f>
        <v>Academic</v>
      </c>
      <c r="M695" t="s">
        <v>1872</v>
      </c>
      <c r="N695" t="s">
        <v>1873</v>
      </c>
      <c r="O695" t="s">
        <v>14</v>
      </c>
      <c r="P695" s="3" t="s">
        <v>3418</v>
      </c>
      <c r="Q695" t="s">
        <v>3419</v>
      </c>
      <c r="S695" s="1">
        <v>1</v>
      </c>
      <c r="T695" t="str">
        <f>"Update Collaborator Set Organisation = '"&amp;J695&amp;"' where User_ID = '"&amp;B695&amp;"'; "</f>
        <v xml:space="preserve">Update Collaborator Set Organisation = 'Australian National University' where User_ID = 'CU00699'; </v>
      </c>
      <c r="U695" t="str">
        <f>"Update dcollab.collab_user Set Pi = True where User_ID = '"&amp;A695&amp;"'; "</f>
        <v xml:space="preserve">Update dcollab.collab_user Set Pi = True where User_ID = 'CUSR00740'; </v>
      </c>
    </row>
    <row r="696" spans="1:21">
      <c r="A696" t="s">
        <v>10313</v>
      </c>
      <c r="B696" t="s">
        <v>1869</v>
      </c>
      <c r="D696" t="s">
        <v>1870</v>
      </c>
      <c r="E696" t="s">
        <v>60</v>
      </c>
      <c r="F696" t="s">
        <v>872</v>
      </c>
      <c r="G696" t="s">
        <v>1871</v>
      </c>
      <c r="H696">
        <f t="shared" si="10"/>
        <v>1</v>
      </c>
      <c r="I696" t="s">
        <v>605</v>
      </c>
      <c r="J696" t="s">
        <v>8752</v>
      </c>
      <c r="K696" t="str">
        <f>VLOOKUP(J696,Organisation!$A$2:$C$499,3,FALSE)</f>
        <v>CORG00014</v>
      </c>
      <c r="L696" t="str">
        <f>VLOOKUP(J696,Organisation!$A$2:$E$499,4,FALSE)</f>
        <v>Academic</v>
      </c>
      <c r="M696" t="s">
        <v>1872</v>
      </c>
      <c r="N696" t="s">
        <v>1873</v>
      </c>
      <c r="O696" t="s">
        <v>14</v>
      </c>
      <c r="P696" s="3" t="s">
        <v>1874</v>
      </c>
      <c r="Q696" t="s">
        <v>1875</v>
      </c>
      <c r="S696" s="1">
        <v>1</v>
      </c>
      <c r="T696" t="str">
        <f>"Update Collaborator Set Organisation = '"&amp;J696&amp;"' where User_ID = '"&amp;B696&amp;"'; "</f>
        <v xml:space="preserve">Update Collaborator Set Organisation = 'Australian National University' where User_ID = 'CU00700'; </v>
      </c>
    </row>
    <row r="697" spans="1:21">
      <c r="A697" t="s">
        <v>10192</v>
      </c>
      <c r="B697" t="s">
        <v>2768</v>
      </c>
      <c r="C697" t="s">
        <v>10540</v>
      </c>
      <c r="D697" t="s">
        <v>2769</v>
      </c>
      <c r="E697" t="s">
        <v>60</v>
      </c>
      <c r="F697" t="s">
        <v>2770</v>
      </c>
      <c r="G697" t="s">
        <v>2771</v>
      </c>
      <c r="H697">
        <f t="shared" si="10"/>
        <v>1</v>
      </c>
      <c r="I697" t="s">
        <v>2772</v>
      </c>
      <c r="J697" t="s">
        <v>4404</v>
      </c>
      <c r="K697" t="str">
        <f>VLOOKUP(J697,Organisation!$A$2:$C$499,3,FALSE)</f>
        <v>CORG00275</v>
      </c>
      <c r="L697" t="str">
        <f>VLOOKUP(J697,Organisation!$A$2:$E$499,4,FALSE)</f>
        <v>Academic</v>
      </c>
      <c r="M697" t="s">
        <v>84</v>
      </c>
      <c r="N697" t="s">
        <v>2774</v>
      </c>
      <c r="O697" t="s">
        <v>609</v>
      </c>
      <c r="P697" s="3" t="s">
        <v>2775</v>
      </c>
      <c r="Q697" t="s">
        <v>2776</v>
      </c>
      <c r="S697" s="1">
        <v>1</v>
      </c>
      <c r="T697" t="str">
        <f>"Update Collaborator Set Organisation = '"&amp;J697&amp;"' where User_ID = '"&amp;B697&amp;"'; "</f>
        <v xml:space="preserve">Update Collaborator Set Organisation = 'University of the Free State' where User_ID = 'CU00701'; </v>
      </c>
      <c r="U697" t="str">
        <f>"Update dcollab.collab_user Set Pi = True where User_ID = '"&amp;A697&amp;"'; "</f>
        <v xml:space="preserve">Update dcollab.collab_user Set Pi = True where User_ID = 'CUSR00619'; </v>
      </c>
    </row>
    <row r="698" spans="1:21">
      <c r="A698" t="s">
        <v>9999</v>
      </c>
      <c r="B698" t="s">
        <v>1785</v>
      </c>
      <c r="C698" t="s">
        <v>10540</v>
      </c>
      <c r="D698" t="s">
        <v>1786</v>
      </c>
      <c r="E698" t="s">
        <v>41</v>
      </c>
      <c r="F698" t="s">
        <v>1787</v>
      </c>
      <c r="G698" t="s">
        <v>1788</v>
      </c>
      <c r="H698">
        <f t="shared" si="10"/>
        <v>2</v>
      </c>
      <c r="I698" t="s">
        <v>1789</v>
      </c>
      <c r="J698" t="s">
        <v>1790</v>
      </c>
      <c r="K698" t="str">
        <f>VLOOKUP(J698,Organisation!$A$2:$C$499,3,FALSE)</f>
        <v>CORG00111</v>
      </c>
      <c r="L698" t="str">
        <f>VLOOKUP(J698,Organisation!$A$2:$E$499,4,FALSE)</f>
        <v>Academic</v>
      </c>
      <c r="M698" t="s">
        <v>1791</v>
      </c>
      <c r="N698" t="s">
        <v>1792</v>
      </c>
      <c r="O698" t="s">
        <v>55</v>
      </c>
      <c r="P698" s="3" t="s">
        <v>1793</v>
      </c>
      <c r="Q698" t="s">
        <v>1794</v>
      </c>
      <c r="S698" s="1">
        <v>1</v>
      </c>
      <c r="T698" t="str">
        <f>"Update Collaborator Set Organisation = '"&amp;J698&amp;"' where User_ID = '"&amp;B698&amp;"'; "</f>
        <v xml:space="preserve">Update Collaborator Set Organisation = 'Mansoura University' where User_ID = 'CU00702'; </v>
      </c>
      <c r="U698" t="str">
        <f>"Update dcollab.collab_user Set Pi = True where User_ID = '"&amp;A698&amp;"'; "</f>
        <v xml:space="preserve">Update dcollab.collab_user Set Pi = True where User_ID = 'CUSR00411'; </v>
      </c>
    </row>
    <row r="699" spans="1:21">
      <c r="A699" t="s">
        <v>10314</v>
      </c>
      <c r="B699" t="s">
        <v>4662</v>
      </c>
      <c r="C699" t="s">
        <v>10540</v>
      </c>
      <c r="D699" t="s">
        <v>887</v>
      </c>
      <c r="E699" t="s">
        <v>60</v>
      </c>
      <c r="F699" t="s">
        <v>4663</v>
      </c>
      <c r="G699" t="s">
        <v>4664</v>
      </c>
      <c r="H699">
        <f t="shared" si="10"/>
        <v>1</v>
      </c>
      <c r="I699" t="s">
        <v>4665</v>
      </c>
      <c r="J699" t="s">
        <v>890</v>
      </c>
      <c r="K699" t="str">
        <f>VLOOKUP(J699,Organisation!$A$2:$C$499,3,FALSE)</f>
        <v>CORG00073</v>
      </c>
      <c r="L699" t="str">
        <f>VLOOKUP(J699,Organisation!$A$2:$E$499,4,FALSE)</f>
        <v>Academic</v>
      </c>
      <c r="M699" t="s">
        <v>84</v>
      </c>
      <c r="N699" t="s">
        <v>8828</v>
      </c>
      <c r="O699" t="s">
        <v>891</v>
      </c>
      <c r="P699" s="3" t="s">
        <v>4667</v>
      </c>
      <c r="Q699" t="s">
        <v>4668</v>
      </c>
      <c r="S699" s="1">
        <v>1</v>
      </c>
      <c r="T699" t="str">
        <f>"Update Collaborator Set Organisation = '"&amp;J699&amp;"' where User_ID = '"&amp;B699&amp;"'; "</f>
        <v xml:space="preserve">Update Collaborator Set Organisation = 'Ibn Tofail University' where User_ID = 'CU00703'; </v>
      </c>
      <c r="U699" t="str">
        <f>"Update dcollab.collab_user Set Pi = True where User_ID = '"&amp;A699&amp;"'; "</f>
        <v xml:space="preserve">Update dcollab.collab_user Set Pi = True where User_ID = 'CUSR00742'; </v>
      </c>
    </row>
    <row r="700" spans="1:21">
      <c r="A700" t="s">
        <v>10315</v>
      </c>
      <c r="B700" t="s">
        <v>886</v>
      </c>
      <c r="D700" t="s">
        <v>887</v>
      </c>
      <c r="E700" t="s">
        <v>41</v>
      </c>
      <c r="F700" t="s">
        <v>888</v>
      </c>
      <c r="G700" t="s">
        <v>889</v>
      </c>
      <c r="H700">
        <f t="shared" si="10"/>
        <v>1</v>
      </c>
      <c r="I700" t="s">
        <v>71</v>
      </c>
      <c r="J700" t="s">
        <v>890</v>
      </c>
      <c r="K700" t="str">
        <f>VLOOKUP(J700,Organisation!$A$2:$C$499,3,FALSE)</f>
        <v>CORG00073</v>
      </c>
      <c r="L700" t="str">
        <f>VLOOKUP(J700,Organisation!$A$2:$E$499,4,FALSE)</f>
        <v>Academic</v>
      </c>
      <c r="M700" t="s">
        <v>84</v>
      </c>
      <c r="N700" t="s">
        <v>8828</v>
      </c>
      <c r="O700" t="s">
        <v>891</v>
      </c>
      <c r="P700" s="3" t="s">
        <v>892</v>
      </c>
      <c r="Q700" t="s">
        <v>893</v>
      </c>
      <c r="S700" s="1">
        <v>1</v>
      </c>
      <c r="T700" t="str">
        <f>"Update Collaborator Set Organisation = '"&amp;J700&amp;"' where User_ID = '"&amp;B700&amp;"'; "</f>
        <v xml:space="preserve">Update Collaborator Set Organisation = 'Ibn Tofail University' where User_ID = 'CU00704'; </v>
      </c>
    </row>
    <row r="701" spans="1:21">
      <c r="A701" t="s">
        <v>10267</v>
      </c>
      <c r="B701" t="s">
        <v>5199</v>
      </c>
      <c r="C701" t="s">
        <v>10540</v>
      </c>
      <c r="D701" t="s">
        <v>4396</v>
      </c>
      <c r="E701" t="s">
        <v>41</v>
      </c>
      <c r="F701" t="s">
        <v>5200</v>
      </c>
      <c r="G701" t="s">
        <v>5201</v>
      </c>
      <c r="H701">
        <f t="shared" si="10"/>
        <v>1</v>
      </c>
      <c r="J701" t="s">
        <v>1114</v>
      </c>
      <c r="K701" t="str">
        <f>VLOOKUP(J701,Organisation!$A$2:$C$499,3,FALSE)</f>
        <v>CORG00106</v>
      </c>
      <c r="L701" t="str">
        <f>VLOOKUP(J701,Organisation!$A$2:$E$499,4,FALSE)</f>
        <v>Academic</v>
      </c>
      <c r="M701" t="s">
        <v>4398</v>
      </c>
      <c r="N701" t="s">
        <v>4399</v>
      </c>
      <c r="O701" t="s">
        <v>14</v>
      </c>
      <c r="P701" s="3" t="s">
        <v>5202</v>
      </c>
      <c r="Q701" t="s">
        <v>5203</v>
      </c>
      <c r="S701" t="s">
        <v>851</v>
      </c>
      <c r="T701" t="str">
        <f>"Update Collaborator Set Organisation = '"&amp;J701&amp;"' where User_ID = '"&amp;B701&amp;"'; "</f>
        <v xml:space="preserve">Update Collaborator Set Organisation = 'Macquarie University' where User_ID = 'CU00705'; </v>
      </c>
      <c r="U701" t="str">
        <f>"Update dcollab.collab_user Set Pi = True where User_ID = '"&amp;A701&amp;"'; "</f>
        <v xml:space="preserve">Update dcollab.collab_user Set Pi = True where User_ID = 'CUSR00694'; </v>
      </c>
    </row>
    <row r="702" spans="1:21">
      <c r="A702" t="s">
        <v>9902</v>
      </c>
      <c r="B702" t="s">
        <v>310</v>
      </c>
      <c r="D702" t="s">
        <v>311</v>
      </c>
      <c r="E702" t="s">
        <v>60</v>
      </c>
      <c r="F702" t="s">
        <v>312</v>
      </c>
      <c r="G702" t="s">
        <v>313</v>
      </c>
      <c r="H702">
        <f t="shared" si="10"/>
        <v>1</v>
      </c>
      <c r="I702" t="s">
        <v>314</v>
      </c>
      <c r="J702" t="s">
        <v>315</v>
      </c>
      <c r="K702" t="str">
        <f>VLOOKUP(J702,Organisation!$A$2:$C$499,3,FALSE)</f>
        <v>CORG00097</v>
      </c>
      <c r="L702" t="str">
        <f>VLOOKUP(J702,Organisation!$A$2:$E$499,4,FALSE)</f>
        <v>Academic</v>
      </c>
      <c r="M702" t="s">
        <v>316</v>
      </c>
      <c r="N702" t="s">
        <v>317</v>
      </c>
      <c r="O702" t="s">
        <v>318</v>
      </c>
      <c r="P702" s="3" t="s">
        <v>319</v>
      </c>
      <c r="Q702" t="s">
        <v>320</v>
      </c>
      <c r="S702" s="1">
        <v>1</v>
      </c>
      <c r="T702" t="str">
        <f>"Update Collaborator Set Organisation = '"&amp;J702&amp;"' where User_ID = '"&amp;B702&amp;"'; "</f>
        <v xml:space="preserve">Update Collaborator Set Organisation = 'King Saud University' where User_ID = 'CU00706'; </v>
      </c>
    </row>
    <row r="703" spans="1:21">
      <c r="A703" t="s">
        <v>10320</v>
      </c>
      <c r="B703" t="s">
        <v>4774</v>
      </c>
      <c r="C703" t="s">
        <v>10540</v>
      </c>
      <c r="D703" t="s">
        <v>4775</v>
      </c>
      <c r="E703" t="s">
        <v>60</v>
      </c>
      <c r="F703" t="s">
        <v>762</v>
      </c>
      <c r="G703" t="s">
        <v>4776</v>
      </c>
      <c r="H703">
        <f t="shared" si="10"/>
        <v>1</v>
      </c>
      <c r="I703" t="s">
        <v>190</v>
      </c>
      <c r="J703" t="s">
        <v>4777</v>
      </c>
      <c r="K703" t="str">
        <f>VLOOKUP(J703,Organisation!$A$2:$C$499,3,FALSE)</f>
        <v>CORG00265</v>
      </c>
      <c r="L703" t="str">
        <f>VLOOKUP(J703,Organisation!$A$2:$E$499,4,FALSE)</f>
        <v>Academic</v>
      </c>
      <c r="M703" t="s">
        <v>84</v>
      </c>
      <c r="N703" t="s">
        <v>4778</v>
      </c>
      <c r="O703" t="s">
        <v>2674</v>
      </c>
      <c r="P703" s="3" t="s">
        <v>4779</v>
      </c>
      <c r="Q703" t="s">
        <v>4780</v>
      </c>
      <c r="S703" s="1">
        <v>1</v>
      </c>
      <c r="T703" t="str">
        <f>"Update Collaborator Set Organisation = '"&amp;J703&amp;"' where User_ID = '"&amp;B703&amp;"'; "</f>
        <v xml:space="preserve">Update Collaborator Set Organisation = 'University of Science and Technology Bannu' where User_ID = 'CU00707'; </v>
      </c>
      <c r="U703" t="str">
        <f>"Update dcollab.collab_user Set Pi = True where User_ID = '"&amp;A703&amp;"'; "</f>
        <v xml:space="preserve">Update dcollab.collab_user Set Pi = True where User_ID = 'CUSR00748'; </v>
      </c>
    </row>
    <row r="704" spans="1:21">
      <c r="A704" t="s">
        <v>10269</v>
      </c>
      <c r="B704" t="s">
        <v>4716</v>
      </c>
      <c r="D704" t="s">
        <v>455</v>
      </c>
      <c r="E704" t="s">
        <v>7</v>
      </c>
      <c r="F704" t="s">
        <v>4717</v>
      </c>
      <c r="G704" t="s">
        <v>4718</v>
      </c>
      <c r="H704">
        <f t="shared" si="10"/>
        <v>1</v>
      </c>
      <c r="I704" t="s">
        <v>333</v>
      </c>
      <c r="J704" t="s">
        <v>457</v>
      </c>
      <c r="K704" t="str">
        <f>VLOOKUP(J704,Organisation!$A$2:$C$499,3,FALSE)</f>
        <v>CORG00140</v>
      </c>
      <c r="L704" t="str">
        <f>VLOOKUP(J704,Organisation!$A$2:$E$499,4,FALSE)</f>
        <v>Academic</v>
      </c>
      <c r="M704" t="s">
        <v>73</v>
      </c>
      <c r="N704" t="s">
        <v>458</v>
      </c>
      <c r="O704" t="s">
        <v>459</v>
      </c>
      <c r="P704" s="3" t="s">
        <v>460</v>
      </c>
      <c r="Q704" t="s">
        <v>4719</v>
      </c>
      <c r="S704" s="1">
        <v>1</v>
      </c>
      <c r="T704" t="str">
        <f>"Update Collaborator Set Organisation = '"&amp;J704&amp;"' where User_ID = '"&amp;B704&amp;"'; "</f>
        <v xml:space="preserve">Update Collaborator Set Organisation = 'National University of Singapore' where User_ID = 'CU00708'; </v>
      </c>
    </row>
    <row r="705" spans="1:21">
      <c r="A705" t="s">
        <v>9610</v>
      </c>
      <c r="B705" t="s">
        <v>2008</v>
      </c>
      <c r="D705" t="s">
        <v>448</v>
      </c>
      <c r="E705" t="s">
        <v>228</v>
      </c>
      <c r="F705" t="s">
        <v>2009</v>
      </c>
      <c r="G705" t="s">
        <v>2010</v>
      </c>
      <c r="H705">
        <f t="shared" si="10"/>
        <v>1</v>
      </c>
      <c r="I705" t="s">
        <v>343</v>
      </c>
      <c r="J705" t="s">
        <v>362</v>
      </c>
      <c r="K705" t="str">
        <f>VLOOKUP(J705,Organisation!$A$2:$C$499,3,FALSE)</f>
        <v>CORG00001</v>
      </c>
      <c r="L705" t="str">
        <f>VLOOKUP(J705,Organisation!$A$2:$E$499,4,FALSE)</f>
        <v>Academic</v>
      </c>
      <c r="M705" t="s">
        <v>416</v>
      </c>
      <c r="N705" t="s">
        <v>451</v>
      </c>
      <c r="O705" t="s">
        <v>14</v>
      </c>
      <c r="P705" s="3" t="s">
        <v>2011</v>
      </c>
      <c r="Q705" t="s">
        <v>2012</v>
      </c>
      <c r="S705" s="1">
        <v>1</v>
      </c>
      <c r="T705" t="str">
        <f>"Update Collaborator Set Organisation = '"&amp;J705&amp;"' where User_ID = '"&amp;B705&amp;"'; "</f>
        <v xml:space="preserve">Update Collaborator Set Organisation = 'University of Queensland' where User_ID = 'CU00709'; </v>
      </c>
    </row>
    <row r="706" spans="1:21">
      <c r="A706" t="s">
        <v>10002</v>
      </c>
      <c r="B706" t="s">
        <v>5060</v>
      </c>
      <c r="C706" t="s">
        <v>10540</v>
      </c>
      <c r="D706" t="s">
        <v>3691</v>
      </c>
      <c r="E706" t="s">
        <v>60</v>
      </c>
      <c r="F706" t="s">
        <v>4632</v>
      </c>
      <c r="G706" t="s">
        <v>4802</v>
      </c>
      <c r="H706">
        <f t="shared" ref="H706:H769" si="11">COUNTIF($G$2:$G$900,G706)</f>
        <v>2</v>
      </c>
      <c r="I706" t="s">
        <v>71</v>
      </c>
      <c r="J706" t="s">
        <v>3693</v>
      </c>
      <c r="K706" t="str">
        <f>VLOOKUP(J706,Organisation!$A$2:$C$499,3,FALSE)</f>
        <v>CORG00289</v>
      </c>
      <c r="L706" t="str">
        <f>VLOOKUP(J706,Organisation!$A$2:$E$499,4,FALSE)</f>
        <v>Academic</v>
      </c>
      <c r="M706" t="s">
        <v>84</v>
      </c>
      <c r="N706" t="s">
        <v>3841</v>
      </c>
      <c r="O706" t="s">
        <v>75</v>
      </c>
      <c r="P706" s="3" t="s">
        <v>5061</v>
      </c>
      <c r="Q706" t="s">
        <v>5062</v>
      </c>
      <c r="S706" s="1">
        <v>1</v>
      </c>
      <c r="T706" t="str">
        <f>"Update Collaborator Set Organisation = '"&amp;J706&amp;"' where User_ID = '"&amp;B706&amp;"'; "</f>
        <v xml:space="preserve">Update Collaborator Set Organisation = 'University of Waterloo' where User_ID = 'CU00710'; </v>
      </c>
      <c r="U706" t="str">
        <f>"Update dcollab.collab_user Set Pi = True where User_ID = '"&amp;A706&amp;"'; "</f>
        <v xml:space="preserve">Update dcollab.collab_user Set Pi = True where User_ID = 'CUSR00414'; </v>
      </c>
    </row>
    <row r="707" spans="1:21">
      <c r="A707" t="s">
        <v>10003</v>
      </c>
      <c r="B707" t="s">
        <v>3839</v>
      </c>
      <c r="D707" t="s">
        <v>3691</v>
      </c>
      <c r="E707" t="s">
        <v>7</v>
      </c>
      <c r="F707" t="s">
        <v>1639</v>
      </c>
      <c r="G707" t="s">
        <v>3840</v>
      </c>
      <c r="H707">
        <f t="shared" si="11"/>
        <v>1</v>
      </c>
      <c r="I707" t="s">
        <v>152</v>
      </c>
      <c r="J707" t="s">
        <v>3693</v>
      </c>
      <c r="K707" t="str">
        <f>VLOOKUP(J707,Organisation!$A$2:$C$499,3,FALSE)</f>
        <v>CORG00289</v>
      </c>
      <c r="L707" t="str">
        <f>VLOOKUP(J707,Organisation!$A$2:$E$499,4,FALSE)</f>
        <v>Academic</v>
      </c>
      <c r="M707" t="s">
        <v>84</v>
      </c>
      <c r="N707" t="s">
        <v>3841</v>
      </c>
      <c r="O707" t="s">
        <v>75</v>
      </c>
      <c r="P707" s="3" t="s">
        <v>3842</v>
      </c>
      <c r="Q707" t="s">
        <v>3843</v>
      </c>
      <c r="S707" s="1">
        <v>1</v>
      </c>
      <c r="T707" t="str">
        <f>"Update Collaborator Set Organisation = '"&amp;J707&amp;"' where User_ID = '"&amp;B707&amp;"'; "</f>
        <v xml:space="preserve">Update Collaborator Set Organisation = 'University of Waterloo' where User_ID = 'CU00711'; </v>
      </c>
    </row>
    <row r="708" spans="1:21">
      <c r="A708" t="s">
        <v>10086</v>
      </c>
      <c r="B708" t="s">
        <v>1019</v>
      </c>
      <c r="D708" t="s">
        <v>1020</v>
      </c>
      <c r="E708" t="s">
        <v>60</v>
      </c>
      <c r="F708" t="s">
        <v>1021</v>
      </c>
      <c r="G708" t="s">
        <v>1022</v>
      </c>
      <c r="H708">
        <f t="shared" si="11"/>
        <v>1</v>
      </c>
      <c r="I708" t="s">
        <v>1023</v>
      </c>
      <c r="J708" t="s">
        <v>596</v>
      </c>
      <c r="K708" t="str">
        <f>VLOOKUP(J708,Organisation!$A$2:$C$499,3,FALSE)</f>
        <v>CORG00216</v>
      </c>
      <c r="L708" t="str">
        <f>VLOOKUP(J708,Organisation!$A$2:$E$499,4,FALSE)</f>
        <v>Academic</v>
      </c>
      <c r="M708" t="s">
        <v>597</v>
      </c>
      <c r="N708" t="s">
        <v>1024</v>
      </c>
      <c r="O708" t="s">
        <v>223</v>
      </c>
      <c r="Q708" t="s">
        <v>1025</v>
      </c>
      <c r="S708" s="1">
        <v>1</v>
      </c>
      <c r="T708" t="str">
        <f>"Update Collaborator Set Organisation = '"&amp;J708&amp;"' where User_ID = '"&amp;B708&amp;"'; "</f>
        <v xml:space="preserve">Update Collaborator Set Organisation = 'University of Auckland' where User_ID = 'CU00712'; </v>
      </c>
    </row>
    <row r="709" spans="1:21">
      <c r="A709" t="s">
        <v>10321</v>
      </c>
      <c r="B709" t="s">
        <v>3067</v>
      </c>
      <c r="C709" t="s">
        <v>10540</v>
      </c>
      <c r="D709" t="s">
        <v>3068</v>
      </c>
      <c r="E709" t="s">
        <v>7</v>
      </c>
      <c r="F709" t="s">
        <v>3069</v>
      </c>
      <c r="G709" t="s">
        <v>3070</v>
      </c>
      <c r="H709">
        <f t="shared" si="11"/>
        <v>1</v>
      </c>
      <c r="I709" t="s">
        <v>152</v>
      </c>
      <c r="J709" t="s">
        <v>3071</v>
      </c>
      <c r="K709" t="str">
        <f>VLOOKUP(J709,Organisation!$A$2:$C$499,3,FALSE)</f>
        <v>CORG00043</v>
      </c>
      <c r="L709" t="str">
        <f>VLOOKUP(J709,Organisation!$A$2:$E$499,4,FALSE)</f>
        <v>Academic</v>
      </c>
      <c r="M709" t="s">
        <v>3072</v>
      </c>
      <c r="N709" t="s">
        <v>3073</v>
      </c>
      <c r="O709" t="s">
        <v>848</v>
      </c>
      <c r="P709" s="3" t="s">
        <v>3074</v>
      </c>
      <c r="Q709" t="s">
        <v>3075</v>
      </c>
      <c r="S709" s="1">
        <v>1</v>
      </c>
      <c r="T709" t="str">
        <f>"Update Collaborator Set Organisation = '"&amp;J709&amp;"' where User_ID = '"&amp;B709&amp;"'; "</f>
        <v xml:space="preserve">Update Collaborator Set Organisation = 'Cracow University of Technology' where User_ID = 'CU00713'; </v>
      </c>
      <c r="U709" t="str">
        <f>"Update dcollab.collab_user Set Pi = True where User_ID = '"&amp;A709&amp;"'; "</f>
        <v xml:space="preserve">Update dcollab.collab_user Set Pi = True where User_ID = 'CUSR00749'; </v>
      </c>
    </row>
    <row r="710" spans="1:21">
      <c r="A710" t="s">
        <v>10322</v>
      </c>
      <c r="B710" t="s">
        <v>2219</v>
      </c>
      <c r="C710" t="s">
        <v>10540</v>
      </c>
      <c r="D710" t="s">
        <v>2071</v>
      </c>
      <c r="E710" t="s">
        <v>41</v>
      </c>
      <c r="F710" t="s">
        <v>2220</v>
      </c>
      <c r="G710" t="s">
        <v>2221</v>
      </c>
      <c r="H710">
        <f t="shared" si="11"/>
        <v>1</v>
      </c>
      <c r="I710" t="s">
        <v>516</v>
      </c>
      <c r="J710" t="s">
        <v>2074</v>
      </c>
      <c r="K710" t="str">
        <f>VLOOKUP(J710,Organisation!$A$2:$C$499,3,FALSE)</f>
        <v>CORG00206</v>
      </c>
      <c r="L710" t="str">
        <f>VLOOKUP(J710,Organisation!$A$2:$E$499,4,FALSE)</f>
        <v>Academic</v>
      </c>
      <c r="M710" t="s">
        <v>73</v>
      </c>
      <c r="N710" t="s">
        <v>2222</v>
      </c>
      <c r="O710" t="s">
        <v>1510</v>
      </c>
      <c r="P710" s="3" t="s">
        <v>2077</v>
      </c>
      <c r="Q710" t="s">
        <v>2223</v>
      </c>
      <c r="S710" s="1">
        <v>1</v>
      </c>
      <c r="T710" t="str">
        <f>"Update Collaborator Set Organisation = '"&amp;J710&amp;"' where User_ID = '"&amp;B710&amp;"'; "</f>
        <v xml:space="preserve">Update Collaborator Set Organisation = 'Universite Libre de Bruxelles' where User_ID = 'CU00714'; </v>
      </c>
      <c r="U710" t="str">
        <f>"Update dcollab.collab_user Set Pi = True where User_ID = '"&amp;A710&amp;"'; "</f>
        <v xml:space="preserve">Update dcollab.collab_user Set Pi = True where User_ID = 'CUSR00750'; </v>
      </c>
    </row>
    <row r="711" spans="1:21">
      <c r="A711" t="s">
        <v>10323</v>
      </c>
      <c r="B711" t="s">
        <v>2070</v>
      </c>
      <c r="D711" t="s">
        <v>2071</v>
      </c>
      <c r="E711" t="s">
        <v>41</v>
      </c>
      <c r="F711" t="s">
        <v>2072</v>
      </c>
      <c r="G711" t="s">
        <v>2073</v>
      </c>
      <c r="H711">
        <f t="shared" si="11"/>
        <v>1</v>
      </c>
      <c r="I711" t="s">
        <v>516</v>
      </c>
      <c r="J711" t="s">
        <v>2074</v>
      </c>
      <c r="K711" t="str">
        <f>VLOOKUP(J711,Organisation!$A$2:$C$499,3,FALSE)</f>
        <v>CORG00206</v>
      </c>
      <c r="L711" t="str">
        <f>VLOOKUP(J711,Organisation!$A$2:$E$499,4,FALSE)</f>
        <v>Academic</v>
      </c>
      <c r="M711" t="s">
        <v>2075</v>
      </c>
      <c r="N711" t="s">
        <v>2076</v>
      </c>
      <c r="O711" t="s">
        <v>1510</v>
      </c>
      <c r="P711" s="3" t="s">
        <v>2077</v>
      </c>
      <c r="Q711" t="s">
        <v>2078</v>
      </c>
      <c r="S711" s="1">
        <v>1</v>
      </c>
      <c r="T711" t="str">
        <f>"Update Collaborator Set Organisation = '"&amp;J711&amp;"' where User_ID = '"&amp;B711&amp;"'; "</f>
        <v xml:space="preserve">Update Collaborator Set Organisation = 'Universite Libre de Bruxelles' where User_ID = 'CU00715'; </v>
      </c>
    </row>
    <row r="712" spans="1:21">
      <c r="A712" t="s">
        <v>9964</v>
      </c>
      <c r="B712" t="s">
        <v>3832</v>
      </c>
      <c r="C712" t="s">
        <v>10540</v>
      </c>
      <c r="D712" t="s">
        <v>2475</v>
      </c>
      <c r="E712" t="s">
        <v>7</v>
      </c>
      <c r="F712" t="s">
        <v>3833</v>
      </c>
      <c r="G712" t="s">
        <v>3834</v>
      </c>
      <c r="H712">
        <f t="shared" si="11"/>
        <v>1</v>
      </c>
      <c r="I712" t="s">
        <v>152</v>
      </c>
      <c r="J712" t="s">
        <v>2479</v>
      </c>
      <c r="K712" t="str">
        <f>VLOOKUP(J712,Organisation!$A$2:$C$499,3,FALSE)</f>
        <v>CORG00268</v>
      </c>
      <c r="L712" t="str">
        <f>VLOOKUP(J712,Organisation!$A$2:$E$499,4,FALSE)</f>
        <v>Academic</v>
      </c>
      <c r="M712" t="s">
        <v>8812</v>
      </c>
      <c r="N712" t="s">
        <v>3836</v>
      </c>
      <c r="O712" t="s">
        <v>14</v>
      </c>
      <c r="P712" s="3" t="s">
        <v>3837</v>
      </c>
      <c r="Q712" t="s">
        <v>3838</v>
      </c>
      <c r="S712" s="1">
        <v>1</v>
      </c>
      <c r="T712" t="str">
        <f>"Update Collaborator Set Organisation = '"&amp;J712&amp;"' where User_ID = '"&amp;B712&amp;"'; "</f>
        <v xml:space="preserve">Update Collaborator Set Organisation = 'University of South Australia' where User_ID = 'CU00716'; </v>
      </c>
      <c r="U712" t="str">
        <f>"Update dcollab.collab_user Set Pi = True where User_ID = '"&amp;A712&amp;"'; "</f>
        <v xml:space="preserve">Update dcollab.collab_user Set Pi = True where User_ID = 'CUSR00376'; </v>
      </c>
    </row>
    <row r="713" spans="1:21">
      <c r="A713" t="s">
        <v>9628</v>
      </c>
      <c r="B713" t="s">
        <v>828</v>
      </c>
      <c r="D713" t="s">
        <v>488</v>
      </c>
      <c r="E713" t="s">
        <v>7</v>
      </c>
      <c r="F713" t="s">
        <v>829</v>
      </c>
      <c r="G713" t="s">
        <v>830</v>
      </c>
      <c r="H713">
        <f t="shared" si="11"/>
        <v>1</v>
      </c>
      <c r="I713" t="s">
        <v>207</v>
      </c>
      <c r="J713" t="s">
        <v>491</v>
      </c>
      <c r="K713" t="str">
        <f>VLOOKUP(J713,Organisation!$A$2:$C$499,3,FALSE)</f>
        <v>CORG00048</v>
      </c>
      <c r="L713" t="str">
        <f>VLOOKUP(J713,Organisation!$A$2:$E$499,4,FALSE)</f>
        <v>Academic</v>
      </c>
      <c r="M713" t="s">
        <v>831</v>
      </c>
      <c r="N713" t="s">
        <v>491</v>
      </c>
      <c r="O713" t="s">
        <v>14</v>
      </c>
      <c r="P713" s="3" t="s">
        <v>832</v>
      </c>
      <c r="Q713" t="s">
        <v>833</v>
      </c>
      <c r="S713" s="1">
        <v>1</v>
      </c>
      <c r="T713" t="str">
        <f>"Update Collaborator Set Organisation = '"&amp;J713&amp;"' where User_ID = '"&amp;B713&amp;"'; "</f>
        <v xml:space="preserve">Update Collaborator Set Organisation = 'Deakin University' where User_ID = 'CU00717'; </v>
      </c>
    </row>
    <row r="714" spans="1:21">
      <c r="A714" t="s">
        <v>10324</v>
      </c>
      <c r="B714" t="s">
        <v>3342</v>
      </c>
      <c r="C714" t="s">
        <v>10540</v>
      </c>
      <c r="D714" t="s">
        <v>340</v>
      </c>
      <c r="E714" t="s">
        <v>60</v>
      </c>
      <c r="F714" t="s">
        <v>983</v>
      </c>
      <c r="G714" t="s">
        <v>3343</v>
      </c>
      <c r="H714">
        <f t="shared" si="11"/>
        <v>1</v>
      </c>
      <c r="I714" t="s">
        <v>3344</v>
      </c>
      <c r="J714" t="s">
        <v>3356</v>
      </c>
      <c r="K714" t="str">
        <f>VLOOKUP(J714,Organisation!$A$2:$C$499,3,FALSE)</f>
        <v>CORG00277</v>
      </c>
      <c r="L714" t="str">
        <f>VLOOKUP(J714,Organisation!$A$2:$E$499,4,FALSE)</f>
        <v>Academic</v>
      </c>
      <c r="M714" t="s">
        <v>8813</v>
      </c>
      <c r="N714" t="s">
        <v>345</v>
      </c>
      <c r="O714" t="s">
        <v>8808</v>
      </c>
      <c r="P714" s="3" t="s">
        <v>3345</v>
      </c>
      <c r="Q714" t="s">
        <v>3346</v>
      </c>
      <c r="S714" s="1">
        <v>1</v>
      </c>
      <c r="T714" t="str">
        <f>"Update Collaborator Set Organisation = '"&amp;J714&amp;"' where User_ID = '"&amp;B714&amp;"'; "</f>
        <v xml:space="preserve">Update Collaborator Set Organisation = 'University of the Sciences in Philadelphia' where User_ID = 'CU00718'; </v>
      </c>
      <c r="U714" t="str">
        <f>"Update dcollab.collab_user Set Pi = True where User_ID = '"&amp;A714&amp;"'; "</f>
        <v xml:space="preserve">Update dcollab.collab_user Set Pi = True where User_ID = 'CUSR00752'; </v>
      </c>
    </row>
    <row r="715" spans="1:21">
      <c r="A715" t="s">
        <v>10325</v>
      </c>
      <c r="B715" t="s">
        <v>339</v>
      </c>
      <c r="D715" t="s">
        <v>340</v>
      </c>
      <c r="E715" t="s">
        <v>110</v>
      </c>
      <c r="F715" t="s">
        <v>341</v>
      </c>
      <c r="G715" t="s">
        <v>342</v>
      </c>
      <c r="H715">
        <f t="shared" si="11"/>
        <v>1</v>
      </c>
      <c r="I715" t="s">
        <v>343</v>
      </c>
      <c r="J715" t="s">
        <v>3356</v>
      </c>
      <c r="K715" t="str">
        <f>VLOOKUP(J715,Organisation!$A$2:$C$499,3,FALSE)</f>
        <v>CORG00277</v>
      </c>
      <c r="L715" t="str">
        <f>VLOOKUP(J715,Organisation!$A$2:$E$499,4,FALSE)</f>
        <v>Academic</v>
      </c>
      <c r="M715" t="s">
        <v>8813</v>
      </c>
      <c r="N715" t="s">
        <v>345</v>
      </c>
      <c r="O715" t="s">
        <v>8808</v>
      </c>
      <c r="P715" s="3" t="s">
        <v>346</v>
      </c>
      <c r="Q715" t="s">
        <v>347</v>
      </c>
      <c r="S715" s="1">
        <v>1</v>
      </c>
      <c r="T715" t="str">
        <f>"Update Collaborator Set Organisation = '"&amp;J715&amp;"' where User_ID = '"&amp;B715&amp;"'; "</f>
        <v xml:space="preserve">Update Collaborator Set Organisation = 'University of the Sciences in Philadelphia' where User_ID = 'CU00719'; </v>
      </c>
    </row>
    <row r="716" spans="1:21">
      <c r="A716" t="s">
        <v>10327</v>
      </c>
      <c r="B716" t="s">
        <v>4417</v>
      </c>
      <c r="C716" t="s">
        <v>10540</v>
      </c>
      <c r="D716" t="s">
        <v>4242</v>
      </c>
      <c r="E716" t="s">
        <v>41</v>
      </c>
      <c r="F716" t="s">
        <v>4418</v>
      </c>
      <c r="G716" t="s">
        <v>4419</v>
      </c>
      <c r="H716">
        <f t="shared" si="11"/>
        <v>1</v>
      </c>
      <c r="I716" t="s">
        <v>127</v>
      </c>
      <c r="J716" t="s">
        <v>4245</v>
      </c>
      <c r="K716" t="str">
        <f>VLOOKUP(J716,Organisation!$A$2:$C$499,3,FALSE)</f>
        <v>CORG00189</v>
      </c>
      <c r="L716" t="str">
        <f>VLOOKUP(J716,Organisation!$A$2:$E$499,4,FALSE)</f>
        <v>Academic</v>
      </c>
      <c r="M716" t="s">
        <v>170</v>
      </c>
      <c r="N716" t="s">
        <v>4246</v>
      </c>
      <c r="O716" t="s">
        <v>1235</v>
      </c>
      <c r="P716" s="3" t="s">
        <v>4420</v>
      </c>
      <c r="Q716" t="s">
        <v>4421</v>
      </c>
      <c r="S716" s="1">
        <v>1</v>
      </c>
      <c r="T716" t="str">
        <f>"Update Collaborator Set Organisation = '"&amp;J716&amp;"' where User_ID = '"&amp;B716&amp;"'; "</f>
        <v xml:space="preserve">Update Collaborator Set Organisation = 'Trinity College Dublin' where User_ID = 'CU00720'; </v>
      </c>
      <c r="U716" t="str">
        <f>"Update dcollab.collab_user Set Pi = True where User_ID = '"&amp;A716&amp;"'; "</f>
        <v xml:space="preserve">Update dcollab.collab_user Set Pi = True where User_ID = 'CUSR00755'; </v>
      </c>
    </row>
    <row r="717" spans="1:21">
      <c r="A717" t="s">
        <v>10328</v>
      </c>
      <c r="B717" t="s">
        <v>4241</v>
      </c>
      <c r="D717" t="s">
        <v>4242</v>
      </c>
      <c r="E717" t="s">
        <v>7</v>
      </c>
      <c r="F717" t="s">
        <v>4243</v>
      </c>
      <c r="G717" t="s">
        <v>4244</v>
      </c>
      <c r="H717">
        <f t="shared" si="11"/>
        <v>1</v>
      </c>
      <c r="I717" t="s">
        <v>152</v>
      </c>
      <c r="J717" t="s">
        <v>4245</v>
      </c>
      <c r="K717" t="str">
        <f>VLOOKUP(J717,Organisation!$A$2:$C$499,3,FALSE)</f>
        <v>CORG00189</v>
      </c>
      <c r="L717" t="str">
        <f>VLOOKUP(J717,Organisation!$A$2:$E$499,4,FALSE)</f>
        <v>Academic</v>
      </c>
      <c r="M717" t="s">
        <v>170</v>
      </c>
      <c r="N717" t="s">
        <v>4246</v>
      </c>
      <c r="O717" t="s">
        <v>1235</v>
      </c>
      <c r="P717" s="3" t="s">
        <v>4247</v>
      </c>
      <c r="Q717" t="s">
        <v>4248</v>
      </c>
      <c r="S717" s="1">
        <v>1</v>
      </c>
      <c r="T717" t="str">
        <f>"Update Collaborator Set Organisation = '"&amp;J717&amp;"' where User_ID = '"&amp;B717&amp;"'; "</f>
        <v xml:space="preserve">Update Collaborator Set Organisation = 'Trinity College Dublin' where User_ID = 'CU00721'; </v>
      </c>
    </row>
    <row r="718" spans="1:21">
      <c r="A718" t="s">
        <v>9814</v>
      </c>
      <c r="B718" t="s">
        <v>1937</v>
      </c>
      <c r="D718" t="s">
        <v>1260</v>
      </c>
      <c r="E718" t="s">
        <v>60</v>
      </c>
      <c r="F718" t="s">
        <v>1938</v>
      </c>
      <c r="G718" t="s">
        <v>1153</v>
      </c>
      <c r="H718">
        <f t="shared" si="11"/>
        <v>1</v>
      </c>
      <c r="I718" t="s">
        <v>1939</v>
      </c>
      <c r="J718" t="s">
        <v>1262</v>
      </c>
      <c r="K718" t="str">
        <f>VLOOKUP(J718,Organisation!$A$2:$C$499,3,FALSE)</f>
        <v>CORG00251</v>
      </c>
      <c r="L718" t="str">
        <f>VLOOKUP(J718,Organisation!$A$2:$E$499,4,FALSE)</f>
        <v>Academic</v>
      </c>
      <c r="M718" t="s">
        <v>1263</v>
      </c>
      <c r="N718" t="s">
        <v>1940</v>
      </c>
      <c r="O718" t="s">
        <v>8808</v>
      </c>
      <c r="Q718" t="s">
        <v>1941</v>
      </c>
      <c r="S718" s="1">
        <v>1</v>
      </c>
      <c r="T718" t="str">
        <f>"Update Collaborator Set Organisation = '"&amp;J718&amp;"' where User_ID = '"&amp;B718&amp;"'; "</f>
        <v xml:space="preserve">Update Collaborator Set Organisation = 'University of Nebraska Medical Center' where User_ID = 'CU00722'; </v>
      </c>
    </row>
    <row r="719" spans="1:21">
      <c r="A719" t="s">
        <v>10329</v>
      </c>
      <c r="B719" t="s">
        <v>5100</v>
      </c>
      <c r="C719" t="s">
        <v>10540</v>
      </c>
      <c r="D719" t="s">
        <v>238</v>
      </c>
      <c r="E719" t="s">
        <v>60</v>
      </c>
      <c r="F719" t="s">
        <v>5101</v>
      </c>
      <c r="G719" t="s">
        <v>5102</v>
      </c>
      <c r="H719">
        <f t="shared" si="11"/>
        <v>1</v>
      </c>
      <c r="I719" t="s">
        <v>1356</v>
      </c>
      <c r="J719" t="s">
        <v>242</v>
      </c>
      <c r="K719" t="str">
        <f>VLOOKUP(J719,Organisation!$A$2:$C$499,3,FALSE)</f>
        <v>CORG00264</v>
      </c>
      <c r="L719" t="str">
        <f>VLOOKUP(J719,Organisation!$A$2:$E$499,4,FALSE)</f>
        <v>Academic</v>
      </c>
      <c r="M719" t="s">
        <v>84</v>
      </c>
      <c r="N719" t="s">
        <v>243</v>
      </c>
      <c r="O719" t="s">
        <v>8808</v>
      </c>
      <c r="P719" s="3" t="s">
        <v>5103</v>
      </c>
      <c r="Q719" t="s">
        <v>5104</v>
      </c>
      <c r="S719" s="1">
        <v>1</v>
      </c>
      <c r="T719" t="str">
        <f>"Update Collaborator Set Organisation = '"&amp;J719&amp;"' where User_ID = '"&amp;B719&amp;"'; "</f>
        <v xml:space="preserve">Update Collaborator Set Organisation = 'University of Puerto Rico Rio Piedras' where User_ID = 'CU00723'; </v>
      </c>
      <c r="U719" t="str">
        <f>"Update dcollab.collab_user Set Pi = True where User_ID = '"&amp;A719&amp;"'; "</f>
        <v xml:space="preserve">Update dcollab.collab_user Set Pi = True where User_ID = 'CUSR00757'; </v>
      </c>
    </row>
    <row r="720" spans="1:21">
      <c r="A720" t="s">
        <v>10330</v>
      </c>
      <c r="B720" t="s">
        <v>4392</v>
      </c>
      <c r="D720" t="s">
        <v>238</v>
      </c>
      <c r="E720" t="s">
        <v>7</v>
      </c>
      <c r="F720" t="s">
        <v>1090</v>
      </c>
      <c r="G720" t="s">
        <v>4389</v>
      </c>
      <c r="H720">
        <f t="shared" si="11"/>
        <v>2</v>
      </c>
      <c r="I720" t="s">
        <v>241</v>
      </c>
      <c r="J720" t="s">
        <v>242</v>
      </c>
      <c r="K720" t="str">
        <f>VLOOKUP(J720,Organisation!$A$2:$C$499,3,FALSE)</f>
        <v>CORG00264</v>
      </c>
      <c r="L720" t="str">
        <f>VLOOKUP(J720,Organisation!$A$2:$E$499,4,FALSE)</f>
        <v>Academic</v>
      </c>
      <c r="M720" t="s">
        <v>84</v>
      </c>
      <c r="N720" t="s">
        <v>243</v>
      </c>
      <c r="O720" t="s">
        <v>8808</v>
      </c>
      <c r="P720" s="3" t="s">
        <v>4393</v>
      </c>
      <c r="Q720" t="s">
        <v>4394</v>
      </c>
      <c r="S720" s="1">
        <v>1</v>
      </c>
      <c r="T720" t="str">
        <f>"Update Collaborator Set Organisation = '"&amp;J720&amp;"' where User_ID = '"&amp;B720&amp;"'; "</f>
        <v xml:space="preserve">Update Collaborator Set Organisation = 'University of Puerto Rico Rio Piedras' where User_ID = 'CU00724'; </v>
      </c>
    </row>
    <row r="721" spans="1:21">
      <c r="A721" t="s">
        <v>10331</v>
      </c>
      <c r="B721" t="s">
        <v>4530</v>
      </c>
      <c r="D721" t="s">
        <v>238</v>
      </c>
      <c r="E721" t="s">
        <v>7</v>
      </c>
      <c r="F721" t="s">
        <v>4531</v>
      </c>
      <c r="G721" t="s">
        <v>4532</v>
      </c>
      <c r="H721">
        <f t="shared" si="11"/>
        <v>1</v>
      </c>
      <c r="I721" t="s">
        <v>2092</v>
      </c>
      <c r="J721" t="s">
        <v>242</v>
      </c>
      <c r="K721" t="str">
        <f>VLOOKUP(J721,Organisation!$A$2:$C$499,3,FALSE)</f>
        <v>CORG00264</v>
      </c>
      <c r="L721" t="str">
        <f>VLOOKUP(J721,Organisation!$A$2:$E$499,4,FALSE)</f>
        <v>Academic</v>
      </c>
      <c r="M721" t="s">
        <v>84</v>
      </c>
      <c r="N721" t="s">
        <v>243</v>
      </c>
      <c r="O721" t="s">
        <v>8808</v>
      </c>
      <c r="P721" s="3" t="s">
        <v>4533</v>
      </c>
      <c r="Q721" t="s">
        <v>4534</v>
      </c>
      <c r="S721" s="1">
        <v>1</v>
      </c>
      <c r="T721" t="str">
        <f>"Update Collaborator Set Organisation = '"&amp;J721&amp;"' where User_ID = '"&amp;B721&amp;"'; "</f>
        <v xml:space="preserve">Update Collaborator Set Organisation = 'University of Puerto Rico Rio Piedras' where User_ID = 'CU00725'; </v>
      </c>
    </row>
    <row r="722" spans="1:21">
      <c r="A722" t="s">
        <v>10335</v>
      </c>
      <c r="B722" t="s">
        <v>3925</v>
      </c>
      <c r="D722" t="s">
        <v>1459</v>
      </c>
      <c r="E722" t="s">
        <v>60</v>
      </c>
      <c r="F722" t="s">
        <v>3926</v>
      </c>
      <c r="G722" t="s">
        <v>3927</v>
      </c>
      <c r="H722">
        <f t="shared" si="11"/>
        <v>1</v>
      </c>
      <c r="I722" t="s">
        <v>33</v>
      </c>
      <c r="J722" t="s">
        <v>1234</v>
      </c>
      <c r="K722" t="str">
        <f>VLOOKUP(J722,Organisation!$A$2:$C$499,3,FALSE)</f>
        <v>CORG00209</v>
      </c>
      <c r="L722" t="str">
        <f>VLOOKUP(J722,Organisation!$A$2:$E$499,4,FALSE)</f>
        <v>Academic</v>
      </c>
      <c r="M722" t="s">
        <v>84</v>
      </c>
      <c r="N722" t="s">
        <v>1460</v>
      </c>
      <c r="O722" t="s">
        <v>1235</v>
      </c>
      <c r="P722" s="3" t="s">
        <v>3928</v>
      </c>
      <c r="Q722" t="s">
        <v>3929</v>
      </c>
      <c r="S722" s="1">
        <v>1</v>
      </c>
      <c r="T722" t="str">
        <f>"Update Collaborator Set Organisation = '"&amp;J722&amp;"' where User_ID = '"&amp;B722&amp;"'; "</f>
        <v xml:space="preserve">Update Collaborator Set Organisation = 'University College Cork' where User_ID = 'CU00726'; </v>
      </c>
    </row>
    <row r="723" spans="1:21">
      <c r="A723" t="s">
        <v>10336</v>
      </c>
      <c r="B723" t="s">
        <v>1458</v>
      </c>
      <c r="D723" t="s">
        <v>1459</v>
      </c>
      <c r="E723" t="s">
        <v>7</v>
      </c>
      <c r="F723" t="s">
        <v>918</v>
      </c>
      <c r="G723" t="s">
        <v>1454</v>
      </c>
      <c r="H723">
        <f t="shared" si="11"/>
        <v>3</v>
      </c>
      <c r="I723" t="s">
        <v>343</v>
      </c>
      <c r="J723" t="s">
        <v>1234</v>
      </c>
      <c r="K723" t="str">
        <f>VLOOKUP(J723,Organisation!$A$2:$C$499,3,FALSE)</f>
        <v>CORG00209</v>
      </c>
      <c r="L723" t="str">
        <f>VLOOKUP(J723,Organisation!$A$2:$E$499,4,FALSE)</f>
        <v>Academic</v>
      </c>
      <c r="M723" t="s">
        <v>84</v>
      </c>
      <c r="N723" t="s">
        <v>1460</v>
      </c>
      <c r="O723" t="s">
        <v>1235</v>
      </c>
      <c r="P723" s="3" t="s">
        <v>1461</v>
      </c>
      <c r="Q723" t="s">
        <v>1462</v>
      </c>
      <c r="S723" s="1">
        <v>1</v>
      </c>
      <c r="T723" t="str">
        <f>"Update Collaborator Set Organisation = '"&amp;J723&amp;"' where User_ID = '"&amp;B723&amp;"'; "</f>
        <v xml:space="preserve">Update Collaborator Set Organisation = 'University College Cork' where User_ID = 'CU00727'; </v>
      </c>
    </row>
    <row r="724" spans="1:21">
      <c r="A724" t="s">
        <v>10317</v>
      </c>
      <c r="B724" t="s">
        <v>3451</v>
      </c>
      <c r="D724" t="s">
        <v>1134</v>
      </c>
      <c r="E724" t="s">
        <v>41</v>
      </c>
      <c r="F724" t="s">
        <v>3452</v>
      </c>
      <c r="G724" t="s">
        <v>3453</v>
      </c>
      <c r="H724">
        <f t="shared" si="11"/>
        <v>1</v>
      </c>
      <c r="I724" t="s">
        <v>3454</v>
      </c>
      <c r="J724" t="s">
        <v>606</v>
      </c>
      <c r="K724" t="str">
        <f>VLOOKUP(J724,Organisation!$A$2:$C$499,3,FALSE)</f>
        <v>CORG00179</v>
      </c>
      <c r="L724" t="str">
        <f>VLOOKUP(J724,Organisation!$A$2:$E$499,4,FALSE)</f>
        <v>Academic</v>
      </c>
      <c r="M724" t="s">
        <v>3455</v>
      </c>
      <c r="N724" t="s">
        <v>3456</v>
      </c>
      <c r="O724" t="s">
        <v>609</v>
      </c>
      <c r="P724" s="3" t="s">
        <v>3457</v>
      </c>
      <c r="Q724" t="s">
        <v>3458</v>
      </c>
      <c r="S724" s="1">
        <v>1</v>
      </c>
      <c r="T724" t="str">
        <f>"Update Collaborator Set Organisation = '"&amp;J724&amp;"' where User_ID = '"&amp;B724&amp;"'; "</f>
        <v xml:space="preserve">Update Collaborator Set Organisation = 'Stellenbosch University' where User_ID = 'CU00728'; </v>
      </c>
    </row>
    <row r="725" spans="1:21">
      <c r="A725" t="s">
        <v>10318</v>
      </c>
      <c r="B725" t="s">
        <v>5479</v>
      </c>
      <c r="D725" t="s">
        <v>1134</v>
      </c>
      <c r="E725" t="s">
        <v>228</v>
      </c>
      <c r="F725" t="s">
        <v>5480</v>
      </c>
      <c r="G725" t="s">
        <v>5481</v>
      </c>
      <c r="H725">
        <f t="shared" si="11"/>
        <v>1</v>
      </c>
      <c r="I725" t="s">
        <v>523</v>
      </c>
      <c r="J725" t="s">
        <v>606</v>
      </c>
      <c r="K725" t="str">
        <f>VLOOKUP(J725,Organisation!$A$2:$C$499,3,FALSE)</f>
        <v>CORG00179</v>
      </c>
      <c r="L725" t="str">
        <f>VLOOKUP(J725,Organisation!$A$2:$E$499,4,FALSE)</f>
        <v>Academic</v>
      </c>
      <c r="M725" t="s">
        <v>3455</v>
      </c>
      <c r="N725" t="s">
        <v>3456</v>
      </c>
      <c r="O725" t="s">
        <v>609</v>
      </c>
      <c r="P725" s="3" t="s">
        <v>5482</v>
      </c>
      <c r="Q725" t="s">
        <v>5483</v>
      </c>
      <c r="S725" s="1">
        <v>1</v>
      </c>
      <c r="T725" t="str">
        <f>"Update Collaborator Set Organisation = '"&amp;J725&amp;"' where User_ID = '"&amp;B725&amp;"'; "</f>
        <v xml:space="preserve">Update Collaborator Set Organisation = 'Stellenbosch University' where User_ID = 'CU00729'; </v>
      </c>
    </row>
    <row r="726" spans="1:21">
      <c r="A726" t="s">
        <v>9909</v>
      </c>
      <c r="B726" t="s">
        <v>3202</v>
      </c>
      <c r="D726" t="s">
        <v>925</v>
      </c>
      <c r="E726" t="s">
        <v>7</v>
      </c>
      <c r="F726" t="s">
        <v>983</v>
      </c>
      <c r="G726" t="s">
        <v>3203</v>
      </c>
      <c r="H726">
        <f t="shared" si="11"/>
        <v>1</v>
      </c>
      <c r="I726" t="s">
        <v>343</v>
      </c>
      <c r="J726" t="s">
        <v>929</v>
      </c>
      <c r="K726" t="str">
        <f>VLOOKUP(J726,Organisation!$A$2:$C$499,3,FALSE)</f>
        <v>CORG00160</v>
      </c>
      <c r="L726" t="str">
        <f>VLOOKUP(J726,Organisation!$A$2:$E$499,4,FALSE)</f>
        <v>Academic</v>
      </c>
      <c r="M726" t="s">
        <v>3204</v>
      </c>
      <c r="N726" t="s">
        <v>3205</v>
      </c>
      <c r="O726" t="s">
        <v>14</v>
      </c>
      <c r="P726" s="3" t="s">
        <v>3206</v>
      </c>
      <c r="Q726" t="s">
        <v>3207</v>
      </c>
      <c r="S726" s="1">
        <v>1</v>
      </c>
      <c r="T726" t="str">
        <f>"Update Collaborator Set Organisation = '"&amp;J726&amp;"' where User_ID = '"&amp;B726&amp;"'; "</f>
        <v xml:space="preserve">Update Collaborator Set Organisation = 'RMIT University' where User_ID = 'CU00730'; </v>
      </c>
    </row>
    <row r="727" spans="1:21">
      <c r="A727" t="s">
        <v>10339</v>
      </c>
      <c r="B727" t="s">
        <v>1141</v>
      </c>
      <c r="C727" t="s">
        <v>10540</v>
      </c>
      <c r="D727" t="s">
        <v>1142</v>
      </c>
      <c r="E727" t="s">
        <v>18</v>
      </c>
      <c r="F727" t="s">
        <v>1143</v>
      </c>
      <c r="G727" t="s">
        <v>1144</v>
      </c>
      <c r="H727">
        <f t="shared" si="11"/>
        <v>4</v>
      </c>
      <c r="I727" t="s">
        <v>1145</v>
      </c>
      <c r="J727" t="s">
        <v>1146</v>
      </c>
      <c r="K727" t="str">
        <f>VLOOKUP(J727,Organisation!$A$2:$C$499,3,FALSE)</f>
        <v>CORG00013</v>
      </c>
      <c r="L727" t="str">
        <f>VLOOKUP(J727,Organisation!$A$2:$E$499,4,FALSE)</f>
        <v>Academic</v>
      </c>
      <c r="M727" t="s">
        <v>1147</v>
      </c>
      <c r="N727" t="s">
        <v>1148</v>
      </c>
      <c r="O727" t="s">
        <v>223</v>
      </c>
      <c r="P727" s="3" t="s">
        <v>1149</v>
      </c>
      <c r="Q727" t="s">
        <v>1150</v>
      </c>
      <c r="S727" s="1">
        <v>1</v>
      </c>
      <c r="T727" t="str">
        <f>"Update Collaborator Set Organisation = '"&amp;J727&amp;"' where User_ID = '"&amp;B727&amp;"'; "</f>
        <v xml:space="preserve">Update Collaborator Set Organisation = 'Auckland University of Technology' where User_ID = 'CU00731'; </v>
      </c>
      <c r="U727" t="str">
        <f>"Update dcollab.collab_user Set Pi = True where User_ID = '"&amp;A727&amp;"'; "</f>
        <v xml:space="preserve">Update dcollab.collab_user Set Pi = True where User_ID = 'CUSR00767'; </v>
      </c>
    </row>
    <row r="728" spans="1:21">
      <c r="A728" t="s">
        <v>9798</v>
      </c>
      <c r="B728" t="s">
        <v>3377</v>
      </c>
      <c r="D728" t="s">
        <v>17</v>
      </c>
      <c r="E728" t="s">
        <v>60</v>
      </c>
      <c r="F728" t="s">
        <v>3378</v>
      </c>
      <c r="G728" t="s">
        <v>3379</v>
      </c>
      <c r="H728">
        <f t="shared" si="11"/>
        <v>1</v>
      </c>
      <c r="I728" t="s">
        <v>3380</v>
      </c>
      <c r="J728" t="s">
        <v>8798</v>
      </c>
      <c r="K728" t="str">
        <f>VLOOKUP(J728,Organisation!$A$2:$C$499,3,FALSE)</f>
        <v>CORG00036</v>
      </c>
      <c r="L728" t="str">
        <f>VLOOKUP(J728,Organisation!$A$2:$E$499,4,FALSE)</f>
        <v>Academic</v>
      </c>
      <c r="M728" t="s">
        <v>35</v>
      </c>
      <c r="N728" t="s">
        <v>3381</v>
      </c>
      <c r="O728" t="s">
        <v>25</v>
      </c>
      <c r="P728" s="3" t="s">
        <v>3382</v>
      </c>
      <c r="Q728" t="s">
        <v>3383</v>
      </c>
      <c r="S728" s="1">
        <v>1</v>
      </c>
      <c r="T728" t="str">
        <f>"Update Collaborator Set Organisation = '"&amp;J728&amp;"' where User_ID = '"&amp;B728&amp;"'; "</f>
        <v xml:space="preserve">Update Collaborator Set Organisation = 'College of Pharmacy Baghdad' where User_ID = 'CU00732'; </v>
      </c>
    </row>
    <row r="729" spans="1:21">
      <c r="A729" t="s">
        <v>10326</v>
      </c>
      <c r="B729" t="s">
        <v>3354</v>
      </c>
      <c r="D729" t="s">
        <v>340</v>
      </c>
      <c r="E729" t="s">
        <v>110</v>
      </c>
      <c r="F729" t="s">
        <v>2721</v>
      </c>
      <c r="G729" t="s">
        <v>3355</v>
      </c>
      <c r="H729">
        <f t="shared" si="11"/>
        <v>1</v>
      </c>
      <c r="I729" t="s">
        <v>152</v>
      </c>
      <c r="J729" t="s">
        <v>3356</v>
      </c>
      <c r="K729" t="str">
        <f>VLOOKUP(J729,Organisation!$A$2:$C$499,3,FALSE)</f>
        <v>CORG00277</v>
      </c>
      <c r="L729" t="str">
        <f>VLOOKUP(J729,Organisation!$A$2:$E$499,4,FALSE)</f>
        <v>Academic</v>
      </c>
      <c r="M729" t="s">
        <v>1288</v>
      </c>
      <c r="N729" t="s">
        <v>3357</v>
      </c>
      <c r="O729" t="s">
        <v>8808</v>
      </c>
      <c r="P729" s="3" t="s">
        <v>3358</v>
      </c>
      <c r="Q729" t="s">
        <v>3359</v>
      </c>
      <c r="S729" s="1">
        <v>1</v>
      </c>
      <c r="T729" t="str">
        <f>"Update Collaborator Set Organisation = '"&amp;J729&amp;"' where User_ID = '"&amp;B729&amp;"'; "</f>
        <v xml:space="preserve">Update Collaborator Set Organisation = 'University of the Sciences in Philadelphia' where User_ID = 'CU00733'; </v>
      </c>
    </row>
    <row r="730" spans="1:21">
      <c r="A730" t="s">
        <v>10185</v>
      </c>
      <c r="B730" t="s">
        <v>1403</v>
      </c>
      <c r="D730" t="s">
        <v>330</v>
      </c>
      <c r="E730" t="s">
        <v>7</v>
      </c>
      <c r="F730" t="s">
        <v>787</v>
      </c>
      <c r="G730" t="s">
        <v>1404</v>
      </c>
      <c r="H730">
        <f t="shared" si="11"/>
        <v>1</v>
      </c>
      <c r="I730" t="s">
        <v>152</v>
      </c>
      <c r="J730" t="s">
        <v>334</v>
      </c>
      <c r="K730" t="str">
        <f>VLOOKUP(J730,Organisation!$A$2:$C$499,3,FALSE)</f>
        <v>CORG00295</v>
      </c>
      <c r="L730" t="str">
        <f>VLOOKUP(J730,Organisation!$A$2:$E$499,4,FALSE)</f>
        <v>Academic</v>
      </c>
      <c r="M730" t="s">
        <v>73</v>
      </c>
      <c r="N730" t="s">
        <v>1405</v>
      </c>
      <c r="O730" t="s">
        <v>253</v>
      </c>
      <c r="P730" s="3" t="s">
        <v>1406</v>
      </c>
      <c r="Q730" t="s">
        <v>1407</v>
      </c>
      <c r="S730" s="1">
        <v>1</v>
      </c>
      <c r="T730" t="str">
        <f>"Update Collaborator Set Organisation = '"&amp;J730&amp;"' where User_ID = '"&amp;B730&amp;"'; "</f>
        <v xml:space="preserve">Update Collaborator Set Organisation = 'University of Zurich' where User_ID = 'CU00734'; </v>
      </c>
    </row>
    <row r="731" spans="1:21">
      <c r="A731" t="s">
        <v>10340</v>
      </c>
      <c r="B731" t="s">
        <v>5087</v>
      </c>
      <c r="C731" t="s">
        <v>10540</v>
      </c>
      <c r="D731" t="s">
        <v>1545</v>
      </c>
      <c r="E731" t="s">
        <v>18</v>
      </c>
      <c r="F731" t="s">
        <v>5088</v>
      </c>
      <c r="G731" t="s">
        <v>5089</v>
      </c>
      <c r="H731">
        <f t="shared" si="11"/>
        <v>1</v>
      </c>
      <c r="I731" t="s">
        <v>190</v>
      </c>
      <c r="J731" t="s">
        <v>1548</v>
      </c>
      <c r="K731" t="str">
        <f>VLOOKUP(J731,Organisation!$A$2:$C$499,3,FALSE)</f>
        <v>CORG00050</v>
      </c>
      <c r="L731" t="str">
        <f>VLOOKUP(J731,Organisation!$A$2:$E$499,4,FALSE)</f>
        <v>Academic</v>
      </c>
      <c r="M731" t="s">
        <v>712</v>
      </c>
      <c r="N731" t="s">
        <v>1549</v>
      </c>
      <c r="O731" t="s">
        <v>211</v>
      </c>
      <c r="P731" s="3" t="s">
        <v>5090</v>
      </c>
      <c r="Q731" t="s">
        <v>5091</v>
      </c>
      <c r="S731" s="1">
        <v>1</v>
      </c>
      <c r="T731" t="str">
        <f>"Update Collaborator Set Organisation = '"&amp;J731&amp;"' where User_ID = '"&amp;B731&amp;"'; "</f>
        <v xml:space="preserve">Update Collaborator Set Organisation = 'Dr. Babasaheb Ambedkar Marathwada University' where User_ID = 'CU00735'; </v>
      </c>
      <c r="U731" t="str">
        <f>"Update dcollab.collab_user Set Pi = True where User_ID = '"&amp;A731&amp;"'; "</f>
        <v xml:space="preserve">Update dcollab.collab_user Set Pi = True where User_ID = 'CUSR00768'; </v>
      </c>
    </row>
    <row r="732" spans="1:21">
      <c r="A732" t="s">
        <v>10341</v>
      </c>
      <c r="B732" t="s">
        <v>1544</v>
      </c>
      <c r="D732" t="s">
        <v>1545</v>
      </c>
      <c r="E732" t="s">
        <v>7</v>
      </c>
      <c r="F732" t="s">
        <v>1546</v>
      </c>
      <c r="G732" t="s">
        <v>1547</v>
      </c>
      <c r="H732">
        <f t="shared" si="11"/>
        <v>1</v>
      </c>
      <c r="I732" t="s">
        <v>1065</v>
      </c>
      <c r="J732" t="s">
        <v>1548</v>
      </c>
      <c r="K732" t="str">
        <f>VLOOKUP(J732,Organisation!$A$2:$C$499,3,FALSE)</f>
        <v>CORG00050</v>
      </c>
      <c r="L732" t="str">
        <f>VLOOKUP(J732,Organisation!$A$2:$E$499,4,FALSE)</f>
        <v>Academic</v>
      </c>
      <c r="M732" t="s">
        <v>712</v>
      </c>
      <c r="N732" t="s">
        <v>1549</v>
      </c>
      <c r="O732" t="s">
        <v>211</v>
      </c>
      <c r="P732" s="3" t="s">
        <v>1550</v>
      </c>
      <c r="Q732" t="s">
        <v>1551</v>
      </c>
      <c r="S732" s="1">
        <v>1</v>
      </c>
      <c r="T732" t="str">
        <f>"Update Collaborator Set Organisation = '"&amp;J732&amp;"' where User_ID = '"&amp;B732&amp;"'; "</f>
        <v xml:space="preserve">Update Collaborator Set Organisation = 'Dr. Babasaheb Ambedkar Marathwada University' where User_ID = 'CU00736'; </v>
      </c>
    </row>
    <row r="733" spans="1:21">
      <c r="A733" t="s">
        <v>10342</v>
      </c>
      <c r="B733" t="s">
        <v>2548</v>
      </c>
      <c r="C733" t="s">
        <v>10540</v>
      </c>
      <c r="D733" t="s">
        <v>30</v>
      </c>
      <c r="E733" t="s">
        <v>60</v>
      </c>
      <c r="F733" t="s">
        <v>2549</v>
      </c>
      <c r="G733" t="s">
        <v>2550</v>
      </c>
      <c r="H733">
        <f t="shared" si="11"/>
        <v>2</v>
      </c>
      <c r="I733" t="s">
        <v>415</v>
      </c>
      <c r="J733" t="s">
        <v>616</v>
      </c>
      <c r="K733" t="str">
        <f>VLOOKUP(J733,Organisation!$A$2:$C$499,3,FALSE)</f>
        <v>CORG00102</v>
      </c>
      <c r="L733" t="str">
        <f>VLOOKUP(J733,Organisation!$A$2:$E$499,4,FALSE)</f>
        <v>Academic</v>
      </c>
      <c r="M733" t="s">
        <v>2551</v>
      </c>
      <c r="N733" t="s">
        <v>1706</v>
      </c>
      <c r="O733" t="s">
        <v>14</v>
      </c>
      <c r="P733" s="3" t="s">
        <v>2552</v>
      </c>
      <c r="Q733" t="s">
        <v>2553</v>
      </c>
      <c r="S733" s="1">
        <v>1</v>
      </c>
      <c r="T733" t="str">
        <f>"Update Collaborator Set Organisation = '"&amp;J733&amp;"' where User_ID = '"&amp;B733&amp;"'; "</f>
        <v xml:space="preserve">Update Collaborator Set Organisation = 'La Trobe University' where User_ID = 'CU00737'; </v>
      </c>
      <c r="U733" t="str">
        <f>"Update dcollab.collab_user Set Pi = True where User_ID = '"&amp;A733&amp;"'; "</f>
        <v xml:space="preserve">Update dcollab.collab_user Set Pi = True where User_ID = 'CUSR00770'; </v>
      </c>
    </row>
    <row r="734" spans="1:21">
      <c r="A734" t="s">
        <v>10343</v>
      </c>
      <c r="B734" t="s">
        <v>29</v>
      </c>
      <c r="D734" t="s">
        <v>30</v>
      </c>
      <c r="E734" t="s">
        <v>7</v>
      </c>
      <c r="F734" t="s">
        <v>31</v>
      </c>
      <c r="G734" t="s">
        <v>32</v>
      </c>
      <c r="H734">
        <f t="shared" si="11"/>
        <v>1</v>
      </c>
      <c r="I734" t="s">
        <v>33</v>
      </c>
      <c r="J734" t="s">
        <v>34</v>
      </c>
      <c r="K734" t="str">
        <f>VLOOKUP(J734,Organisation!$A$2:$C$499,3,FALSE)</f>
        <v>CORG00180</v>
      </c>
      <c r="L734" t="str">
        <f>VLOOKUP(J734,Organisation!$A$2:$E$499,4,FALSE)</f>
        <v>Academic</v>
      </c>
      <c r="M734" t="s">
        <v>35</v>
      </c>
      <c r="N734" t="s">
        <v>36</v>
      </c>
      <c r="O734" t="s">
        <v>37</v>
      </c>
      <c r="P734" s="3" t="s">
        <v>38</v>
      </c>
      <c r="Q734" t="s">
        <v>39</v>
      </c>
      <c r="S734" s="1">
        <v>1</v>
      </c>
      <c r="T734" t="str">
        <f>"Update Collaborator Set Organisation = '"&amp;J734&amp;"' where User_ID = '"&amp;B734&amp;"'; "</f>
        <v xml:space="preserve">Update Collaborator Set Organisation = 'Sudan University of Science and Technology' where User_ID = 'CU00738'; </v>
      </c>
    </row>
    <row r="735" spans="1:21">
      <c r="A735" t="s">
        <v>10344</v>
      </c>
      <c r="B735" t="s">
        <v>5046</v>
      </c>
      <c r="D735" t="s">
        <v>30</v>
      </c>
      <c r="E735" t="s">
        <v>228</v>
      </c>
      <c r="F735" t="s">
        <v>5047</v>
      </c>
      <c r="G735" t="s">
        <v>5047</v>
      </c>
      <c r="H735">
        <f t="shared" si="11"/>
        <v>1</v>
      </c>
      <c r="I735" t="s">
        <v>152</v>
      </c>
      <c r="J735" t="s">
        <v>616</v>
      </c>
      <c r="K735" t="str">
        <f>VLOOKUP(J735,Organisation!$A$2:$C$499,3,FALSE)</f>
        <v>CORG00102</v>
      </c>
      <c r="L735" t="str">
        <f>VLOOKUP(J735,Organisation!$A$2:$E$499,4,FALSE)</f>
        <v>Academic</v>
      </c>
      <c r="M735" t="s">
        <v>2551</v>
      </c>
      <c r="N735" t="s">
        <v>5048</v>
      </c>
      <c r="O735" t="s">
        <v>14</v>
      </c>
      <c r="P735" s="3" t="s">
        <v>5049</v>
      </c>
      <c r="Q735" t="s">
        <v>5050</v>
      </c>
      <c r="S735" s="1">
        <v>1</v>
      </c>
      <c r="T735" t="str">
        <f>"Update Collaborator Set Organisation = '"&amp;J735&amp;"' where User_ID = '"&amp;B735&amp;"'; "</f>
        <v xml:space="preserve">Update Collaborator Set Organisation = 'La Trobe University' where User_ID = 'CU00739'; </v>
      </c>
    </row>
    <row r="736" spans="1:21">
      <c r="A736" t="s">
        <v>10345</v>
      </c>
      <c r="B736" t="s">
        <v>1704</v>
      </c>
      <c r="D736" t="s">
        <v>30</v>
      </c>
      <c r="E736" t="s">
        <v>41</v>
      </c>
      <c r="F736" t="s">
        <v>1648</v>
      </c>
      <c r="G736" t="s">
        <v>1705</v>
      </c>
      <c r="H736">
        <f t="shared" si="11"/>
        <v>1</v>
      </c>
      <c r="I736" t="s">
        <v>71</v>
      </c>
      <c r="J736" t="s">
        <v>616</v>
      </c>
      <c r="K736" t="str">
        <f>VLOOKUP(J736,Organisation!$A$2:$C$499,3,FALSE)</f>
        <v>CORG00102</v>
      </c>
      <c r="L736" t="str">
        <f>VLOOKUP(J736,Organisation!$A$2:$E$499,4,FALSE)</f>
        <v>Academic</v>
      </c>
      <c r="M736" t="s">
        <v>616</v>
      </c>
      <c r="N736" t="s">
        <v>1706</v>
      </c>
      <c r="O736" t="s">
        <v>14</v>
      </c>
      <c r="Q736" t="s">
        <v>1707</v>
      </c>
      <c r="S736" s="1">
        <v>1</v>
      </c>
      <c r="T736" t="str">
        <f>"Update Collaborator Set Organisation = '"&amp;J736&amp;"' where User_ID = '"&amp;B736&amp;"'; "</f>
        <v xml:space="preserve">Update Collaborator Set Organisation = 'La Trobe University' where User_ID = 'CU00740'; </v>
      </c>
    </row>
    <row r="737" spans="1:21">
      <c r="A737" t="s">
        <v>10346</v>
      </c>
      <c r="B737" t="s">
        <v>4954</v>
      </c>
      <c r="C737" t="s">
        <v>10540</v>
      </c>
      <c r="D737" t="s">
        <v>1819</v>
      </c>
      <c r="E737" t="s">
        <v>60</v>
      </c>
      <c r="F737" t="s">
        <v>4955</v>
      </c>
      <c r="G737" t="s">
        <v>4956</v>
      </c>
      <c r="H737">
        <f t="shared" si="11"/>
        <v>1</v>
      </c>
      <c r="I737" t="s">
        <v>588</v>
      </c>
      <c r="J737" t="s">
        <v>1822</v>
      </c>
      <c r="K737" t="str">
        <f>VLOOKUP(J737,Organisation!$A$2:$C$499,3,FALSE)</f>
        <v>CORG00093</v>
      </c>
      <c r="L737" t="str">
        <f>VLOOKUP(J737,Organisation!$A$2:$E$499,4,FALSE)</f>
        <v>Academic</v>
      </c>
      <c r="M737" t="s">
        <v>1823</v>
      </c>
      <c r="N737" t="s">
        <v>4957</v>
      </c>
      <c r="O737" t="s">
        <v>318</v>
      </c>
      <c r="P737" s="3" t="s">
        <v>4958</v>
      </c>
      <c r="Q737" t="s">
        <v>4959</v>
      </c>
      <c r="S737" s="1">
        <v>1</v>
      </c>
      <c r="T737" t="str">
        <f>"Update Collaborator Set Organisation = '"&amp;J737&amp;"' where User_ID = '"&amp;B737&amp;"'; "</f>
        <v xml:space="preserve">Update Collaborator Set Organisation = 'Jouf University' where User_ID = 'CU00741'; </v>
      </c>
      <c r="U737" t="str">
        <f>"Update dcollab.collab_user Set Pi = True where User_ID = '"&amp;A737&amp;"'; "</f>
        <v xml:space="preserve">Update dcollab.collab_user Set Pi = True where User_ID = 'CUSR00774'; </v>
      </c>
    </row>
    <row r="738" spans="1:21">
      <c r="A738" t="s">
        <v>10347</v>
      </c>
      <c r="B738" t="s">
        <v>1818</v>
      </c>
      <c r="D738" t="s">
        <v>1819</v>
      </c>
      <c r="E738" t="s">
        <v>60</v>
      </c>
      <c r="F738" t="s">
        <v>1820</v>
      </c>
      <c r="G738" t="s">
        <v>1821</v>
      </c>
      <c r="H738">
        <f t="shared" si="11"/>
        <v>1</v>
      </c>
      <c r="I738" t="s">
        <v>625</v>
      </c>
      <c r="J738" t="s">
        <v>1822</v>
      </c>
      <c r="K738" t="str">
        <f>VLOOKUP(J738,Organisation!$A$2:$C$499,3,FALSE)</f>
        <v>CORG00093</v>
      </c>
      <c r="L738" t="str">
        <f>VLOOKUP(J738,Organisation!$A$2:$E$499,4,FALSE)</f>
        <v>Academic</v>
      </c>
      <c r="M738" t="s">
        <v>1823</v>
      </c>
      <c r="N738" t="s">
        <v>1824</v>
      </c>
      <c r="O738" t="s">
        <v>318</v>
      </c>
      <c r="P738" s="3" t="s">
        <v>1825</v>
      </c>
      <c r="Q738" t="s">
        <v>1826</v>
      </c>
      <c r="S738" s="1">
        <v>1</v>
      </c>
      <c r="T738" t="str">
        <f>"Update Collaborator Set Organisation = '"&amp;J738&amp;"' where User_ID = '"&amp;B738&amp;"'; "</f>
        <v xml:space="preserve">Update Collaborator Set Organisation = 'Jouf University' where User_ID = 'CU00742'; </v>
      </c>
    </row>
    <row r="739" spans="1:21">
      <c r="A739" t="s">
        <v>10348</v>
      </c>
      <c r="B739" t="s">
        <v>4387</v>
      </c>
      <c r="C739" t="s">
        <v>10540</v>
      </c>
      <c r="D739" t="s">
        <v>3550</v>
      </c>
      <c r="E739" t="s">
        <v>60</v>
      </c>
      <c r="F739" t="s">
        <v>4388</v>
      </c>
      <c r="G739" t="s">
        <v>4389</v>
      </c>
      <c r="H739">
        <f t="shared" si="11"/>
        <v>2</v>
      </c>
      <c r="I739" t="s">
        <v>4390</v>
      </c>
      <c r="J739" t="s">
        <v>8755</v>
      </c>
      <c r="K739" t="str">
        <f>VLOOKUP(J739,Organisation!$A$2:$C$499,3,FALSE)</f>
        <v>CORG00039</v>
      </c>
      <c r="L739" t="str">
        <f>VLOOKUP(J739,Organisation!$A$2:$E$499,4,FALSE)</f>
        <v>Academic</v>
      </c>
      <c r="M739" t="s">
        <v>3553</v>
      </c>
      <c r="N739" t="s">
        <v>3554</v>
      </c>
      <c r="O739" t="s">
        <v>14</v>
      </c>
      <c r="P739" s="3" t="s">
        <v>4391</v>
      </c>
      <c r="Q739" t="s">
        <v>3556</v>
      </c>
      <c r="S739" s="1">
        <v>1</v>
      </c>
      <c r="T739" t="str">
        <f>"Update Collaborator Set Organisation = '"&amp;J739&amp;"' where User_ID = '"&amp;B739&amp;"'; "</f>
        <v xml:space="preserve">Update Collaborator Set Organisation = 'Commonwealth Scientific and Industrial Research' where User_ID = 'CU00743'; </v>
      </c>
      <c r="U739" t="str">
        <f>"Update dcollab.collab_user Set Pi = True where User_ID = '"&amp;A739&amp;"'; "</f>
        <v xml:space="preserve">Update dcollab.collab_user Set Pi = True where User_ID = 'CUSR00776'; </v>
      </c>
    </row>
    <row r="740" spans="1:21">
      <c r="A740" t="s">
        <v>10409</v>
      </c>
      <c r="B740" t="s">
        <v>3549</v>
      </c>
      <c r="D740" t="s">
        <v>3550</v>
      </c>
      <c r="E740" t="s">
        <v>60</v>
      </c>
      <c r="F740" t="s">
        <v>3551</v>
      </c>
      <c r="G740" t="s">
        <v>3552</v>
      </c>
      <c r="H740">
        <f t="shared" si="11"/>
        <v>1</v>
      </c>
      <c r="I740" t="s">
        <v>1690</v>
      </c>
      <c r="J740" t="s">
        <v>8755</v>
      </c>
      <c r="K740" t="str">
        <f>VLOOKUP(J740,Organisation!$A$2:$C$499,3,FALSE)</f>
        <v>CORG00039</v>
      </c>
      <c r="L740" t="str">
        <f>VLOOKUP(J740,Organisation!$A$2:$E$499,4,FALSE)</f>
        <v>Academic</v>
      </c>
      <c r="M740" t="s">
        <v>3553</v>
      </c>
      <c r="N740" t="s">
        <v>3554</v>
      </c>
      <c r="O740" t="s">
        <v>14</v>
      </c>
      <c r="P740" s="3" t="s">
        <v>3555</v>
      </c>
      <c r="Q740" s="7" t="s">
        <v>10408</v>
      </c>
      <c r="S740" s="1">
        <v>1</v>
      </c>
      <c r="T740" t="str">
        <f>"Update Collaborator Set Organisation = '"&amp;J740&amp;"' where User_ID = '"&amp;B740&amp;"'; "</f>
        <v xml:space="preserve">Update Collaborator Set Organisation = 'Commonwealth Scientific and Industrial Research' where User_ID = 'CU00744'; </v>
      </c>
    </row>
    <row r="741" spans="1:21">
      <c r="A741" t="s">
        <v>10349</v>
      </c>
      <c r="B741" t="s">
        <v>1775</v>
      </c>
      <c r="C741" t="s">
        <v>10540</v>
      </c>
      <c r="D741" t="s">
        <v>1776</v>
      </c>
      <c r="E741" t="s">
        <v>60</v>
      </c>
      <c r="F741" t="s">
        <v>1777</v>
      </c>
      <c r="G741" t="s">
        <v>1778</v>
      </c>
      <c r="H741">
        <f t="shared" si="11"/>
        <v>1</v>
      </c>
      <c r="I741" t="s">
        <v>1779</v>
      </c>
      <c r="J741" t="s">
        <v>8750</v>
      </c>
      <c r="K741" t="str">
        <f>VLOOKUP(J741,Organisation!$A$2:$C$499,3,FALSE)</f>
        <v>CORG00148</v>
      </c>
      <c r="L741" t="str">
        <f>VLOOKUP(J741,Organisation!$A$2:$E$499,4,FALSE)</f>
        <v>Academic</v>
      </c>
      <c r="M741" t="s">
        <v>1781</v>
      </c>
      <c r="N741" t="s">
        <v>1782</v>
      </c>
      <c r="O741" t="s">
        <v>55</v>
      </c>
      <c r="P741" s="3" t="s">
        <v>1783</v>
      </c>
      <c r="Q741" t="s">
        <v>1784</v>
      </c>
      <c r="S741" s="1">
        <v>1</v>
      </c>
      <c r="T741" t="str">
        <f>"Update Collaborator Set Organisation = '"&amp;J741&amp;"' where User_ID = '"&amp;B741&amp;"'; "</f>
        <v xml:space="preserve">Update Collaborator Set Organisation = 'October University for Modern Sciences and Arts' where User_ID = 'CU00745'; </v>
      </c>
      <c r="U741" t="str">
        <f>"Update dcollab.collab_user Set Pi = True where User_ID = '"&amp;A741&amp;"'; "</f>
        <v xml:space="preserve">Update dcollab.collab_user Set Pi = True where User_ID = 'CUSR00777'; </v>
      </c>
    </row>
    <row r="742" spans="1:21">
      <c r="A742" t="s">
        <v>10350</v>
      </c>
      <c r="B742" t="s">
        <v>4865</v>
      </c>
      <c r="C742" t="s">
        <v>10540</v>
      </c>
      <c r="D742" t="s">
        <v>2310</v>
      </c>
      <c r="E742" t="s">
        <v>60</v>
      </c>
      <c r="F742" t="s">
        <v>4866</v>
      </c>
      <c r="G742" t="s">
        <v>4867</v>
      </c>
      <c r="H742">
        <f t="shared" si="11"/>
        <v>1</v>
      </c>
      <c r="I742" t="s">
        <v>4868</v>
      </c>
      <c r="J742" t="s">
        <v>8752</v>
      </c>
      <c r="K742" t="str">
        <f>VLOOKUP(J742,Organisation!$A$2:$C$499,3,FALSE)</f>
        <v>CORG00014</v>
      </c>
      <c r="L742" t="str">
        <f>VLOOKUP(J742,Organisation!$A$2:$E$499,4,FALSE)</f>
        <v>Academic</v>
      </c>
      <c r="M742" t="s">
        <v>2313</v>
      </c>
      <c r="N742" t="s">
        <v>4869</v>
      </c>
      <c r="O742" t="s">
        <v>14</v>
      </c>
      <c r="P742" s="3" t="s">
        <v>4870</v>
      </c>
      <c r="Q742" t="s">
        <v>4871</v>
      </c>
      <c r="S742" s="1">
        <v>1</v>
      </c>
      <c r="T742" t="str">
        <f>"Update Collaborator Set Organisation = '"&amp;J742&amp;"' where User_ID = '"&amp;B742&amp;"'; "</f>
        <v xml:space="preserve">Update Collaborator Set Organisation = 'Australian National University' where User_ID = 'CU00746'; </v>
      </c>
      <c r="U742" t="str">
        <f>"Update dcollab.collab_user Set Pi = True where User_ID = '"&amp;A742&amp;"'; "</f>
        <v xml:space="preserve">Update dcollab.collab_user Set Pi = True where User_ID = 'CUSR00778'; </v>
      </c>
    </row>
    <row r="743" spans="1:21">
      <c r="A743" t="s">
        <v>10351</v>
      </c>
      <c r="B743" t="s">
        <v>2309</v>
      </c>
      <c r="D743" t="s">
        <v>2310</v>
      </c>
      <c r="E743" t="s">
        <v>228</v>
      </c>
      <c r="F743" t="s">
        <v>2311</v>
      </c>
      <c r="G743" t="s">
        <v>2312</v>
      </c>
      <c r="H743">
        <f t="shared" si="11"/>
        <v>1</v>
      </c>
      <c r="I743" t="s">
        <v>152</v>
      </c>
      <c r="J743" t="s">
        <v>8752</v>
      </c>
      <c r="K743" t="str">
        <f>VLOOKUP(J743,Organisation!$A$2:$C$499,3,FALSE)</f>
        <v>CORG00014</v>
      </c>
      <c r="L743" t="str">
        <f>VLOOKUP(J743,Organisation!$A$2:$E$499,4,FALSE)</f>
        <v>Academic</v>
      </c>
      <c r="M743" t="s">
        <v>2313</v>
      </c>
      <c r="N743" t="s">
        <v>2314</v>
      </c>
      <c r="O743" t="s">
        <v>14</v>
      </c>
      <c r="P743" s="3" t="s">
        <v>2315</v>
      </c>
      <c r="Q743" t="s">
        <v>2316</v>
      </c>
      <c r="S743" s="1">
        <v>1</v>
      </c>
      <c r="T743" t="str">
        <f>"Update Collaborator Set Organisation = '"&amp;J743&amp;"' where User_ID = '"&amp;B743&amp;"'; "</f>
        <v xml:space="preserve">Update Collaborator Set Organisation = 'Australian National University' where User_ID = 'CU00747'; </v>
      </c>
    </row>
    <row r="744" spans="1:21">
      <c r="A744" t="s">
        <v>10352</v>
      </c>
      <c r="B744" t="s">
        <v>3400</v>
      </c>
      <c r="C744" t="s">
        <v>10540</v>
      </c>
      <c r="D744" t="s">
        <v>1062</v>
      </c>
      <c r="E744" t="s">
        <v>60</v>
      </c>
      <c r="F744" t="s">
        <v>3401</v>
      </c>
      <c r="G744" t="s">
        <v>3402</v>
      </c>
      <c r="H744">
        <f t="shared" si="11"/>
        <v>1</v>
      </c>
      <c r="I744" t="s">
        <v>82</v>
      </c>
      <c r="J744" t="s">
        <v>8752</v>
      </c>
      <c r="K744" t="str">
        <f>VLOOKUP(J744,Organisation!$A$2:$C$499,3,FALSE)</f>
        <v>CORG00014</v>
      </c>
      <c r="L744" t="str">
        <f>VLOOKUP(J744,Organisation!$A$2:$E$499,4,FALSE)</f>
        <v>Academic</v>
      </c>
      <c r="M744" t="s">
        <v>1067</v>
      </c>
      <c r="N744" t="s">
        <v>1068</v>
      </c>
      <c r="O744" t="s">
        <v>14</v>
      </c>
      <c r="P744" s="3" t="s">
        <v>3403</v>
      </c>
      <c r="Q744" t="s">
        <v>3404</v>
      </c>
      <c r="S744" s="1">
        <v>1</v>
      </c>
      <c r="T744" t="str">
        <f>"Update Collaborator Set Organisation = '"&amp;J744&amp;"' where User_ID = '"&amp;B744&amp;"'; "</f>
        <v xml:space="preserve">Update Collaborator Set Organisation = 'Australian National University' where User_ID = 'CU00748'; </v>
      </c>
      <c r="U744" t="str">
        <f>"Update dcollab.collab_user Set Pi = True where User_ID = '"&amp;A744&amp;"'; "</f>
        <v xml:space="preserve">Update dcollab.collab_user Set Pi = True where User_ID = 'CUSR00780'; </v>
      </c>
    </row>
    <row r="745" spans="1:21">
      <c r="A745" t="s">
        <v>10353</v>
      </c>
      <c r="B745" t="s">
        <v>1061</v>
      </c>
      <c r="D745" t="s">
        <v>1062</v>
      </c>
      <c r="E745" t="s">
        <v>228</v>
      </c>
      <c r="F745" t="s">
        <v>1063</v>
      </c>
      <c r="G745" t="s">
        <v>1064</v>
      </c>
      <c r="H745">
        <f t="shared" si="11"/>
        <v>1</v>
      </c>
      <c r="I745" t="s">
        <v>1065</v>
      </c>
      <c r="J745" t="s">
        <v>8752</v>
      </c>
      <c r="K745" t="str">
        <f>VLOOKUP(J745,Organisation!$A$2:$C$499,3,FALSE)</f>
        <v>CORG00014</v>
      </c>
      <c r="L745" t="str">
        <f>VLOOKUP(J745,Organisation!$A$2:$E$499,4,FALSE)</f>
        <v>Academic</v>
      </c>
      <c r="M745" t="s">
        <v>1067</v>
      </c>
      <c r="N745" t="s">
        <v>1068</v>
      </c>
      <c r="O745" t="s">
        <v>14</v>
      </c>
      <c r="Q745" t="s">
        <v>1069</v>
      </c>
      <c r="S745" s="1">
        <v>1</v>
      </c>
      <c r="T745" t="str">
        <f>"Update Collaborator Set Organisation = '"&amp;J745&amp;"' where User_ID = '"&amp;B745&amp;"'; "</f>
        <v xml:space="preserve">Update Collaborator Set Organisation = 'Australian National University' where User_ID = 'CU00749'; </v>
      </c>
    </row>
    <row r="746" spans="1:21">
      <c r="A746" t="s">
        <v>10332</v>
      </c>
      <c r="B746" t="s">
        <v>1949</v>
      </c>
      <c r="D746" t="s">
        <v>238</v>
      </c>
      <c r="E746" t="s">
        <v>110</v>
      </c>
      <c r="F746" t="s">
        <v>942</v>
      </c>
      <c r="G746" t="s">
        <v>1950</v>
      </c>
      <c r="H746">
        <f t="shared" si="11"/>
        <v>1</v>
      </c>
      <c r="I746" t="s">
        <v>241</v>
      </c>
      <c r="J746" t="s">
        <v>242</v>
      </c>
      <c r="K746" t="str">
        <f>VLOOKUP(J746,Organisation!$A$2:$C$499,3,FALSE)</f>
        <v>CORG00264</v>
      </c>
      <c r="L746" t="str">
        <f>VLOOKUP(J746,Organisation!$A$2:$E$499,4,FALSE)</f>
        <v>Academic</v>
      </c>
      <c r="M746" t="s">
        <v>84</v>
      </c>
      <c r="N746" t="s">
        <v>243</v>
      </c>
      <c r="O746" t="s">
        <v>8808</v>
      </c>
      <c r="P746" s="3" t="s">
        <v>1951</v>
      </c>
      <c r="Q746" t="s">
        <v>1952</v>
      </c>
      <c r="S746" s="1">
        <v>1</v>
      </c>
      <c r="T746" t="str">
        <f>"Update Collaborator Set Organisation = '"&amp;J746&amp;"' where User_ID = '"&amp;B746&amp;"'; "</f>
        <v xml:space="preserve">Update Collaborator Set Organisation = 'University of Puerto Rico Rio Piedras' where User_ID = 'CU00750'; </v>
      </c>
    </row>
    <row r="747" spans="1:21">
      <c r="A747" t="s">
        <v>10040</v>
      </c>
      <c r="B747" t="s">
        <v>272</v>
      </c>
      <c r="D747" t="s">
        <v>195</v>
      </c>
      <c r="E747" t="s">
        <v>7</v>
      </c>
      <c r="F747" t="s">
        <v>273</v>
      </c>
      <c r="G747" t="s">
        <v>19</v>
      </c>
      <c r="H747">
        <f t="shared" si="11"/>
        <v>2</v>
      </c>
      <c r="I747" t="s">
        <v>274</v>
      </c>
      <c r="J747" t="s">
        <v>199</v>
      </c>
      <c r="K747" t="str">
        <f>VLOOKUP(J747,Organisation!$A$2:$C$499,3,FALSE)</f>
        <v>CORG00004</v>
      </c>
      <c r="L747" t="str">
        <f>VLOOKUP(J747,Organisation!$A$2:$E$499,4,FALSE)</f>
        <v>Academic</v>
      </c>
      <c r="M747" t="s">
        <v>35</v>
      </c>
      <c r="N747" t="s">
        <v>275</v>
      </c>
      <c r="O747" t="s">
        <v>55</v>
      </c>
      <c r="P747" s="3" t="s">
        <v>276</v>
      </c>
      <c r="Q747" t="s">
        <v>277</v>
      </c>
      <c r="S747" s="1">
        <v>1</v>
      </c>
      <c r="T747" t="str">
        <f>"Update Collaborator Set Organisation = '"&amp;J747&amp;"' where User_ID = '"&amp;B747&amp;"'; "</f>
        <v xml:space="preserve">Update Collaborator Set Organisation = 'Ain Shams University' where User_ID = 'CU00751'; </v>
      </c>
    </row>
    <row r="748" spans="1:21">
      <c r="A748" t="s">
        <v>10355</v>
      </c>
      <c r="B748" t="s">
        <v>3827</v>
      </c>
      <c r="C748" t="s">
        <v>10540</v>
      </c>
      <c r="D748" t="s">
        <v>3828</v>
      </c>
      <c r="E748" t="s">
        <v>60</v>
      </c>
      <c r="F748" t="s">
        <v>3170</v>
      </c>
      <c r="G748" t="s">
        <v>3829</v>
      </c>
      <c r="H748">
        <f t="shared" si="11"/>
        <v>1</v>
      </c>
      <c r="I748" t="s">
        <v>672</v>
      </c>
      <c r="J748" t="s">
        <v>8752</v>
      </c>
      <c r="K748" t="str">
        <f>VLOOKUP(J748,Organisation!$A$2:$C$499,3,FALSE)</f>
        <v>CORG00014</v>
      </c>
      <c r="L748" t="str">
        <f>VLOOKUP(J748,Organisation!$A$2:$E$499,4,FALSE)</f>
        <v>Academic</v>
      </c>
      <c r="M748" t="s">
        <v>1067</v>
      </c>
      <c r="N748" t="s">
        <v>1068</v>
      </c>
      <c r="O748" t="s">
        <v>14</v>
      </c>
      <c r="P748" s="3" t="s">
        <v>3830</v>
      </c>
      <c r="Q748" t="s">
        <v>3831</v>
      </c>
      <c r="S748" s="1">
        <v>1</v>
      </c>
      <c r="T748" t="str">
        <f>"Update Collaborator Set Organisation = '"&amp;J748&amp;"' where User_ID = '"&amp;B748&amp;"'; "</f>
        <v xml:space="preserve">Update Collaborator Set Organisation = 'Australian National University' where User_ID = 'CU00752'; </v>
      </c>
      <c r="U748" t="str">
        <f>"Update dcollab.collab_user Set Pi = True where User_ID = '"&amp;A748&amp;"'; "</f>
        <v xml:space="preserve">Update dcollab.collab_user Set Pi = True where User_ID = 'CUSR00783'; </v>
      </c>
    </row>
    <row r="749" spans="1:21">
      <c r="A749" t="s">
        <v>10356</v>
      </c>
      <c r="B749" t="s">
        <v>5235</v>
      </c>
      <c r="D749" t="s">
        <v>3828</v>
      </c>
      <c r="E749" t="s">
        <v>7</v>
      </c>
      <c r="F749" t="s">
        <v>5236</v>
      </c>
      <c r="G749" t="s">
        <v>5237</v>
      </c>
      <c r="H749">
        <f t="shared" si="11"/>
        <v>1</v>
      </c>
      <c r="I749" t="s">
        <v>259</v>
      </c>
      <c r="J749" t="s">
        <v>8752</v>
      </c>
      <c r="K749" t="str">
        <f>VLOOKUP(J749,Organisation!$A$2:$C$499,3,FALSE)</f>
        <v>CORG00014</v>
      </c>
      <c r="L749" t="str">
        <f>VLOOKUP(J749,Organisation!$A$2:$E$499,4,FALSE)</f>
        <v>Academic</v>
      </c>
      <c r="M749" t="s">
        <v>1067</v>
      </c>
      <c r="N749" t="s">
        <v>1068</v>
      </c>
      <c r="O749" t="s">
        <v>14</v>
      </c>
      <c r="Q749" t="s">
        <v>5238</v>
      </c>
      <c r="S749" s="1">
        <v>1</v>
      </c>
      <c r="T749" t="str">
        <f>"Update Collaborator Set Organisation = '"&amp;J749&amp;"' where User_ID = '"&amp;B749&amp;"'; "</f>
        <v xml:space="preserve">Update Collaborator Set Organisation = 'Australian National University' where User_ID = 'CU00753'; </v>
      </c>
    </row>
    <row r="750" spans="1:21">
      <c r="A750" t="s">
        <v>9819</v>
      </c>
      <c r="B750" t="s">
        <v>2574</v>
      </c>
      <c r="D750" t="s">
        <v>1468</v>
      </c>
      <c r="E750" t="s">
        <v>110</v>
      </c>
      <c r="F750" t="s">
        <v>2575</v>
      </c>
      <c r="G750" t="s">
        <v>2576</v>
      </c>
      <c r="H750">
        <f t="shared" si="11"/>
        <v>1</v>
      </c>
      <c r="I750" t="s">
        <v>2577</v>
      </c>
      <c r="J750" t="s">
        <v>1471</v>
      </c>
      <c r="K750" t="str">
        <f>VLOOKUP(J750,Organisation!$A$2:$C$499,3,FALSE)</f>
        <v>CORG00139</v>
      </c>
      <c r="L750" t="str">
        <f>VLOOKUP(J750,Organisation!$A$2:$E$499,4,FALSE)</f>
        <v>Academic</v>
      </c>
      <c r="M750" t="s">
        <v>2578</v>
      </c>
      <c r="N750" t="s">
        <v>2579</v>
      </c>
      <c r="O750" t="s">
        <v>427</v>
      </c>
      <c r="P750" s="3" t="s">
        <v>2580</v>
      </c>
      <c r="Q750" t="s">
        <v>2581</v>
      </c>
      <c r="S750" s="1">
        <v>1</v>
      </c>
      <c r="T750" t="str">
        <f>"Update Collaborator Set Organisation = '"&amp;J750&amp;"' where User_ID = '"&amp;B750&amp;"'; "</f>
        <v xml:space="preserve">Update Collaborator Set Organisation = 'National University of Pharmacy' where User_ID = 'CU00754'; </v>
      </c>
    </row>
    <row r="751" spans="1:21">
      <c r="A751" t="s">
        <v>10357</v>
      </c>
      <c r="B751" t="s">
        <v>2515</v>
      </c>
      <c r="C751" t="s">
        <v>10540</v>
      </c>
      <c r="D751" t="s">
        <v>2516</v>
      </c>
      <c r="E751" t="s">
        <v>60</v>
      </c>
      <c r="F751" t="s">
        <v>787</v>
      </c>
      <c r="G751" t="s">
        <v>2517</v>
      </c>
      <c r="H751">
        <f t="shared" si="11"/>
        <v>1</v>
      </c>
      <c r="I751" t="s">
        <v>2518</v>
      </c>
      <c r="J751" t="s">
        <v>2519</v>
      </c>
      <c r="K751" t="str">
        <f>VLOOKUP(J751,Organisation!$A$2:$C$499,3,FALSE)</f>
        <v>CORG00035</v>
      </c>
      <c r="L751" t="str">
        <f>VLOOKUP(J751,Organisation!$A$2:$E$499,4,FALSE)</f>
        <v>Academic</v>
      </c>
      <c r="M751" t="s">
        <v>2520</v>
      </c>
      <c r="N751" t="s">
        <v>2521</v>
      </c>
      <c r="O751" t="s">
        <v>8808</v>
      </c>
      <c r="P751" s="3" t="s">
        <v>2522</v>
      </c>
      <c r="Q751" t="s">
        <v>2523</v>
      </c>
      <c r="S751" s="1">
        <v>1</v>
      </c>
      <c r="T751" t="str">
        <f>"Update Collaborator Set Organisation = '"&amp;J751&amp;"' where User_ID = '"&amp;B751&amp;"'; "</f>
        <v xml:space="preserve">Update Collaborator Set Organisation = 'Cold Springs Harbor Laboratory' where User_ID = 'CU00755'; </v>
      </c>
      <c r="U751" t="str">
        <f>"Update dcollab.collab_user Set Pi = True where User_ID = '"&amp;A751&amp;"'; "</f>
        <v xml:space="preserve">Update dcollab.collab_user Set Pi = True where User_ID = 'CUSR00785'; </v>
      </c>
    </row>
    <row r="752" spans="1:21">
      <c r="A752" t="s">
        <v>10358</v>
      </c>
      <c r="B752" t="s">
        <v>1418</v>
      </c>
      <c r="C752" t="s">
        <v>10540</v>
      </c>
      <c r="D752" t="s">
        <v>1419</v>
      </c>
      <c r="E752" t="s">
        <v>228</v>
      </c>
      <c r="F752" t="s">
        <v>1420</v>
      </c>
      <c r="G752" t="s">
        <v>1421</v>
      </c>
      <c r="H752">
        <f t="shared" si="11"/>
        <v>1</v>
      </c>
      <c r="I752" t="s">
        <v>152</v>
      </c>
      <c r="J752" t="s">
        <v>1422</v>
      </c>
      <c r="K752" t="str">
        <f>VLOOKUP(J752,Organisation!$A$2:$C$499,3,FALSE)</f>
        <v>CORG00292</v>
      </c>
      <c r="L752" t="str">
        <f>VLOOKUP(J752,Organisation!$A$2:$E$499,4,FALSE)</f>
        <v>Academic</v>
      </c>
      <c r="M752" t="s">
        <v>1423</v>
      </c>
      <c r="N752" t="s">
        <v>1424</v>
      </c>
      <c r="O752" t="s">
        <v>14</v>
      </c>
      <c r="P752" s="3" t="s">
        <v>1425</v>
      </c>
      <c r="Q752" t="s">
        <v>1426</v>
      </c>
      <c r="S752" s="1">
        <v>1</v>
      </c>
      <c r="T752" t="str">
        <f>"Update Collaborator Set Organisation = '"&amp;J752&amp;"' where User_ID = '"&amp;B752&amp;"'; "</f>
        <v xml:space="preserve">Update Collaborator Set Organisation = 'University of Wollongong' where User_ID = 'CU00756'; </v>
      </c>
      <c r="U752" t="str">
        <f>"Update dcollab.collab_user Set Pi = True where User_ID = '"&amp;A752&amp;"'; "</f>
        <v xml:space="preserve">Update dcollab.collab_user Set Pi = True where User_ID = 'CUSR00786'; </v>
      </c>
    </row>
    <row r="753" spans="1:21">
      <c r="A753" t="s">
        <v>10359</v>
      </c>
      <c r="B753" t="s">
        <v>3758</v>
      </c>
      <c r="C753" t="s">
        <v>10540</v>
      </c>
      <c r="D753" t="s">
        <v>2683</v>
      </c>
      <c r="E753" t="s">
        <v>18</v>
      </c>
      <c r="F753" t="s">
        <v>3759</v>
      </c>
      <c r="G753" t="s">
        <v>3760</v>
      </c>
      <c r="H753">
        <f t="shared" si="11"/>
        <v>1</v>
      </c>
      <c r="I753" t="s">
        <v>3761</v>
      </c>
      <c r="J753" t="s">
        <v>691</v>
      </c>
      <c r="K753" t="str">
        <f>VLOOKUP(J753,Organisation!$A$2:$C$499,3,FALSE)</f>
        <v>CORG00286</v>
      </c>
      <c r="L753" t="str">
        <f>VLOOKUP(J753,Organisation!$A$2:$E$499,4,FALSE)</f>
        <v>Academic</v>
      </c>
      <c r="M753" t="s">
        <v>84</v>
      </c>
      <c r="N753" t="s">
        <v>2686</v>
      </c>
      <c r="O753" t="s">
        <v>694</v>
      </c>
      <c r="P753" s="3" t="s">
        <v>2687</v>
      </c>
      <c r="Q753" t="s">
        <v>3762</v>
      </c>
      <c r="S753" s="1">
        <v>1</v>
      </c>
      <c r="T753" t="str">
        <f>"Update Collaborator Set Organisation = '"&amp;J753&amp;"' where User_ID = '"&amp;B753&amp;"'; "</f>
        <v xml:space="preserve">Update Collaborator Set Organisation = 'University of Vienna' where User_ID = 'CU00757'; </v>
      </c>
      <c r="U753" t="str">
        <f>"Update dcollab.collab_user Set Pi = True where User_ID = '"&amp;A753&amp;"'; "</f>
        <v xml:space="preserve">Update dcollab.collab_user Set Pi = True where User_ID = 'CUSR00787'; </v>
      </c>
    </row>
    <row r="754" spans="1:21">
      <c r="A754" t="s">
        <v>10360</v>
      </c>
      <c r="B754" t="s">
        <v>2682</v>
      </c>
      <c r="D754" t="s">
        <v>2683</v>
      </c>
      <c r="E754" t="s">
        <v>7</v>
      </c>
      <c r="F754" t="s">
        <v>2684</v>
      </c>
      <c r="G754" t="s">
        <v>2685</v>
      </c>
      <c r="H754">
        <f t="shared" si="11"/>
        <v>1</v>
      </c>
      <c r="I754" t="s">
        <v>152</v>
      </c>
      <c r="J754" t="s">
        <v>691</v>
      </c>
      <c r="K754" t="str">
        <f>VLOOKUP(J754,Organisation!$A$2:$C$499,3,FALSE)</f>
        <v>CORG00286</v>
      </c>
      <c r="L754" t="str">
        <f>VLOOKUP(J754,Organisation!$A$2:$E$499,4,FALSE)</f>
        <v>Academic</v>
      </c>
      <c r="M754" t="s">
        <v>84</v>
      </c>
      <c r="N754" t="s">
        <v>2686</v>
      </c>
      <c r="O754" t="s">
        <v>694</v>
      </c>
      <c r="P754" s="3" t="s">
        <v>2687</v>
      </c>
      <c r="Q754" t="s">
        <v>2688</v>
      </c>
      <c r="S754" s="1">
        <v>1</v>
      </c>
      <c r="T754" t="str">
        <f>"Update Collaborator Set Organisation = '"&amp;J754&amp;"' where User_ID = '"&amp;B754&amp;"'; "</f>
        <v xml:space="preserve">Update Collaborator Set Organisation = 'University of Vienna' where User_ID = 'CU00758'; </v>
      </c>
    </row>
    <row r="755" spans="1:21">
      <c r="A755" t="s">
        <v>10362</v>
      </c>
      <c r="B755" t="s">
        <v>842</v>
      </c>
      <c r="C755" t="s">
        <v>10540</v>
      </c>
      <c r="D755" t="s">
        <v>843</v>
      </c>
      <c r="E755" t="s">
        <v>60</v>
      </c>
      <c r="F755" t="s">
        <v>844</v>
      </c>
      <c r="G755" t="s">
        <v>845</v>
      </c>
      <c r="H755">
        <f t="shared" si="11"/>
        <v>1</v>
      </c>
      <c r="I755" t="s">
        <v>136</v>
      </c>
      <c r="J755" t="s">
        <v>846</v>
      </c>
      <c r="K755" t="str">
        <f>VLOOKUP(J755,Organisation!$A$2:$C$499,3,FALSE)</f>
        <v>CORG00184</v>
      </c>
      <c r="L755" t="str">
        <f>VLOOKUP(J755,Organisation!$A$2:$E$499,4,FALSE)</f>
        <v>Academic</v>
      </c>
      <c r="M755" t="s">
        <v>84</v>
      </c>
      <c r="N755" t="s">
        <v>847</v>
      </c>
      <c r="O755" t="s">
        <v>848</v>
      </c>
      <c r="P755" s="3" t="s">
        <v>849</v>
      </c>
      <c r="Q755" t="s">
        <v>850</v>
      </c>
      <c r="S755" t="s">
        <v>851</v>
      </c>
      <c r="T755" t="str">
        <f>"Update Collaborator Set Organisation = '"&amp;J755&amp;"' where User_ID = '"&amp;B755&amp;"'; "</f>
        <v xml:space="preserve">Update Collaborator Set Organisation = 'Technical University of Lodz' where User_ID = 'CU00759'; </v>
      </c>
      <c r="U755" t="str">
        <f>"Update dcollab.collab_user Set Pi = True where User_ID = '"&amp;A755&amp;"'; "</f>
        <v xml:space="preserve">Update dcollab.collab_user Set Pi = True where User_ID = 'CUSR00790'; </v>
      </c>
    </row>
    <row r="756" spans="1:21">
      <c r="A756" t="s">
        <v>10363</v>
      </c>
      <c r="B756" t="s">
        <v>5330</v>
      </c>
      <c r="D756" t="s">
        <v>843</v>
      </c>
      <c r="E756" t="s">
        <v>41</v>
      </c>
      <c r="F756" t="s">
        <v>5331</v>
      </c>
      <c r="G756" t="s">
        <v>5332</v>
      </c>
      <c r="H756">
        <f t="shared" si="11"/>
        <v>1</v>
      </c>
      <c r="I756" t="s">
        <v>136</v>
      </c>
      <c r="J756" t="s">
        <v>846</v>
      </c>
      <c r="K756" t="str">
        <f>VLOOKUP(J756,Organisation!$A$2:$C$499,3,FALSE)</f>
        <v>CORG00184</v>
      </c>
      <c r="L756" t="str">
        <f>VLOOKUP(J756,Organisation!$A$2:$E$499,4,FALSE)</f>
        <v>Academic</v>
      </c>
      <c r="M756" t="s">
        <v>84</v>
      </c>
      <c r="N756" t="s">
        <v>847</v>
      </c>
      <c r="O756" t="s">
        <v>848</v>
      </c>
      <c r="P756" s="3" t="s">
        <v>5333</v>
      </c>
      <c r="Q756" t="s">
        <v>5334</v>
      </c>
      <c r="S756" t="s">
        <v>851</v>
      </c>
      <c r="T756" t="str">
        <f>"Update Collaborator Set Organisation = '"&amp;J756&amp;"' where User_ID = '"&amp;B756&amp;"'; "</f>
        <v xml:space="preserve">Update Collaborator Set Organisation = 'Technical University of Lodz' where User_ID = 'CU00760'; </v>
      </c>
    </row>
    <row r="757" spans="1:21">
      <c r="A757" t="s">
        <v>10333</v>
      </c>
      <c r="B757" t="s">
        <v>237</v>
      </c>
      <c r="D757" t="s">
        <v>238</v>
      </c>
      <c r="E757" t="s">
        <v>110</v>
      </c>
      <c r="F757" t="s">
        <v>239</v>
      </c>
      <c r="G757" t="s">
        <v>240</v>
      </c>
      <c r="H757">
        <f t="shared" si="11"/>
        <v>1</v>
      </c>
      <c r="I757" t="s">
        <v>241</v>
      </c>
      <c r="J757" t="s">
        <v>242</v>
      </c>
      <c r="K757" t="str">
        <f>VLOOKUP(J757,Organisation!$A$2:$C$499,3,FALSE)</f>
        <v>CORG00264</v>
      </c>
      <c r="L757" t="str">
        <f>VLOOKUP(J757,Organisation!$A$2:$E$499,4,FALSE)</f>
        <v>Academic</v>
      </c>
      <c r="M757" t="s">
        <v>84</v>
      </c>
      <c r="N757" t="s">
        <v>243</v>
      </c>
      <c r="O757" t="s">
        <v>8808</v>
      </c>
      <c r="P757" s="3" t="s">
        <v>244</v>
      </c>
      <c r="Q757" t="s">
        <v>245</v>
      </c>
      <c r="S757" s="1">
        <v>1</v>
      </c>
      <c r="T757" t="str">
        <f>"Update Collaborator Set Organisation = '"&amp;J757&amp;"' where User_ID = '"&amp;B757&amp;"'; "</f>
        <v xml:space="preserve">Update Collaborator Set Organisation = 'University of Puerto Rico Rio Piedras' where User_ID = 'CU00761'; </v>
      </c>
    </row>
    <row r="758" spans="1:21">
      <c r="A758" t="s">
        <v>10334</v>
      </c>
      <c r="B758" t="s">
        <v>2089</v>
      </c>
      <c r="D758" t="s">
        <v>238</v>
      </c>
      <c r="E758" t="s">
        <v>7</v>
      </c>
      <c r="F758" t="s">
        <v>2090</v>
      </c>
      <c r="G758" t="s">
        <v>2091</v>
      </c>
      <c r="H758">
        <f t="shared" si="11"/>
        <v>1</v>
      </c>
      <c r="I758" t="s">
        <v>2092</v>
      </c>
      <c r="J758" t="s">
        <v>242</v>
      </c>
      <c r="K758" t="str">
        <f>VLOOKUP(J758,Organisation!$A$2:$C$499,3,FALSE)</f>
        <v>CORG00264</v>
      </c>
      <c r="L758" t="str">
        <f>VLOOKUP(J758,Organisation!$A$2:$E$499,4,FALSE)</f>
        <v>Academic</v>
      </c>
      <c r="M758" t="s">
        <v>84</v>
      </c>
      <c r="N758" t="s">
        <v>243</v>
      </c>
      <c r="O758" t="s">
        <v>8808</v>
      </c>
      <c r="P758" s="3" t="s">
        <v>2093</v>
      </c>
      <c r="Q758" t="s">
        <v>2094</v>
      </c>
      <c r="S758" s="1">
        <v>1</v>
      </c>
      <c r="T758" t="str">
        <f>"Update Collaborator Set Organisation = '"&amp;J758&amp;"' where User_ID = '"&amp;B758&amp;"'; "</f>
        <v xml:space="preserve">Update Collaborator Set Organisation = 'University of Puerto Rico Rio Piedras' where User_ID = 'CU00762'; </v>
      </c>
    </row>
    <row r="759" spans="1:21">
      <c r="A759" t="s">
        <v>10098</v>
      </c>
      <c r="B759" t="s">
        <v>187</v>
      </c>
      <c r="D759" t="s">
        <v>59</v>
      </c>
      <c r="E759" t="s">
        <v>7</v>
      </c>
      <c r="F759" t="s">
        <v>188</v>
      </c>
      <c r="G759" t="s">
        <v>189</v>
      </c>
      <c r="H759">
        <f t="shared" si="11"/>
        <v>1</v>
      </c>
      <c r="I759" t="s">
        <v>190</v>
      </c>
      <c r="J759" t="s">
        <v>8775</v>
      </c>
      <c r="K759" t="str">
        <f>VLOOKUP(J759,Organisation!$A$2:$C$499,3,FALSE)</f>
        <v>CORG00128</v>
      </c>
      <c r="L759" t="str">
        <f>VLOOKUP(J759,Organisation!$A$2:$E$499,4,FALSE)</f>
        <v>Academic</v>
      </c>
      <c r="M759" t="s">
        <v>35</v>
      </c>
      <c r="N759" t="s">
        <v>191</v>
      </c>
      <c r="O759" t="s">
        <v>55</v>
      </c>
      <c r="P759" s="3" t="s">
        <v>192</v>
      </c>
      <c r="Q759" t="s">
        <v>193</v>
      </c>
      <c r="S759" s="1">
        <v>1</v>
      </c>
      <c r="T759" t="str">
        <f>"Update Collaborator Set Organisation = '"&amp;J759&amp;"' where User_ID = '"&amp;B759&amp;"'; "</f>
        <v xml:space="preserve">Update Collaborator Set Organisation = 'Nahda University Beni Suef' where User_ID = 'CU00763'; </v>
      </c>
    </row>
    <row r="760" spans="1:21">
      <c r="A760" t="s">
        <v>9940</v>
      </c>
      <c r="B760" t="s">
        <v>3092</v>
      </c>
      <c r="D760" t="s">
        <v>1152</v>
      </c>
      <c r="E760" t="s">
        <v>110</v>
      </c>
      <c r="F760" t="s">
        <v>3093</v>
      </c>
      <c r="G760" t="s">
        <v>3094</v>
      </c>
      <c r="H760">
        <f t="shared" si="11"/>
        <v>1</v>
      </c>
      <c r="I760" t="s">
        <v>1035</v>
      </c>
      <c r="J760" t="s">
        <v>1154</v>
      </c>
      <c r="K760" t="str">
        <f>VLOOKUP(J760,Organisation!$A$2:$C$499,3,FALSE)</f>
        <v>CORG00288</v>
      </c>
      <c r="L760" t="str">
        <f>VLOOKUP(J760,Organisation!$A$2:$E$499,4,FALSE)</f>
        <v>Academic</v>
      </c>
      <c r="M760" t="s">
        <v>84</v>
      </c>
      <c r="N760" t="s">
        <v>3095</v>
      </c>
      <c r="O760" t="s">
        <v>269</v>
      </c>
      <c r="P760" s="3" t="s">
        <v>3096</v>
      </c>
      <c r="Q760" t="s">
        <v>3097</v>
      </c>
      <c r="S760" s="1">
        <v>1</v>
      </c>
      <c r="T760" t="str">
        <f>"Update Collaborator Set Organisation = '"&amp;J760&amp;"' where User_ID = '"&amp;B760&amp;"'; "</f>
        <v xml:space="preserve">Update Collaborator Set Organisation = 'University of Warwick' where User_ID = 'CU00764'; </v>
      </c>
    </row>
    <row r="761" spans="1:21">
      <c r="A761" t="s">
        <v>9941</v>
      </c>
      <c r="B761" t="s">
        <v>3133</v>
      </c>
      <c r="D761" t="s">
        <v>1152</v>
      </c>
      <c r="E761" t="s">
        <v>7</v>
      </c>
      <c r="F761" t="s">
        <v>3134</v>
      </c>
      <c r="G761" t="s">
        <v>3135</v>
      </c>
      <c r="H761">
        <f t="shared" si="11"/>
        <v>1</v>
      </c>
      <c r="I761" t="s">
        <v>3136</v>
      </c>
      <c r="J761" t="s">
        <v>1154</v>
      </c>
      <c r="K761" t="str">
        <f>VLOOKUP(J761,Organisation!$A$2:$C$499,3,FALSE)</f>
        <v>CORG00288</v>
      </c>
      <c r="L761" t="str">
        <f>VLOOKUP(J761,Organisation!$A$2:$E$499,4,FALSE)</f>
        <v>Academic</v>
      </c>
      <c r="M761" t="s">
        <v>84</v>
      </c>
      <c r="N761" t="s">
        <v>3095</v>
      </c>
      <c r="O761" t="s">
        <v>269</v>
      </c>
      <c r="P761" s="3" t="s">
        <v>3137</v>
      </c>
      <c r="Q761" t="s">
        <v>3138</v>
      </c>
      <c r="S761" s="1">
        <v>1</v>
      </c>
      <c r="T761" t="str">
        <f>"Update Collaborator Set Organisation = '"&amp;J761&amp;"' where User_ID = '"&amp;B761&amp;"'; "</f>
        <v xml:space="preserve">Update Collaborator Set Organisation = 'University of Warwick' where User_ID = 'CU00765'; </v>
      </c>
    </row>
    <row r="762" spans="1:21">
      <c r="A762" t="s">
        <v>10364</v>
      </c>
      <c r="B762" t="s">
        <v>1962</v>
      </c>
      <c r="C762" t="s">
        <v>10540</v>
      </c>
      <c r="D762" t="s">
        <v>1963</v>
      </c>
      <c r="E762" t="s">
        <v>60</v>
      </c>
      <c r="F762" t="s">
        <v>1964</v>
      </c>
      <c r="G762" t="s">
        <v>1965</v>
      </c>
      <c r="H762">
        <f t="shared" si="11"/>
        <v>1</v>
      </c>
      <c r="I762" t="s">
        <v>1966</v>
      </c>
      <c r="J762" t="s">
        <v>1967</v>
      </c>
      <c r="K762" t="str">
        <f>VLOOKUP(J762,Organisation!$A$2:$C$499,3,FALSE)</f>
        <v>CORG00018</v>
      </c>
      <c r="L762" t="str">
        <f>VLOOKUP(J762,Organisation!$A$2:$E$499,4,FALSE)</f>
        <v>For-Profit</v>
      </c>
      <c r="M762" t="s">
        <v>8822</v>
      </c>
      <c r="N762" t="s">
        <v>1969</v>
      </c>
      <c r="O762" t="s">
        <v>8808</v>
      </c>
      <c r="P762" s="3" t="s">
        <v>1970</v>
      </c>
      <c r="Q762" t="s">
        <v>1971</v>
      </c>
      <c r="S762" s="1">
        <v>1</v>
      </c>
      <c r="T762" t="str">
        <f>"Update Collaborator Set Organisation = '"&amp;J762&amp;"' where User_ID = '"&amp;B762&amp;"'; "</f>
        <v xml:space="preserve">Update Collaborator Set Organisation = 'BioCipher LLC' where User_ID = 'CU00766'; </v>
      </c>
      <c r="U762" t="str">
        <f>"Update dcollab.collab_user Set Pi = True where User_ID = '"&amp;A762&amp;"'; "</f>
        <v xml:space="preserve">Update dcollab.collab_user Set Pi = True where User_ID = 'CUSR00792'; </v>
      </c>
    </row>
    <row r="763" spans="1:21">
      <c r="A763" t="s">
        <v>10365</v>
      </c>
      <c r="B763" t="s">
        <v>4944</v>
      </c>
      <c r="C763" t="s">
        <v>10540</v>
      </c>
      <c r="D763" t="s">
        <v>1929</v>
      </c>
      <c r="E763" t="s">
        <v>41</v>
      </c>
      <c r="F763" t="s">
        <v>4945</v>
      </c>
      <c r="G763" t="s">
        <v>4946</v>
      </c>
      <c r="H763">
        <f t="shared" si="11"/>
        <v>1</v>
      </c>
      <c r="I763" t="s">
        <v>4947</v>
      </c>
      <c r="J763" t="s">
        <v>1932</v>
      </c>
      <c r="K763" t="str">
        <f>VLOOKUP(J763,Organisation!$A$2:$C$499,3,FALSE)</f>
        <v>CORG00089</v>
      </c>
      <c r="L763" t="str">
        <f>VLOOKUP(J763,Organisation!$A$2:$E$499,4,FALSE)</f>
        <v>Academic</v>
      </c>
      <c r="M763" t="s">
        <v>84</v>
      </c>
      <c r="N763" t="s">
        <v>1933</v>
      </c>
      <c r="O763" t="s">
        <v>1934</v>
      </c>
      <c r="P763" s="3" t="s">
        <v>4948</v>
      </c>
      <c r="Q763" t="s">
        <v>4949</v>
      </c>
      <c r="S763" s="1">
        <v>1</v>
      </c>
      <c r="T763" t="str">
        <f>"Update Collaborator Set Organisation = '"&amp;J763&amp;"' where User_ID = '"&amp;B763&amp;"'; "</f>
        <v xml:space="preserve">Update Collaborator Set Organisation = 'IPB University' where User_ID = 'CU00767'; </v>
      </c>
      <c r="U763" t="str">
        <f>"Update dcollab.collab_user Set Pi = True where User_ID = '"&amp;A763&amp;"'; "</f>
        <v xml:space="preserve">Update dcollab.collab_user Set Pi = True where User_ID = 'CUSR00793'; </v>
      </c>
    </row>
    <row r="764" spans="1:21">
      <c r="A764" t="s">
        <v>10366</v>
      </c>
      <c r="B764" t="s">
        <v>1928</v>
      </c>
      <c r="D764" t="s">
        <v>1929</v>
      </c>
      <c r="E764" t="s">
        <v>386</v>
      </c>
      <c r="F764" t="s">
        <v>1930</v>
      </c>
      <c r="G764" t="s">
        <v>1931</v>
      </c>
      <c r="H764">
        <f t="shared" si="11"/>
        <v>1</v>
      </c>
      <c r="I764" t="s">
        <v>207</v>
      </c>
      <c r="J764" t="s">
        <v>1932</v>
      </c>
      <c r="K764" t="str">
        <f>VLOOKUP(J764,Organisation!$A$2:$C$499,3,FALSE)</f>
        <v>CORG00089</v>
      </c>
      <c r="L764" t="str">
        <f>VLOOKUP(J764,Organisation!$A$2:$E$499,4,FALSE)</f>
        <v>Academic</v>
      </c>
      <c r="M764" t="s">
        <v>84</v>
      </c>
      <c r="N764" t="s">
        <v>1933</v>
      </c>
      <c r="O764" t="s">
        <v>1934</v>
      </c>
      <c r="P764" s="3" t="s">
        <v>1935</v>
      </c>
      <c r="Q764" t="s">
        <v>1936</v>
      </c>
      <c r="S764" s="1">
        <v>1</v>
      </c>
      <c r="T764" t="str">
        <f>"Update Collaborator Set Organisation = '"&amp;J764&amp;"' where User_ID = '"&amp;B764&amp;"'; "</f>
        <v xml:space="preserve">Update Collaborator Set Organisation = 'IPB University' where User_ID = 'CU00768'; </v>
      </c>
    </row>
    <row r="765" spans="1:21">
      <c r="A765" t="s">
        <v>10367</v>
      </c>
      <c r="B765" t="s">
        <v>751</v>
      </c>
      <c r="C765" t="s">
        <v>10540</v>
      </c>
      <c r="D765" t="s">
        <v>752</v>
      </c>
      <c r="E765" t="s">
        <v>60</v>
      </c>
      <c r="F765" t="s">
        <v>753</v>
      </c>
      <c r="G765" t="s">
        <v>754</v>
      </c>
      <c r="H765">
        <f t="shared" si="11"/>
        <v>1</v>
      </c>
      <c r="I765" t="s">
        <v>82</v>
      </c>
      <c r="J765" t="s">
        <v>755</v>
      </c>
      <c r="K765" t="str">
        <f>VLOOKUP(J765,Organisation!$A$2:$C$499,3,FALSE)</f>
        <v>CORG00029</v>
      </c>
      <c r="L765" t="str">
        <f>VLOOKUP(J765,Organisation!$A$2:$E$499,4,FALSE)</f>
        <v>Academic</v>
      </c>
      <c r="M765" t="s">
        <v>756</v>
      </c>
      <c r="N765" t="s">
        <v>757</v>
      </c>
      <c r="O765" t="s">
        <v>75</v>
      </c>
      <c r="P765" s="3" t="s">
        <v>758</v>
      </c>
      <c r="Q765" t="s">
        <v>759</v>
      </c>
      <c r="S765" s="1">
        <v>1</v>
      </c>
      <c r="T765" t="str">
        <f>"Update Collaborator Set Organisation = '"&amp;J765&amp;"' where User_ID = '"&amp;B765&amp;"'; "</f>
        <v xml:space="preserve">Update Collaborator Set Organisation = 'Carleton University' where User_ID = 'CU00769'; </v>
      </c>
      <c r="U765" t="str">
        <f>"Update dcollab.collab_user Set Pi = True where User_ID = '"&amp;A765&amp;"'; "</f>
        <v xml:space="preserve">Update dcollab.collab_user Set Pi = True where User_ID = 'CUSR00795'; </v>
      </c>
    </row>
    <row r="766" spans="1:21">
      <c r="A766" t="s">
        <v>10368</v>
      </c>
      <c r="B766" t="s">
        <v>3287</v>
      </c>
      <c r="D766" t="s">
        <v>752</v>
      </c>
      <c r="E766" t="s">
        <v>60</v>
      </c>
      <c r="F766" t="s">
        <v>3288</v>
      </c>
      <c r="G766" t="s">
        <v>3289</v>
      </c>
      <c r="H766">
        <f t="shared" si="11"/>
        <v>1</v>
      </c>
      <c r="I766" t="s">
        <v>3290</v>
      </c>
      <c r="J766" t="s">
        <v>755</v>
      </c>
      <c r="K766" t="str">
        <f>VLOOKUP(J766,Organisation!$A$2:$C$499,3,FALSE)</f>
        <v>CORG00029</v>
      </c>
      <c r="L766" t="str">
        <f>VLOOKUP(J766,Organisation!$A$2:$E$499,4,FALSE)</f>
        <v>Academic</v>
      </c>
      <c r="M766" t="s">
        <v>756</v>
      </c>
      <c r="N766" t="s">
        <v>757</v>
      </c>
      <c r="O766" t="s">
        <v>75</v>
      </c>
      <c r="P766" s="3" t="s">
        <v>758</v>
      </c>
      <c r="Q766" t="s">
        <v>3291</v>
      </c>
      <c r="S766" s="1">
        <v>1</v>
      </c>
      <c r="T766" t="str">
        <f>"Update Collaborator Set Organisation = '"&amp;J766&amp;"' where User_ID = '"&amp;B766&amp;"'; "</f>
        <v xml:space="preserve">Update Collaborator Set Organisation = 'Carleton University' where User_ID = 'CU00770'; </v>
      </c>
    </row>
    <row r="767" spans="1:21">
      <c r="A767" t="s">
        <v>10369</v>
      </c>
      <c r="B767" t="s">
        <v>4720</v>
      </c>
      <c r="D767" t="s">
        <v>752</v>
      </c>
      <c r="E767" t="s">
        <v>7</v>
      </c>
      <c r="F767" t="s">
        <v>3378</v>
      </c>
      <c r="G767" t="s">
        <v>4721</v>
      </c>
      <c r="H767">
        <f t="shared" si="11"/>
        <v>1</v>
      </c>
      <c r="I767" t="s">
        <v>4722</v>
      </c>
      <c r="J767" t="s">
        <v>755</v>
      </c>
      <c r="K767" t="str">
        <f>VLOOKUP(J767,Organisation!$A$2:$C$499,3,FALSE)</f>
        <v>CORG00029</v>
      </c>
      <c r="L767" t="str">
        <f>VLOOKUP(J767,Organisation!$A$2:$E$499,4,FALSE)</f>
        <v>Academic</v>
      </c>
      <c r="M767" t="s">
        <v>756</v>
      </c>
      <c r="N767" t="s">
        <v>757</v>
      </c>
      <c r="O767" t="s">
        <v>75</v>
      </c>
      <c r="Q767" t="s">
        <v>4723</v>
      </c>
      <c r="S767" s="1">
        <v>1</v>
      </c>
      <c r="T767" t="str">
        <f>"Update Collaborator Set Organisation = '"&amp;J767&amp;"' where User_ID = '"&amp;B767&amp;"'; "</f>
        <v xml:space="preserve">Update Collaborator Set Organisation = 'Carleton University' where User_ID = 'CU00771'; </v>
      </c>
    </row>
    <row r="768" spans="1:21">
      <c r="A768" t="s">
        <v>10370</v>
      </c>
      <c r="B768" t="s">
        <v>3250</v>
      </c>
      <c r="C768" t="s">
        <v>10540</v>
      </c>
      <c r="D768" t="s">
        <v>727</v>
      </c>
      <c r="E768" t="s">
        <v>60</v>
      </c>
      <c r="F768" t="s">
        <v>3251</v>
      </c>
      <c r="G768" t="s">
        <v>3252</v>
      </c>
      <c r="H768">
        <f t="shared" si="11"/>
        <v>1</v>
      </c>
      <c r="I768" t="s">
        <v>3253</v>
      </c>
      <c r="J768" t="s">
        <v>8755</v>
      </c>
      <c r="K768" t="str">
        <f>VLOOKUP(J768,Organisation!$A$2:$C$499,3,FALSE)</f>
        <v>CORG00039</v>
      </c>
      <c r="L768" t="str">
        <f>VLOOKUP(J768,Organisation!$A$2:$E$499,4,FALSE)</f>
        <v>Academic</v>
      </c>
      <c r="M768" t="s">
        <v>3254</v>
      </c>
      <c r="N768" t="s">
        <v>3255</v>
      </c>
      <c r="O768" t="s">
        <v>14</v>
      </c>
      <c r="P768" s="3" t="s">
        <v>3256</v>
      </c>
      <c r="Q768" t="s">
        <v>3257</v>
      </c>
      <c r="S768" t="s">
        <v>851</v>
      </c>
      <c r="T768" t="str">
        <f>"Update Collaborator Set Organisation = '"&amp;J768&amp;"' where User_ID = '"&amp;B768&amp;"'; "</f>
        <v xml:space="preserve">Update Collaborator Set Organisation = 'Commonwealth Scientific and Industrial Research' where User_ID = 'CU00772'; </v>
      </c>
      <c r="U768" t="str">
        <f>"Update dcollab.collab_user Set Pi = True where User_ID = '"&amp;A768&amp;"'; "</f>
        <v xml:space="preserve">Update dcollab.collab_user Set Pi = True where User_ID = 'CUSR00798'; </v>
      </c>
    </row>
    <row r="769" spans="1:21">
      <c r="A769" t="s">
        <v>10372</v>
      </c>
      <c r="B769" t="s">
        <v>1757</v>
      </c>
      <c r="C769" t="s">
        <v>10540</v>
      </c>
      <c r="D769" t="s">
        <v>1758</v>
      </c>
      <c r="E769" t="s">
        <v>60</v>
      </c>
      <c r="F769" t="s">
        <v>295</v>
      </c>
      <c r="G769" t="s">
        <v>1759</v>
      </c>
      <c r="H769">
        <f t="shared" si="11"/>
        <v>1</v>
      </c>
      <c r="I769" t="s">
        <v>82</v>
      </c>
      <c r="J769" t="s">
        <v>1760</v>
      </c>
      <c r="K769" t="str">
        <f>VLOOKUP(J769,Organisation!$A$2:$C$499,3,FALSE)</f>
        <v>CORG00266</v>
      </c>
      <c r="L769" t="str">
        <f>VLOOKUP(J769,Organisation!$A$2:$E$499,4,FALSE)</f>
        <v>Academic</v>
      </c>
      <c r="M769" t="s">
        <v>1761</v>
      </c>
      <c r="N769" t="s">
        <v>1762</v>
      </c>
      <c r="O769" t="s">
        <v>1763</v>
      </c>
      <c r="P769" s="3" t="s">
        <v>1764</v>
      </c>
      <c r="Q769" t="s">
        <v>1765</v>
      </c>
      <c r="S769" s="1">
        <v>1</v>
      </c>
      <c r="T769" t="str">
        <f>"Update Collaborator Set Organisation = '"&amp;J769&amp;"' where User_ID = '"&amp;B769&amp;"'; "</f>
        <v xml:space="preserve">Update Collaborator Set Organisation = 'University of Sharjah' where User_ID = 'CU00773'; </v>
      </c>
      <c r="U769" t="str">
        <f>"Update dcollab.collab_user Set Pi = True where User_ID = '"&amp;A769&amp;"'; "</f>
        <v xml:space="preserve">Update dcollab.collab_user Set Pi = True where User_ID = 'CUSR00800'; </v>
      </c>
    </row>
    <row r="770" spans="1:21">
      <c r="A770" t="s">
        <v>9785</v>
      </c>
      <c r="B770" t="s">
        <v>3909</v>
      </c>
      <c r="D770" t="s">
        <v>68</v>
      </c>
      <c r="E770" t="s">
        <v>7</v>
      </c>
      <c r="F770" t="s">
        <v>3833</v>
      </c>
      <c r="G770" t="s">
        <v>3910</v>
      </c>
      <c r="H770">
        <f t="shared" ref="H770:H833" si="12">COUNTIF($G$2:$G$900,G770)</f>
        <v>1</v>
      </c>
      <c r="I770" t="s">
        <v>241</v>
      </c>
      <c r="J770" t="s">
        <v>8792</v>
      </c>
      <c r="K770" t="str">
        <f>VLOOKUP(J770,Organisation!$A$2:$C$499,3,FALSE)</f>
        <v>CORG00245</v>
      </c>
      <c r="L770" t="str">
        <f>VLOOKUP(J770,Organisation!$A$2:$E$499,4,FALSE)</f>
        <v>Academic</v>
      </c>
      <c r="M770" t="s">
        <v>84</v>
      </c>
      <c r="N770" t="s">
        <v>3911</v>
      </c>
      <c r="O770" t="s">
        <v>8808</v>
      </c>
      <c r="P770" s="3" t="s">
        <v>3912</v>
      </c>
      <c r="Q770" t="s">
        <v>3913</v>
      </c>
      <c r="S770" s="1">
        <v>1</v>
      </c>
      <c r="T770" t="str">
        <f>"Update Collaborator Set Organisation = '"&amp;J770&amp;"' where User_ID = '"&amp;B770&amp;"'; "</f>
        <v xml:space="preserve">Update Collaborator Set Organisation = 'University of Miami Coral Gables' where User_ID = 'CU00774'; </v>
      </c>
    </row>
    <row r="771" spans="1:21">
      <c r="A771" t="s">
        <v>10373</v>
      </c>
      <c r="B771" t="s">
        <v>1534</v>
      </c>
      <c r="C771" t="s">
        <v>10540</v>
      </c>
      <c r="D771" t="s">
        <v>1535</v>
      </c>
      <c r="E771" t="s">
        <v>110</v>
      </c>
      <c r="F771" t="s">
        <v>1536</v>
      </c>
      <c r="G771" t="s">
        <v>1537</v>
      </c>
      <c r="H771">
        <f t="shared" si="12"/>
        <v>1</v>
      </c>
      <c r="I771" t="s">
        <v>1538</v>
      </c>
      <c r="J771" t="s">
        <v>1539</v>
      </c>
      <c r="K771" t="str">
        <f>VLOOKUP(J771,Organisation!$A$2:$C$499,3,FALSE)</f>
        <v>CORG00252</v>
      </c>
      <c r="L771" t="str">
        <f>VLOOKUP(J771,Organisation!$A$2:$E$499,4,FALSE)</f>
        <v>Academic</v>
      </c>
      <c r="M771" t="s">
        <v>8823</v>
      </c>
      <c r="N771" t="s">
        <v>1541</v>
      </c>
      <c r="O771" t="s">
        <v>8808</v>
      </c>
      <c r="P771" s="3" t="s">
        <v>1542</v>
      </c>
      <c r="Q771" t="s">
        <v>1543</v>
      </c>
      <c r="S771" s="1">
        <v>1</v>
      </c>
      <c r="T771" t="str">
        <f>"Update Collaborator Set Organisation = '"&amp;J771&amp;"' where User_ID = '"&amp;B771&amp;"'; "</f>
        <v xml:space="preserve">Update Collaborator Set Organisation = 'University of New England' where User_ID = 'CU00775'; </v>
      </c>
      <c r="U771" t="str">
        <f>"Update dcollab.collab_user Set Pi = True where User_ID = '"&amp;A771&amp;"'; "</f>
        <v xml:space="preserve">Update dcollab.collab_user Set Pi = True where User_ID = 'CUSR00801'; </v>
      </c>
    </row>
    <row r="772" spans="1:21">
      <c r="A772" t="s">
        <v>9929</v>
      </c>
      <c r="B772" t="s">
        <v>697</v>
      </c>
      <c r="D772" t="s">
        <v>247</v>
      </c>
      <c r="E772" t="s">
        <v>60</v>
      </c>
      <c r="F772" t="s">
        <v>698</v>
      </c>
      <c r="G772" t="s">
        <v>699</v>
      </c>
      <c r="H772">
        <f t="shared" si="12"/>
        <v>1</v>
      </c>
      <c r="I772" t="s">
        <v>700</v>
      </c>
      <c r="J772" t="s">
        <v>701</v>
      </c>
      <c r="K772" t="str">
        <f>VLOOKUP(J772,Organisation!$A$2:$C$499,3,FALSE)</f>
        <v>CORG00055</v>
      </c>
      <c r="L772" t="str">
        <f>VLOOKUP(J772,Organisation!$A$2:$E$499,4,FALSE)</f>
        <v>For-Profit</v>
      </c>
      <c r="M772" t="s">
        <v>702</v>
      </c>
      <c r="N772" t="s">
        <v>703</v>
      </c>
      <c r="O772" t="s">
        <v>704</v>
      </c>
      <c r="P772" s="3" t="s">
        <v>705</v>
      </c>
      <c r="Q772" t="s">
        <v>706</v>
      </c>
      <c r="S772" s="1">
        <v>1</v>
      </c>
      <c r="T772" t="str">
        <f>"Update Collaborator Set Organisation = '"&amp;J772&amp;"' where User_ID = '"&amp;B772&amp;"'; "</f>
        <v xml:space="preserve">Update Collaborator Set Organisation = 'Evotec France' where User_ID = 'CU00776'; </v>
      </c>
    </row>
    <row r="773" spans="1:21">
      <c r="A773" t="s">
        <v>9930</v>
      </c>
      <c r="B773" t="s">
        <v>246</v>
      </c>
      <c r="D773" t="s">
        <v>247</v>
      </c>
      <c r="E773" t="s">
        <v>60</v>
      </c>
      <c r="F773" t="s">
        <v>248</v>
      </c>
      <c r="G773" t="s">
        <v>249</v>
      </c>
      <c r="H773">
        <f t="shared" si="12"/>
        <v>1</v>
      </c>
      <c r="I773" t="s">
        <v>8843</v>
      </c>
      <c r="J773" t="s">
        <v>8766</v>
      </c>
      <c r="K773" t="str">
        <f>VLOOKUP(J773,Organisation!$A$2:$C$499,3,FALSE)</f>
        <v>CORG00118</v>
      </c>
      <c r="L773" t="str">
        <f>VLOOKUP(J773,Organisation!$A$2:$E$499,4,FALSE)</f>
        <v>Not-for-Profit</v>
      </c>
      <c r="M773" t="s">
        <v>251</v>
      </c>
      <c r="N773" t="s">
        <v>252</v>
      </c>
      <c r="O773" t="s">
        <v>253</v>
      </c>
      <c r="P773" s="3" t="s">
        <v>254</v>
      </c>
      <c r="Q773" t="s">
        <v>255</v>
      </c>
      <c r="S773" s="1">
        <v>1</v>
      </c>
      <c r="T773" t="str">
        <f>"Update Collaborator Set Organisation = '"&amp;J773&amp;"' where User_ID = '"&amp;B773&amp;"'; "</f>
        <v xml:space="preserve">Update Collaborator Set Organisation = 'Medicines for Malaria Venture' where User_ID = 'CU00777'; </v>
      </c>
    </row>
    <row r="774" spans="1:21">
      <c r="A774" t="s">
        <v>10374</v>
      </c>
      <c r="B774" t="s">
        <v>5405</v>
      </c>
      <c r="C774" t="s">
        <v>10540</v>
      </c>
      <c r="D774" t="s">
        <v>2318</v>
      </c>
      <c r="E774" t="s">
        <v>41</v>
      </c>
      <c r="F774" t="s">
        <v>5406</v>
      </c>
      <c r="G774" t="s">
        <v>5407</v>
      </c>
      <c r="H774">
        <f t="shared" si="12"/>
        <v>1</v>
      </c>
      <c r="I774" t="s">
        <v>71</v>
      </c>
      <c r="J774" t="s">
        <v>2321</v>
      </c>
      <c r="K774" t="str">
        <f>VLOOKUP(J774,Organisation!$A$2:$C$499,3,FALSE)</f>
        <v>CORG00228</v>
      </c>
      <c r="L774" t="str">
        <f>VLOOKUP(J774,Organisation!$A$2:$E$499,4,FALSE)</f>
        <v>Academic</v>
      </c>
      <c r="M774" t="s">
        <v>2322</v>
      </c>
      <c r="N774" t="s">
        <v>2323</v>
      </c>
      <c r="O774" t="s">
        <v>269</v>
      </c>
      <c r="P774" s="3" t="s">
        <v>2324</v>
      </c>
      <c r="Q774" t="s">
        <v>5408</v>
      </c>
      <c r="S774" s="1">
        <v>1</v>
      </c>
      <c r="T774" t="str">
        <f>"Update Collaborator Set Organisation = '"&amp;J774&amp;"' where User_ID = '"&amp;B774&amp;"'; "</f>
        <v xml:space="preserve">Update Collaborator Set Organisation = 'University of Dundee' where User_ID = 'CU00778'; </v>
      </c>
      <c r="U774" t="str">
        <f>"Update dcollab.collab_user Set Pi = True where User_ID = '"&amp;A774&amp;"'; "</f>
        <v xml:space="preserve">Update dcollab.collab_user Set Pi = True where User_ID = 'CUSR00802'; </v>
      </c>
    </row>
    <row r="775" spans="1:21">
      <c r="A775" t="s">
        <v>10375</v>
      </c>
      <c r="B775" t="s">
        <v>2317</v>
      </c>
      <c r="D775" t="s">
        <v>2318</v>
      </c>
      <c r="E775" t="s">
        <v>7</v>
      </c>
      <c r="F775" t="s">
        <v>2319</v>
      </c>
      <c r="G775" t="s">
        <v>2320</v>
      </c>
      <c r="H775">
        <f t="shared" si="12"/>
        <v>1</v>
      </c>
      <c r="I775" t="s">
        <v>152</v>
      </c>
      <c r="J775" t="s">
        <v>2321</v>
      </c>
      <c r="K775" t="str">
        <f>VLOOKUP(J775,Organisation!$A$2:$C$499,3,FALSE)</f>
        <v>CORG00228</v>
      </c>
      <c r="L775" t="str">
        <f>VLOOKUP(J775,Organisation!$A$2:$E$499,4,FALSE)</f>
        <v>Academic</v>
      </c>
      <c r="M775" t="s">
        <v>2322</v>
      </c>
      <c r="N775" t="s">
        <v>2323</v>
      </c>
      <c r="O775" t="s">
        <v>269</v>
      </c>
      <c r="P775" s="3" t="s">
        <v>2324</v>
      </c>
      <c r="Q775" t="s">
        <v>2325</v>
      </c>
      <c r="S775" s="1">
        <v>1</v>
      </c>
      <c r="T775" t="str">
        <f>"Update Collaborator Set Organisation = '"&amp;J775&amp;"' where User_ID = '"&amp;B775&amp;"'; "</f>
        <v xml:space="preserve">Update Collaborator Set Organisation = 'University of Dundee' where User_ID = 'CU00779'; </v>
      </c>
    </row>
    <row r="776" spans="1:21">
      <c r="A776" t="s">
        <v>10376</v>
      </c>
      <c r="B776" t="s">
        <v>3919</v>
      </c>
      <c r="C776" t="s">
        <v>10540</v>
      </c>
      <c r="D776" t="s">
        <v>2163</v>
      </c>
      <c r="E776" t="s">
        <v>41</v>
      </c>
      <c r="F776" t="s">
        <v>3920</v>
      </c>
      <c r="G776" t="s">
        <v>3921</v>
      </c>
      <c r="H776">
        <f t="shared" si="12"/>
        <v>1</v>
      </c>
      <c r="I776" t="s">
        <v>3922</v>
      </c>
      <c r="J776" t="s">
        <v>2167</v>
      </c>
      <c r="K776" t="str">
        <f>VLOOKUP(J776,Organisation!$A$2:$C$499,3,FALSE)</f>
        <v>CORG00185</v>
      </c>
      <c r="L776" t="str">
        <f>VLOOKUP(J776,Organisation!$A$2:$E$499,4,FALSE)</f>
        <v>Academic</v>
      </c>
      <c r="M776" t="s">
        <v>2168</v>
      </c>
      <c r="N776" t="s">
        <v>2169</v>
      </c>
      <c r="O776" t="s">
        <v>557</v>
      </c>
      <c r="P776" s="3" t="s">
        <v>3923</v>
      </c>
      <c r="Q776" t="s">
        <v>3924</v>
      </c>
      <c r="S776" s="1">
        <v>1</v>
      </c>
      <c r="T776" t="str">
        <f>"Update Collaborator Set Organisation = '"&amp;J776&amp;"' where User_ID = '"&amp;B776&amp;"'; "</f>
        <v xml:space="preserve">Update Collaborator Set Organisation = 'Technische Universität Braunschweig' where User_ID = 'CU00780'; </v>
      </c>
      <c r="U776" t="str">
        <f>"Update dcollab.collab_user Set Pi = True where User_ID = '"&amp;A776&amp;"'; "</f>
        <v xml:space="preserve">Update dcollab.collab_user Set Pi = True where User_ID = 'CUSR00804'; </v>
      </c>
    </row>
    <row r="777" spans="1:21">
      <c r="A777" t="s">
        <v>10377</v>
      </c>
      <c r="B777" t="s">
        <v>2162</v>
      </c>
      <c r="D777" t="s">
        <v>2163</v>
      </c>
      <c r="E777" t="s">
        <v>60</v>
      </c>
      <c r="F777" t="s">
        <v>2164</v>
      </c>
      <c r="G777" t="s">
        <v>2165</v>
      </c>
      <c r="H777">
        <f t="shared" si="12"/>
        <v>1</v>
      </c>
      <c r="I777" t="s">
        <v>2166</v>
      </c>
      <c r="J777" t="s">
        <v>2167</v>
      </c>
      <c r="K777" t="str">
        <f>VLOOKUP(J777,Organisation!$A$2:$C$499,3,FALSE)</f>
        <v>CORG00185</v>
      </c>
      <c r="L777" t="str">
        <f>VLOOKUP(J777,Organisation!$A$2:$E$499,4,FALSE)</f>
        <v>Academic</v>
      </c>
      <c r="M777" t="s">
        <v>2168</v>
      </c>
      <c r="N777" t="s">
        <v>2169</v>
      </c>
      <c r="O777" t="s">
        <v>557</v>
      </c>
      <c r="P777" s="3" t="s">
        <v>2170</v>
      </c>
      <c r="Q777" t="s">
        <v>2171</v>
      </c>
      <c r="S777" s="1">
        <v>1</v>
      </c>
      <c r="T777" t="str">
        <f>"Update Collaborator Set Organisation = '"&amp;J777&amp;"' where User_ID = '"&amp;B777&amp;"'; "</f>
        <v xml:space="preserve">Update Collaborator Set Organisation = 'Technische Universität Braunschweig' where User_ID = 'CU00781'; </v>
      </c>
    </row>
    <row r="778" spans="1:21">
      <c r="A778" t="s">
        <v>10265</v>
      </c>
      <c r="B778" t="s">
        <v>5425</v>
      </c>
      <c r="D778" t="s">
        <v>2660</v>
      </c>
      <c r="E778" t="s">
        <v>7</v>
      </c>
      <c r="F778" t="s">
        <v>5426</v>
      </c>
      <c r="G778" t="s">
        <v>5427</v>
      </c>
      <c r="H778">
        <f t="shared" si="12"/>
        <v>1</v>
      </c>
      <c r="I778" t="s">
        <v>4838</v>
      </c>
      <c r="J778" t="s">
        <v>8797</v>
      </c>
      <c r="K778" t="str">
        <f>VLOOKUP(J778,Organisation!$A$2:$C$499,3,FALSE)</f>
        <v>CORG00150</v>
      </c>
      <c r="L778" t="str">
        <f>VLOOKUP(J778,Organisation!$A$2:$E$499,4,FALSE)</f>
        <v>Academic</v>
      </c>
      <c r="M778" t="s">
        <v>5428</v>
      </c>
      <c r="N778" t="s">
        <v>5429</v>
      </c>
      <c r="O778" t="s">
        <v>211</v>
      </c>
      <c r="P778" s="3" t="s">
        <v>5430</v>
      </c>
      <c r="Q778" t="s">
        <v>5431</v>
      </c>
      <c r="S778" s="1">
        <v>1</v>
      </c>
      <c r="T778" t="str">
        <f>"Update Collaborator Set Organisation = '"&amp;J778&amp;"' where User_ID = '"&amp;B778&amp;"'; "</f>
        <v xml:space="preserve">Update Collaborator Set Organisation = 'PDEA Baburaoji Gholap College' where User_ID = 'CU00782'; </v>
      </c>
    </row>
    <row r="779" spans="1:21">
      <c r="A779" t="s">
        <v>10378</v>
      </c>
      <c r="B779" t="s">
        <v>402</v>
      </c>
      <c r="C779" t="s">
        <v>10540</v>
      </c>
      <c r="D779" t="s">
        <v>403</v>
      </c>
      <c r="E779" t="s">
        <v>60</v>
      </c>
      <c r="F779" t="s">
        <v>404</v>
      </c>
      <c r="G779" t="s">
        <v>405</v>
      </c>
      <c r="H779">
        <f t="shared" si="12"/>
        <v>1</v>
      </c>
      <c r="I779" t="s">
        <v>136</v>
      </c>
      <c r="J779" t="s">
        <v>5799</v>
      </c>
      <c r="K779" t="str">
        <f>VLOOKUP(J779,Organisation!$A$2:$C$499,3,FALSE)</f>
        <v>CORG00238</v>
      </c>
      <c r="L779" t="str">
        <f>VLOOKUP(J779,Organisation!$A$2:$E$499,4,FALSE)</f>
        <v>Academic</v>
      </c>
      <c r="M779" t="s">
        <v>406</v>
      </c>
      <c r="N779" t="s">
        <v>407</v>
      </c>
      <c r="O779" t="s">
        <v>408</v>
      </c>
      <c r="P779" s="3" t="s">
        <v>409</v>
      </c>
      <c r="Q779" t="s">
        <v>410</v>
      </c>
      <c r="S779" s="1">
        <v>1</v>
      </c>
      <c r="T779" t="str">
        <f>"Update Collaborator Set Organisation = '"&amp;J779&amp;"' where User_ID = '"&amp;B779&amp;"'; "</f>
        <v xml:space="preserve">Update Collaborator Set Organisation = 'University of Lisbon' where User_ID = 'CU00783'; </v>
      </c>
      <c r="U779" t="str">
        <f>"Update dcollab.collab_user Set Pi = True where User_ID = '"&amp;A779&amp;"'; "</f>
        <v xml:space="preserve">Update dcollab.collab_user Set Pi = True where User_ID = 'CUSR00806'; </v>
      </c>
    </row>
    <row r="780" spans="1:21">
      <c r="A780" t="s">
        <v>10379</v>
      </c>
      <c r="B780" t="s">
        <v>3181</v>
      </c>
      <c r="D780" t="s">
        <v>403</v>
      </c>
      <c r="E780" t="s">
        <v>60</v>
      </c>
      <c r="F780" t="s">
        <v>3182</v>
      </c>
      <c r="G780" t="s">
        <v>3183</v>
      </c>
      <c r="H780">
        <f t="shared" si="12"/>
        <v>1</v>
      </c>
      <c r="I780" t="s">
        <v>190</v>
      </c>
      <c r="J780" t="s">
        <v>5799</v>
      </c>
      <c r="K780" t="str">
        <f>VLOOKUP(J780,Organisation!$A$2:$C$499,3,FALSE)</f>
        <v>CORG00238</v>
      </c>
      <c r="L780" t="str">
        <f>VLOOKUP(J780,Organisation!$A$2:$E$499,4,FALSE)</f>
        <v>Academic</v>
      </c>
      <c r="M780" t="s">
        <v>3184</v>
      </c>
      <c r="N780" t="s">
        <v>407</v>
      </c>
      <c r="O780" t="s">
        <v>408</v>
      </c>
      <c r="P780" s="3" t="s">
        <v>3185</v>
      </c>
      <c r="Q780" t="s">
        <v>3186</v>
      </c>
      <c r="S780" s="1">
        <v>1</v>
      </c>
      <c r="T780" t="str">
        <f>"Update Collaborator Set Organisation = '"&amp;J780&amp;"' where User_ID = '"&amp;B780&amp;"'; "</f>
        <v xml:space="preserve">Update Collaborator Set Organisation = 'University of Lisbon' where User_ID = 'CU00784'; </v>
      </c>
    </row>
    <row r="781" spans="1:21">
      <c r="A781" t="s">
        <v>10380</v>
      </c>
      <c r="B781" t="s">
        <v>4843</v>
      </c>
      <c r="D781" t="s">
        <v>403</v>
      </c>
      <c r="E781" t="s">
        <v>60</v>
      </c>
      <c r="F781" t="s">
        <v>4844</v>
      </c>
      <c r="G781" t="s">
        <v>4845</v>
      </c>
      <c r="H781">
        <f t="shared" si="12"/>
        <v>1</v>
      </c>
      <c r="I781" t="s">
        <v>136</v>
      </c>
      <c r="J781" t="s">
        <v>5799</v>
      </c>
      <c r="K781" t="str">
        <f>VLOOKUP(J781,Organisation!$A$2:$C$499,3,FALSE)</f>
        <v>CORG00238</v>
      </c>
      <c r="L781" t="str">
        <f>VLOOKUP(J781,Organisation!$A$2:$E$499,4,FALSE)</f>
        <v>Academic</v>
      </c>
      <c r="M781" t="s">
        <v>3184</v>
      </c>
      <c r="N781" t="s">
        <v>407</v>
      </c>
      <c r="O781" t="s">
        <v>408</v>
      </c>
      <c r="Q781" t="s">
        <v>4846</v>
      </c>
      <c r="S781" s="1">
        <v>1</v>
      </c>
      <c r="T781" t="str">
        <f>"Update Collaborator Set Organisation = '"&amp;J781&amp;"' where User_ID = '"&amp;B781&amp;"'; "</f>
        <v xml:space="preserve">Update Collaborator Set Organisation = 'University of Lisbon' where User_ID = 'CU00785'; </v>
      </c>
    </row>
    <row r="782" spans="1:21">
      <c r="A782" t="s">
        <v>10381</v>
      </c>
      <c r="B782" t="s">
        <v>10407</v>
      </c>
      <c r="C782" t="s">
        <v>10540</v>
      </c>
      <c r="D782" t="s">
        <v>4578</v>
      </c>
      <c r="E782" t="s">
        <v>41</v>
      </c>
      <c r="F782" t="s">
        <v>689</v>
      </c>
      <c r="G782" t="s">
        <v>4579</v>
      </c>
      <c r="H782">
        <f t="shared" si="12"/>
        <v>1</v>
      </c>
      <c r="I782" t="s">
        <v>333</v>
      </c>
      <c r="J782" t="s">
        <v>4580</v>
      </c>
      <c r="K782" t="str">
        <f>VLOOKUP(J782,Organisation!$A$2:$C$499,3,FALSE)</f>
        <v>CORG00115</v>
      </c>
      <c r="L782" t="str">
        <f>VLOOKUP(J782,Organisation!$A$2:$E$499,4,FALSE)</f>
        <v>Academic</v>
      </c>
      <c r="M782" t="s">
        <v>756</v>
      </c>
      <c r="N782" t="s">
        <v>4581</v>
      </c>
      <c r="O782" t="s">
        <v>75</v>
      </c>
      <c r="P782" s="3" t="s">
        <v>4582</v>
      </c>
      <c r="Q782" t="s">
        <v>4583</v>
      </c>
      <c r="S782" s="1">
        <v>1</v>
      </c>
      <c r="T782" t="str">
        <f>"Update Collaborator Set Organisation = '"&amp;J782&amp;"' where User_ID = '"&amp;B782&amp;"'; "</f>
        <v xml:space="preserve">Update Collaborator Set Organisation = 'McGill University' where User_ID = 'CU00786; CU00787'; </v>
      </c>
      <c r="U782" t="str">
        <f>"Update dcollab.collab_user Set Pi = True where User_ID = '"&amp;A782&amp;"'; "</f>
        <v xml:space="preserve">Update dcollab.collab_user Set Pi = True where User_ID = 'CUSR00809'; </v>
      </c>
    </row>
    <row r="783" spans="1:21">
      <c r="A783" t="s">
        <v>10062</v>
      </c>
      <c r="B783" t="s">
        <v>5166</v>
      </c>
      <c r="D783" t="s">
        <v>3326</v>
      </c>
      <c r="E783" t="s">
        <v>7</v>
      </c>
      <c r="F783" t="s">
        <v>3969</v>
      </c>
      <c r="G783" t="s">
        <v>5167</v>
      </c>
      <c r="H783">
        <f t="shared" si="12"/>
        <v>1</v>
      </c>
      <c r="I783" t="s">
        <v>282</v>
      </c>
      <c r="J783" t="s">
        <v>1234</v>
      </c>
      <c r="K783" t="str">
        <f>VLOOKUP(J783,Organisation!$A$2:$C$499,3,FALSE)</f>
        <v>CORG00209</v>
      </c>
      <c r="L783" t="str">
        <f>VLOOKUP(J783,Organisation!$A$2:$E$499,4,FALSE)</f>
        <v>Academic</v>
      </c>
      <c r="M783" t="s">
        <v>170</v>
      </c>
      <c r="N783" t="s">
        <v>5168</v>
      </c>
      <c r="O783" t="s">
        <v>1235</v>
      </c>
      <c r="P783" s="3" t="s">
        <v>5169</v>
      </c>
      <c r="Q783" t="s">
        <v>5170</v>
      </c>
      <c r="S783" s="1">
        <v>1</v>
      </c>
      <c r="T783" t="str">
        <f>"Update Collaborator Set Organisation = '"&amp;J783&amp;"' where User_ID = '"&amp;B783&amp;"'; "</f>
        <v xml:space="preserve">Update Collaborator Set Organisation = 'University College Cork' where User_ID = 'CU00788'; </v>
      </c>
    </row>
    <row r="784" spans="1:21">
      <c r="A784" t="s">
        <v>10382</v>
      </c>
      <c r="B784" t="s">
        <v>2456</v>
      </c>
      <c r="C784" t="s">
        <v>10540</v>
      </c>
      <c r="D784" t="s">
        <v>2457</v>
      </c>
      <c r="E784" t="s">
        <v>41</v>
      </c>
      <c r="F784" t="s">
        <v>2458</v>
      </c>
      <c r="G784" t="s">
        <v>2459</v>
      </c>
      <c r="H784">
        <f t="shared" si="12"/>
        <v>1</v>
      </c>
      <c r="I784" t="s">
        <v>71</v>
      </c>
      <c r="J784" t="s">
        <v>823</v>
      </c>
      <c r="K784" t="str">
        <f>VLOOKUP(J784,Organisation!$A$2:$C$499,3,FALSE)</f>
        <v>CORG00054</v>
      </c>
      <c r="L784" t="str">
        <f>VLOOKUP(J784,Organisation!$A$2:$E$499,4,FALSE)</f>
        <v>Academic</v>
      </c>
      <c r="M784" t="s">
        <v>8817</v>
      </c>
      <c r="N784" t="s">
        <v>2461</v>
      </c>
      <c r="O784" t="s">
        <v>253</v>
      </c>
      <c r="P784" s="3" t="s">
        <v>2462</v>
      </c>
      <c r="Q784" t="s">
        <v>2463</v>
      </c>
      <c r="S784" s="1">
        <v>1</v>
      </c>
      <c r="T784" t="str">
        <f>"Update Collaborator Set Organisation = '"&amp;J784&amp;"' where User_ID = '"&amp;B784&amp;"'; "</f>
        <v xml:space="preserve">Update Collaborator Set Organisation = 'ETH Zurich' where User_ID = 'CU00789'; </v>
      </c>
      <c r="U784" t="str">
        <f>"Update dcollab.collab_user Set Pi = True where User_ID = '"&amp;A784&amp;"'; "</f>
        <v xml:space="preserve">Update dcollab.collab_user Set Pi = True where User_ID = 'CUSR00810'; </v>
      </c>
    </row>
    <row r="785" spans="1:21">
      <c r="A785" t="s">
        <v>10383</v>
      </c>
      <c r="B785" t="s">
        <v>3823</v>
      </c>
      <c r="D785" t="s">
        <v>2457</v>
      </c>
      <c r="E785" t="s">
        <v>60</v>
      </c>
      <c r="F785" t="s">
        <v>926</v>
      </c>
      <c r="G785" t="s">
        <v>3824</v>
      </c>
      <c r="H785">
        <f t="shared" si="12"/>
        <v>1</v>
      </c>
      <c r="I785" t="s">
        <v>615</v>
      </c>
      <c r="J785" t="s">
        <v>823</v>
      </c>
      <c r="K785" t="str">
        <f>VLOOKUP(J785,Organisation!$A$2:$C$499,3,FALSE)</f>
        <v>CORG00054</v>
      </c>
      <c r="L785" t="str">
        <f>VLOOKUP(J785,Organisation!$A$2:$E$499,4,FALSE)</f>
        <v>Academic</v>
      </c>
      <c r="M785" t="s">
        <v>8817</v>
      </c>
      <c r="N785" t="s">
        <v>2461</v>
      </c>
      <c r="O785" t="s">
        <v>253</v>
      </c>
      <c r="P785" s="3" t="s">
        <v>3825</v>
      </c>
      <c r="Q785" t="s">
        <v>3826</v>
      </c>
      <c r="S785" s="1">
        <v>1</v>
      </c>
      <c r="T785" t="str">
        <f>"Update Collaborator Set Organisation = '"&amp;J785&amp;"' where User_ID = '"&amp;B785&amp;"'; "</f>
        <v xml:space="preserve">Update Collaborator Set Organisation = 'ETH Zurich' where User_ID = 'CU00790'; </v>
      </c>
    </row>
    <row r="786" spans="1:21">
      <c r="A786" t="s">
        <v>10384</v>
      </c>
      <c r="B786" t="s">
        <v>2279</v>
      </c>
      <c r="C786" t="s">
        <v>10540</v>
      </c>
      <c r="D786" t="s">
        <v>2280</v>
      </c>
      <c r="E786" t="s">
        <v>41</v>
      </c>
      <c r="F786" t="s">
        <v>2281</v>
      </c>
      <c r="G786" t="s">
        <v>2282</v>
      </c>
      <c r="H786">
        <f t="shared" si="12"/>
        <v>1</v>
      </c>
      <c r="I786" t="s">
        <v>2283</v>
      </c>
      <c r="J786" t="s">
        <v>2284</v>
      </c>
      <c r="K786" t="str">
        <f>VLOOKUP(J786,Organisation!$A$2:$C$499,3,FALSE)</f>
        <v>CORG00204</v>
      </c>
      <c r="L786" t="str">
        <f>VLOOKUP(J786,Organisation!$A$2:$E$499,4,FALSE)</f>
        <v>Academic</v>
      </c>
      <c r="M786" t="s">
        <v>2285</v>
      </c>
      <c r="N786" t="s">
        <v>2286</v>
      </c>
      <c r="O786" t="s">
        <v>704</v>
      </c>
      <c r="P786" s="3" t="s">
        <v>2287</v>
      </c>
      <c r="Q786" t="s">
        <v>2288</v>
      </c>
      <c r="S786" s="1">
        <v>1</v>
      </c>
      <c r="T786" t="str">
        <f>"Update Collaborator Set Organisation = '"&amp;J786&amp;"' where User_ID = '"&amp;B786&amp;"'; "</f>
        <v xml:space="preserve">Update Collaborator Set Organisation = 'Université de Strasbourg' where User_ID = 'CU00791'; </v>
      </c>
      <c r="U786" t="str">
        <f>"Update dcollab.collab_user Set Pi = True where User_ID = '"&amp;A786&amp;"'; "</f>
        <v xml:space="preserve">Update dcollab.collab_user Set Pi = True where User_ID = 'CUSR00812'; </v>
      </c>
    </row>
    <row r="787" spans="1:21">
      <c r="A787" t="s">
        <v>10385</v>
      </c>
      <c r="B787" t="s">
        <v>3241</v>
      </c>
      <c r="D787" t="s">
        <v>2280</v>
      </c>
      <c r="E787" t="s">
        <v>60</v>
      </c>
      <c r="F787" t="s">
        <v>1568</v>
      </c>
      <c r="G787" t="s">
        <v>3242</v>
      </c>
      <c r="H787">
        <f t="shared" si="12"/>
        <v>1</v>
      </c>
      <c r="I787" t="s">
        <v>625</v>
      </c>
      <c r="J787" t="s">
        <v>2284</v>
      </c>
      <c r="K787" t="str">
        <f>VLOOKUP(J787,Organisation!$A$2:$C$499,3,FALSE)</f>
        <v>CORG00204</v>
      </c>
      <c r="L787" t="str">
        <f>VLOOKUP(J787,Organisation!$A$2:$E$499,4,FALSE)</f>
        <v>Academic</v>
      </c>
      <c r="M787" t="s">
        <v>2285</v>
      </c>
      <c r="N787" t="s">
        <v>2286</v>
      </c>
      <c r="O787" t="s">
        <v>704</v>
      </c>
      <c r="P787" s="3" t="s">
        <v>3243</v>
      </c>
      <c r="Q787" t="s">
        <v>3244</v>
      </c>
      <c r="S787" s="1">
        <v>1</v>
      </c>
      <c r="T787" t="str">
        <f>"Update Collaborator Set Organisation = '"&amp;J787&amp;"' where User_ID = '"&amp;B787&amp;"'; "</f>
        <v xml:space="preserve">Update Collaborator Set Organisation = 'Université de Strasbourg' where User_ID = 'CU00792'; </v>
      </c>
    </row>
    <row r="788" spans="1:21">
      <c r="A788" t="s">
        <v>10371</v>
      </c>
      <c r="B788" t="s">
        <v>726</v>
      </c>
      <c r="D788" t="s">
        <v>727</v>
      </c>
      <c r="E788" t="s">
        <v>60</v>
      </c>
      <c r="F788" t="s">
        <v>728</v>
      </c>
      <c r="G788" t="s">
        <v>729</v>
      </c>
      <c r="H788">
        <f t="shared" si="12"/>
        <v>1</v>
      </c>
      <c r="I788" t="s">
        <v>730</v>
      </c>
      <c r="J788" t="s">
        <v>8755</v>
      </c>
      <c r="K788" t="str">
        <f>VLOOKUP(J788,Organisation!$A$2:$C$499,3,FALSE)</f>
        <v>CORG00039</v>
      </c>
      <c r="L788" t="str">
        <f>VLOOKUP(J788,Organisation!$A$2:$E$499,4,FALSE)</f>
        <v>Academic</v>
      </c>
      <c r="M788" t="s">
        <v>732</v>
      </c>
      <c r="N788" t="s">
        <v>733</v>
      </c>
      <c r="O788" t="s">
        <v>14</v>
      </c>
      <c r="P788" s="3" t="s">
        <v>734</v>
      </c>
      <c r="Q788" t="s">
        <v>735</v>
      </c>
      <c r="S788" s="1">
        <v>1</v>
      </c>
      <c r="T788" t="str">
        <f>"Update Collaborator Set Organisation = '"&amp;J788&amp;"' where User_ID = '"&amp;B788&amp;"'; "</f>
        <v xml:space="preserve">Update Collaborator Set Organisation = 'Commonwealth Scientific and Industrial Research' where User_ID = 'CU00793'; </v>
      </c>
    </row>
    <row r="789" spans="1:21">
      <c r="A789" t="s">
        <v>10337</v>
      </c>
      <c r="B789" t="s">
        <v>5081</v>
      </c>
      <c r="C789" t="s">
        <v>10540</v>
      </c>
      <c r="D789" t="s">
        <v>1459</v>
      </c>
      <c r="E789" t="s">
        <v>60</v>
      </c>
      <c r="F789" t="s">
        <v>5082</v>
      </c>
      <c r="G789" t="s">
        <v>5083</v>
      </c>
      <c r="H789">
        <f t="shared" si="12"/>
        <v>1</v>
      </c>
      <c r="I789" t="s">
        <v>5084</v>
      </c>
      <c r="J789" t="s">
        <v>1234</v>
      </c>
      <c r="K789" t="str">
        <f>VLOOKUP(J789,Organisation!$A$2:$C$499,3,FALSE)</f>
        <v>CORG00209</v>
      </c>
      <c r="L789" t="str">
        <f>VLOOKUP(J789,Organisation!$A$2:$E$499,4,FALSE)</f>
        <v>Academic</v>
      </c>
      <c r="M789" t="s">
        <v>170</v>
      </c>
      <c r="N789" t="s">
        <v>1464</v>
      </c>
      <c r="O789" t="s">
        <v>1235</v>
      </c>
      <c r="P789" s="3" t="s">
        <v>5085</v>
      </c>
      <c r="Q789" t="s">
        <v>5086</v>
      </c>
      <c r="S789" s="1">
        <v>1</v>
      </c>
      <c r="T789" t="str">
        <f>"Update Collaborator Set Organisation = '"&amp;J789&amp;"' where User_ID = '"&amp;B789&amp;"'; "</f>
        <v xml:space="preserve">Update Collaborator Set Organisation = 'University College Cork' where User_ID = 'CU00794'; </v>
      </c>
      <c r="U789" t="str">
        <f>"Update dcollab.collab_user Set Pi = True where User_ID = '"&amp;A789&amp;"'; "</f>
        <v xml:space="preserve">Update dcollab.collab_user Set Pi = True where User_ID = 'CUSR00765'; </v>
      </c>
    </row>
    <row r="790" spans="1:21">
      <c r="A790" t="s">
        <v>10386</v>
      </c>
      <c r="B790" t="s">
        <v>4625</v>
      </c>
      <c r="C790" t="s">
        <v>10540</v>
      </c>
      <c r="D790" t="s">
        <v>551</v>
      </c>
      <c r="E790" t="s">
        <v>41</v>
      </c>
      <c r="F790" t="s">
        <v>4626</v>
      </c>
      <c r="G790" t="s">
        <v>4627</v>
      </c>
      <c r="H790">
        <f t="shared" si="12"/>
        <v>1</v>
      </c>
      <c r="I790" t="s">
        <v>71</v>
      </c>
      <c r="J790" t="s">
        <v>554</v>
      </c>
      <c r="K790" t="str">
        <f>VLOOKUP(J790,Organisation!$A$2:$C$499,3,FALSE)</f>
        <v>CORG00232</v>
      </c>
      <c r="L790" t="str">
        <f>VLOOKUP(J790,Organisation!$A$2:$E$499,4,FALSE)</f>
        <v>Academic</v>
      </c>
      <c r="M790" t="s">
        <v>555</v>
      </c>
      <c r="N790" t="s">
        <v>556</v>
      </c>
      <c r="O790" t="s">
        <v>557</v>
      </c>
      <c r="P790" s="3" t="s">
        <v>558</v>
      </c>
      <c r="Q790" t="s">
        <v>4628</v>
      </c>
      <c r="S790" s="1">
        <v>1</v>
      </c>
      <c r="T790" t="str">
        <f>"Update Collaborator Set Organisation = '"&amp;J790&amp;"' where User_ID = '"&amp;B790&amp;"'; "</f>
        <v xml:space="preserve">Update Collaborator Set Organisation = 'University of Greifswald' where User_ID = 'CU00795'; </v>
      </c>
      <c r="U790" t="str">
        <f>"Update dcollab.collab_user Set Pi = True where User_ID = '"&amp;A790&amp;"'; "</f>
        <v xml:space="preserve">Update dcollab.collab_user Set Pi = True where User_ID = 'CUSR00814'; </v>
      </c>
    </row>
    <row r="791" spans="1:21">
      <c r="A791" t="s">
        <v>10387</v>
      </c>
      <c r="B791" t="s">
        <v>550</v>
      </c>
      <c r="D791" t="s">
        <v>551</v>
      </c>
      <c r="E791" t="s">
        <v>60</v>
      </c>
      <c r="F791" t="s">
        <v>552</v>
      </c>
      <c r="G791" t="s">
        <v>553</v>
      </c>
      <c r="H791">
        <f t="shared" si="12"/>
        <v>1</v>
      </c>
      <c r="I791" t="s">
        <v>136</v>
      </c>
      <c r="J791" t="s">
        <v>554</v>
      </c>
      <c r="K791" t="str">
        <f>VLOOKUP(J791,Organisation!$A$2:$C$499,3,FALSE)</f>
        <v>CORG00232</v>
      </c>
      <c r="L791" t="str">
        <f>VLOOKUP(J791,Organisation!$A$2:$E$499,4,FALSE)</f>
        <v>Academic</v>
      </c>
      <c r="M791" t="s">
        <v>555</v>
      </c>
      <c r="N791" t="s">
        <v>556</v>
      </c>
      <c r="O791" t="s">
        <v>557</v>
      </c>
      <c r="P791" s="3" t="s">
        <v>558</v>
      </c>
      <c r="Q791" t="s">
        <v>559</v>
      </c>
      <c r="S791" s="1">
        <v>1</v>
      </c>
      <c r="T791" t="str">
        <f>"Update Collaborator Set Organisation = '"&amp;J791&amp;"' where User_ID = '"&amp;B791&amp;"'; "</f>
        <v xml:space="preserve">Update Collaborator Set Organisation = 'University of Greifswald' where User_ID = 'CU00796'; </v>
      </c>
    </row>
    <row r="792" spans="1:21">
      <c r="A792" t="s">
        <v>10388</v>
      </c>
      <c r="B792" t="s">
        <v>10406</v>
      </c>
      <c r="C792" t="s">
        <v>10540</v>
      </c>
      <c r="D792" t="s">
        <v>279</v>
      </c>
      <c r="E792" t="s">
        <v>60</v>
      </c>
      <c r="F792" t="s">
        <v>2377</v>
      </c>
      <c r="G792" t="s">
        <v>2378</v>
      </c>
      <c r="H792">
        <f t="shared" si="12"/>
        <v>1</v>
      </c>
      <c r="I792" t="s">
        <v>82</v>
      </c>
      <c r="J792" t="s">
        <v>283</v>
      </c>
      <c r="K792" t="str">
        <f>VLOOKUP(J792,Organisation!$A$2:$C$499,3,FALSE)</f>
        <v>CORG00092</v>
      </c>
      <c r="L792" t="str">
        <f>VLOOKUP(J792,Organisation!$A$2:$E$499,4,FALSE)</f>
        <v>Academic</v>
      </c>
      <c r="M792" t="s">
        <v>2379</v>
      </c>
      <c r="N792" t="s">
        <v>285</v>
      </c>
      <c r="O792" t="s">
        <v>211</v>
      </c>
      <c r="P792" s="3" t="s">
        <v>2380</v>
      </c>
      <c r="Q792" t="s">
        <v>2381</v>
      </c>
      <c r="S792" s="1">
        <v>1</v>
      </c>
      <c r="T792" t="str">
        <f>"Update Collaborator Set Organisation = '"&amp;J792&amp;"' where User_ID = '"&amp;B792&amp;"'; "</f>
        <v xml:space="preserve">Update Collaborator Set Organisation = 'Jamia Hamdard' where User_ID = 'CU00797; CU00798'; </v>
      </c>
      <c r="U792" t="str">
        <f>"Update dcollab.collab_user Set Pi = True where User_ID = '"&amp;A792&amp;"'; "</f>
        <v xml:space="preserve">Update dcollab.collab_user Set Pi = True where User_ID = 'CUSR00816'; </v>
      </c>
    </row>
    <row r="793" spans="1:21">
      <c r="A793" t="s">
        <v>10389</v>
      </c>
      <c r="B793" t="s">
        <v>278</v>
      </c>
      <c r="D793" t="s">
        <v>279</v>
      </c>
      <c r="E793" t="s">
        <v>60</v>
      </c>
      <c r="F793" t="s">
        <v>280</v>
      </c>
      <c r="G793" t="s">
        <v>281</v>
      </c>
      <c r="H793">
        <f t="shared" si="12"/>
        <v>2</v>
      </c>
      <c r="I793" t="s">
        <v>282</v>
      </c>
      <c r="J793" t="s">
        <v>283</v>
      </c>
      <c r="K793" t="str">
        <f>VLOOKUP(J793,Organisation!$A$2:$C$499,3,FALSE)</f>
        <v>CORG00092</v>
      </c>
      <c r="L793" t="str">
        <f>VLOOKUP(J793,Organisation!$A$2:$E$499,4,FALSE)</f>
        <v>Academic</v>
      </c>
      <c r="M793" t="s">
        <v>284</v>
      </c>
      <c r="N793" t="s">
        <v>285</v>
      </c>
      <c r="O793" t="s">
        <v>211</v>
      </c>
      <c r="P793" s="3" t="s">
        <v>286</v>
      </c>
      <c r="Q793" t="s">
        <v>287</v>
      </c>
      <c r="S793" s="1">
        <v>1</v>
      </c>
      <c r="T793" t="str">
        <f>"Update Collaborator Set Organisation = '"&amp;J793&amp;"' where User_ID = '"&amp;B793&amp;"'; "</f>
        <v xml:space="preserve">Update Collaborator Set Organisation = 'Jamia Hamdard' where User_ID = 'CU00799'; </v>
      </c>
    </row>
    <row r="794" spans="1:21">
      <c r="A794" t="s">
        <v>10390</v>
      </c>
      <c r="B794" t="s">
        <v>5298</v>
      </c>
      <c r="C794" t="s">
        <v>10540</v>
      </c>
      <c r="D794" t="s">
        <v>761</v>
      </c>
      <c r="E794" t="s">
        <v>41</v>
      </c>
      <c r="F794" t="s">
        <v>1639</v>
      </c>
      <c r="G794" t="s">
        <v>5299</v>
      </c>
      <c r="H794">
        <f t="shared" si="12"/>
        <v>1</v>
      </c>
      <c r="I794" t="s">
        <v>1198</v>
      </c>
      <c r="J794" t="s">
        <v>517</v>
      </c>
      <c r="K794" t="str">
        <f>VLOOKUP(J794,Organisation!$A$2:$C$499,3,FALSE)</f>
        <v>CORG00125</v>
      </c>
      <c r="L794" t="str">
        <f>VLOOKUP(J794,Organisation!$A$2:$E$499,4,FALSE)</f>
        <v>Academic</v>
      </c>
      <c r="M794" t="s">
        <v>764</v>
      </c>
      <c r="N794" t="s">
        <v>765</v>
      </c>
      <c r="O794" t="s">
        <v>14</v>
      </c>
      <c r="P794" s="3" t="s">
        <v>766</v>
      </c>
      <c r="Q794" t="s">
        <v>5300</v>
      </c>
      <c r="S794" s="1">
        <v>1</v>
      </c>
      <c r="T794" t="str">
        <f>"Update Collaborator Set Organisation = '"&amp;J794&amp;"' where User_ID = '"&amp;B794&amp;"'; "</f>
        <v xml:space="preserve">Update Collaborator Set Organisation = 'Monash University' where User_ID = 'CU00800'; </v>
      </c>
      <c r="U794" t="str">
        <f>"Update dcollab.collab_user Set Pi = True where User_ID = '"&amp;A794&amp;"'; "</f>
        <v xml:space="preserve">Update dcollab.collab_user Set Pi = True where User_ID = 'CUSR00818'; </v>
      </c>
    </row>
    <row r="795" spans="1:21">
      <c r="A795" t="s">
        <v>10391</v>
      </c>
      <c r="B795" t="s">
        <v>760</v>
      </c>
      <c r="D795" t="s">
        <v>761</v>
      </c>
      <c r="E795" t="s">
        <v>7</v>
      </c>
      <c r="F795" t="s">
        <v>762</v>
      </c>
      <c r="G795" t="s">
        <v>763</v>
      </c>
      <c r="H795">
        <f t="shared" si="12"/>
        <v>1</v>
      </c>
      <c r="I795" t="s">
        <v>259</v>
      </c>
      <c r="J795" t="s">
        <v>517</v>
      </c>
      <c r="K795" t="str">
        <f>VLOOKUP(J795,Organisation!$A$2:$C$499,3,FALSE)</f>
        <v>CORG00125</v>
      </c>
      <c r="L795" t="str">
        <f>VLOOKUP(J795,Organisation!$A$2:$E$499,4,FALSE)</f>
        <v>Academic</v>
      </c>
      <c r="M795" t="s">
        <v>764</v>
      </c>
      <c r="N795" t="s">
        <v>765</v>
      </c>
      <c r="O795" t="s">
        <v>14</v>
      </c>
      <c r="P795" s="3" t="s">
        <v>766</v>
      </c>
      <c r="Q795" t="s">
        <v>767</v>
      </c>
      <c r="S795" s="1">
        <v>1</v>
      </c>
      <c r="T795" t="str">
        <f>"Update Collaborator Set Organisation = '"&amp;J795&amp;"' where User_ID = '"&amp;B795&amp;"'; "</f>
        <v xml:space="preserve">Update Collaborator Set Organisation = 'Monash University' where User_ID = 'CU00801'; </v>
      </c>
    </row>
    <row r="796" spans="1:21">
      <c r="A796" t="s">
        <v>10338</v>
      </c>
      <c r="B796" t="s">
        <v>1463</v>
      </c>
      <c r="D796" t="s">
        <v>1459</v>
      </c>
      <c r="E796" t="s">
        <v>7</v>
      </c>
      <c r="F796" t="s">
        <v>1143</v>
      </c>
      <c r="G796" t="s">
        <v>1454</v>
      </c>
      <c r="H796">
        <f t="shared" si="12"/>
        <v>3</v>
      </c>
      <c r="I796" t="s">
        <v>207</v>
      </c>
      <c r="J796" t="s">
        <v>1234</v>
      </c>
      <c r="K796" t="str">
        <f>VLOOKUP(J796,Organisation!$A$2:$C$499,3,FALSE)</f>
        <v>CORG00209</v>
      </c>
      <c r="L796" t="str">
        <f>VLOOKUP(J796,Organisation!$A$2:$E$499,4,FALSE)</f>
        <v>Academic</v>
      </c>
      <c r="M796" t="s">
        <v>170</v>
      </c>
      <c r="N796" t="s">
        <v>1464</v>
      </c>
      <c r="O796" t="s">
        <v>1235</v>
      </c>
      <c r="P796" s="3" t="s">
        <v>1465</v>
      </c>
      <c r="Q796" t="s">
        <v>1466</v>
      </c>
      <c r="S796" s="1">
        <v>1</v>
      </c>
      <c r="T796" t="str">
        <f>"Update Collaborator Set Organisation = '"&amp;J796&amp;"' where User_ID = '"&amp;B796&amp;"'; "</f>
        <v xml:space="preserve">Update Collaborator Set Organisation = 'University College Cork' where User_ID = 'CU00802'; </v>
      </c>
    </row>
    <row r="797" spans="1:21">
      <c r="A797" t="s">
        <v>10392</v>
      </c>
      <c r="B797" t="s">
        <v>4993</v>
      </c>
      <c r="C797" t="s">
        <v>10540</v>
      </c>
      <c r="D797" t="s">
        <v>2743</v>
      </c>
      <c r="E797" t="s">
        <v>41</v>
      </c>
      <c r="F797" t="s">
        <v>167</v>
      </c>
      <c r="G797" t="s">
        <v>4994</v>
      </c>
      <c r="H797">
        <f t="shared" si="12"/>
        <v>1</v>
      </c>
      <c r="I797" t="s">
        <v>4995</v>
      </c>
      <c r="J797" t="s">
        <v>2746</v>
      </c>
      <c r="K797" t="str">
        <f>VLOOKUP(J797,Organisation!$A$2:$C$499,3,FALSE)</f>
        <v>CORG00280</v>
      </c>
      <c r="L797" t="str">
        <f>VLOOKUP(J797,Organisation!$A$2:$E$499,4,FALSE)</f>
        <v>Academic</v>
      </c>
      <c r="M797" t="s">
        <v>84</v>
      </c>
      <c r="N797" t="s">
        <v>4996</v>
      </c>
      <c r="O797" t="s">
        <v>609</v>
      </c>
      <c r="P797" s="3" t="s">
        <v>4997</v>
      </c>
      <c r="Q797" t="s">
        <v>4998</v>
      </c>
      <c r="S797" s="1">
        <v>1</v>
      </c>
      <c r="T797" t="str">
        <f>"Update Collaborator Set Organisation = '"&amp;J797&amp;"' where User_ID = '"&amp;B797&amp;"'; "</f>
        <v xml:space="preserve">Update Collaborator Set Organisation = 'University of the Witwatersrand' where User_ID = 'CU00803'; </v>
      </c>
      <c r="U797" t="str">
        <f>"Update dcollab.collab_user Set Pi = True where User_ID = '"&amp;A797&amp;"'; "</f>
        <v xml:space="preserve">Update dcollab.collab_user Set Pi = True where User_ID = 'CUSR00820'; </v>
      </c>
    </row>
    <row r="798" spans="1:21">
      <c r="A798" t="s">
        <v>10393</v>
      </c>
      <c r="B798" t="s">
        <v>2742</v>
      </c>
      <c r="D798" t="s">
        <v>2743</v>
      </c>
      <c r="E798" t="s">
        <v>60</v>
      </c>
      <c r="F798" t="s">
        <v>2744</v>
      </c>
      <c r="G798" t="s">
        <v>2745</v>
      </c>
      <c r="H798">
        <f t="shared" si="12"/>
        <v>1</v>
      </c>
      <c r="I798" t="s">
        <v>605</v>
      </c>
      <c r="J798" t="s">
        <v>2746</v>
      </c>
      <c r="K798" t="str">
        <f>VLOOKUP(J798,Organisation!$A$2:$C$499,3,FALSE)</f>
        <v>CORG00280</v>
      </c>
      <c r="L798" t="str">
        <f>VLOOKUP(J798,Organisation!$A$2:$E$499,4,FALSE)</f>
        <v>Academic</v>
      </c>
      <c r="M798" t="s">
        <v>84</v>
      </c>
      <c r="N798" t="s">
        <v>2747</v>
      </c>
      <c r="O798" t="s">
        <v>609</v>
      </c>
      <c r="P798" s="3" t="s">
        <v>2748</v>
      </c>
      <c r="Q798" t="s">
        <v>2749</v>
      </c>
      <c r="S798" s="1">
        <v>1</v>
      </c>
      <c r="T798" t="str">
        <f>"Update Collaborator Set Organisation = '"&amp;J798&amp;"' where User_ID = '"&amp;B798&amp;"'; "</f>
        <v xml:space="preserve">Update Collaborator Set Organisation = 'University of the Witwatersrand' where User_ID = 'CU00804'; </v>
      </c>
    </row>
    <row r="799" spans="1:21">
      <c r="A799" t="s">
        <v>10394</v>
      </c>
      <c r="B799" t="s">
        <v>3724</v>
      </c>
      <c r="D799" t="s">
        <v>2743</v>
      </c>
      <c r="E799" t="s">
        <v>7</v>
      </c>
      <c r="F799" t="s">
        <v>3725</v>
      </c>
      <c r="G799" t="s">
        <v>3726</v>
      </c>
      <c r="H799">
        <f t="shared" si="12"/>
        <v>1</v>
      </c>
      <c r="I799" t="s">
        <v>3727</v>
      </c>
      <c r="J799" t="s">
        <v>2746</v>
      </c>
      <c r="K799" t="str">
        <f>VLOOKUP(J799,Organisation!$A$2:$C$499,3,FALSE)</f>
        <v>CORG00280</v>
      </c>
      <c r="L799" t="str">
        <f>VLOOKUP(J799,Organisation!$A$2:$E$499,4,FALSE)</f>
        <v>Academic</v>
      </c>
      <c r="M799" t="s">
        <v>84</v>
      </c>
      <c r="N799" t="s">
        <v>2747</v>
      </c>
      <c r="O799" t="s">
        <v>609</v>
      </c>
      <c r="Q799" t="s">
        <v>3728</v>
      </c>
      <c r="S799" s="1">
        <v>1</v>
      </c>
      <c r="T799" t="str">
        <f>"Update Collaborator Set Organisation = '"&amp;J799&amp;"' where User_ID = '"&amp;B799&amp;"'; "</f>
        <v xml:space="preserve">Update Collaborator Set Organisation = 'University of the Witwatersrand' where User_ID = 'CU00805'; </v>
      </c>
    </row>
    <row r="800" spans="1:21">
      <c r="A800" t="s">
        <v>9869</v>
      </c>
      <c r="B800" t="s">
        <v>879</v>
      </c>
      <c r="D800" t="s">
        <v>678</v>
      </c>
      <c r="E800" t="s">
        <v>7</v>
      </c>
      <c r="F800" t="s">
        <v>880</v>
      </c>
      <c r="G800" t="s">
        <v>881</v>
      </c>
      <c r="H800">
        <f t="shared" si="12"/>
        <v>1</v>
      </c>
      <c r="I800" t="s">
        <v>343</v>
      </c>
      <c r="J800" t="s">
        <v>8753</v>
      </c>
      <c r="K800" t="str">
        <f>VLOOKUP(J800,Organisation!$A$2:$C$499,3,FALSE)</f>
        <v>CORG00019</v>
      </c>
      <c r="L800" t="str">
        <f>VLOOKUP(J800,Organisation!$A$2:$E$499,4,FALSE)</f>
        <v>Academic</v>
      </c>
      <c r="M800" t="s">
        <v>882</v>
      </c>
      <c r="N800" t="s">
        <v>883</v>
      </c>
      <c r="O800" t="s">
        <v>684</v>
      </c>
      <c r="P800" s="3" t="s">
        <v>884</v>
      </c>
      <c r="Q800" t="s">
        <v>885</v>
      </c>
      <c r="S800" s="1">
        <v>1</v>
      </c>
      <c r="T800" t="str">
        <f>"Update Collaborator Set Organisation = '"&amp;J800&amp;"' where User_ID = '"&amp;B800&amp;"'; "</f>
        <v xml:space="preserve">Update Collaborator Set Organisation = 'Biotechnology Research Centre' where User_ID = 'CU00806'; </v>
      </c>
    </row>
    <row r="801" spans="1:21">
      <c r="A801" t="s">
        <v>10395</v>
      </c>
      <c r="B801" t="s">
        <v>1397</v>
      </c>
      <c r="C801" t="s">
        <v>10540</v>
      </c>
      <c r="D801" t="s">
        <v>1398</v>
      </c>
      <c r="E801" t="s">
        <v>41</v>
      </c>
      <c r="F801" t="s">
        <v>983</v>
      </c>
      <c r="G801" t="s">
        <v>1399</v>
      </c>
      <c r="H801">
        <f t="shared" si="12"/>
        <v>1</v>
      </c>
      <c r="I801" t="s">
        <v>71</v>
      </c>
      <c r="J801" t="s">
        <v>1294</v>
      </c>
      <c r="K801" t="str">
        <f>VLOOKUP(J801,Organisation!$A$2:$C$499,3,FALSE)</f>
        <v>CORG00260</v>
      </c>
      <c r="L801" t="str">
        <f>VLOOKUP(J801,Organisation!$A$2:$E$499,4,FALSE)</f>
        <v>Academic</v>
      </c>
      <c r="M801" t="s">
        <v>84</v>
      </c>
      <c r="N801" t="s">
        <v>1400</v>
      </c>
      <c r="O801" t="s">
        <v>223</v>
      </c>
      <c r="P801" s="3" t="s">
        <v>1401</v>
      </c>
      <c r="Q801" t="s">
        <v>1402</v>
      </c>
      <c r="S801" s="1">
        <v>1</v>
      </c>
      <c r="T801" t="str">
        <f>"Update Collaborator Set Organisation = '"&amp;J801&amp;"' where User_ID = '"&amp;B801&amp;"'; "</f>
        <v xml:space="preserve">Update Collaborator Set Organisation = 'University of Otago' where User_ID = 'CU00807'; </v>
      </c>
      <c r="U801" t="str">
        <f>"Update dcollab.collab_user Set Pi = True where User_ID = '"&amp;A801&amp;"'; "</f>
        <v xml:space="preserve">Update dcollab.collab_user Set Pi = True where User_ID = 'CUSR00823'; </v>
      </c>
    </row>
    <row r="802" spans="1:21">
      <c r="A802" t="s">
        <v>10396</v>
      </c>
      <c r="B802" t="s">
        <v>1924</v>
      </c>
      <c r="D802" t="s">
        <v>1398</v>
      </c>
      <c r="E802" t="s">
        <v>7</v>
      </c>
      <c r="F802" t="s">
        <v>1925</v>
      </c>
      <c r="G802" t="s">
        <v>1926</v>
      </c>
      <c r="H802">
        <f t="shared" si="12"/>
        <v>1</v>
      </c>
      <c r="I802" t="s">
        <v>207</v>
      </c>
      <c r="J802" t="s">
        <v>1294</v>
      </c>
      <c r="K802" t="str">
        <f>VLOOKUP(J802,Organisation!$A$2:$C$499,3,FALSE)</f>
        <v>CORG00260</v>
      </c>
      <c r="L802" t="str">
        <f>VLOOKUP(J802,Organisation!$A$2:$E$499,4,FALSE)</f>
        <v>Academic</v>
      </c>
      <c r="M802" t="s">
        <v>84</v>
      </c>
      <c r="N802" t="s">
        <v>1400</v>
      </c>
      <c r="O802" t="s">
        <v>223</v>
      </c>
      <c r="P802" s="3" t="s">
        <v>1401</v>
      </c>
      <c r="Q802" t="s">
        <v>1927</v>
      </c>
      <c r="S802" s="1">
        <v>1</v>
      </c>
      <c r="T802" t="str">
        <f>"Update Collaborator Set Organisation = '"&amp;J802&amp;"' where User_ID = '"&amp;B802&amp;"'; "</f>
        <v xml:space="preserve">Update Collaborator Set Organisation = 'University of Otago' where User_ID = 'CU00808'; </v>
      </c>
    </row>
    <row r="803" spans="1:21">
      <c r="A803" t="s">
        <v>9640</v>
      </c>
      <c r="B803" t="s">
        <v>4137</v>
      </c>
      <c r="D803" t="s">
        <v>2194</v>
      </c>
      <c r="E803" t="s">
        <v>110</v>
      </c>
      <c r="F803" t="s">
        <v>2151</v>
      </c>
      <c r="G803" t="s">
        <v>4138</v>
      </c>
      <c r="H803">
        <f t="shared" si="12"/>
        <v>1</v>
      </c>
      <c r="I803" t="s">
        <v>4139</v>
      </c>
      <c r="J803" t="s">
        <v>362</v>
      </c>
      <c r="K803" t="str">
        <f>VLOOKUP(J803,Organisation!$A$2:$C$499,3,FALSE)</f>
        <v>CORG00001</v>
      </c>
      <c r="L803" t="str">
        <f>VLOOKUP(J803,Organisation!$A$2:$E$499,4,FALSE)</f>
        <v>Academic</v>
      </c>
      <c r="M803" t="s">
        <v>1576</v>
      </c>
      <c r="N803" t="s">
        <v>4140</v>
      </c>
      <c r="O803" t="s">
        <v>14</v>
      </c>
      <c r="Q803" t="s">
        <v>4141</v>
      </c>
      <c r="S803" s="1">
        <v>1</v>
      </c>
      <c r="T803" t="str">
        <f>"Update Collaborator Set Organisation = '"&amp;J803&amp;"' where User_ID = '"&amp;B803&amp;"'; "</f>
        <v xml:space="preserve">Update Collaborator Set Organisation = 'University of Queensland' where User_ID = 'CU00809'; </v>
      </c>
    </row>
    <row r="804" spans="1:21">
      <c r="A804" t="s">
        <v>10398</v>
      </c>
      <c r="B804" t="s">
        <v>10405</v>
      </c>
      <c r="C804" t="s">
        <v>10540</v>
      </c>
      <c r="D804" t="s">
        <v>4409</v>
      </c>
      <c r="E804" t="s">
        <v>41</v>
      </c>
      <c r="F804" t="s">
        <v>217</v>
      </c>
      <c r="G804" t="s">
        <v>4410</v>
      </c>
      <c r="H804">
        <f t="shared" si="12"/>
        <v>1</v>
      </c>
      <c r="I804" t="s">
        <v>4411</v>
      </c>
      <c r="J804" t="s">
        <v>1154</v>
      </c>
      <c r="K804" t="str">
        <f>VLOOKUP(J804,Organisation!$A$2:$C$499,3,FALSE)</f>
        <v>CORG00288</v>
      </c>
      <c r="L804" t="str">
        <f>VLOOKUP(J804,Organisation!$A$2:$E$499,4,FALSE)</f>
        <v>Academic</v>
      </c>
      <c r="M804" t="s">
        <v>4412</v>
      </c>
      <c r="N804" t="s">
        <v>4413</v>
      </c>
      <c r="O804" t="s">
        <v>269</v>
      </c>
      <c r="P804" s="3" t="s">
        <v>4414</v>
      </c>
      <c r="Q804" t="s">
        <v>4415</v>
      </c>
      <c r="S804" s="1">
        <v>1</v>
      </c>
      <c r="T804" t="str">
        <f>"Update Collaborator Set Organisation = '"&amp;J804&amp;"' where User_ID = '"&amp;B804&amp;"'; "</f>
        <v xml:space="preserve">Update Collaborator Set Organisation = 'University of Warwick' where User_ID = 'CU00810; CU00811'; </v>
      </c>
      <c r="U804" t="str">
        <f>"Update dcollab.collab_user Set Pi = True where User_ID = '"&amp;A804&amp;"'; "</f>
        <v xml:space="preserve">Update dcollab.collab_user Set Pi = True where User_ID = 'CUSR00826'; </v>
      </c>
    </row>
    <row r="805" spans="1:21">
      <c r="A805" t="s">
        <v>10399</v>
      </c>
      <c r="B805" t="s">
        <v>5025</v>
      </c>
      <c r="C805" t="s">
        <v>10540</v>
      </c>
      <c r="D805" t="s">
        <v>5026</v>
      </c>
      <c r="E805" t="s">
        <v>60</v>
      </c>
      <c r="F805" t="s">
        <v>5027</v>
      </c>
      <c r="G805" t="s">
        <v>5028</v>
      </c>
      <c r="H805">
        <f t="shared" si="12"/>
        <v>1</v>
      </c>
      <c r="I805" t="s">
        <v>82</v>
      </c>
      <c r="J805" t="s">
        <v>5029</v>
      </c>
      <c r="K805" t="str">
        <f>VLOOKUP(J805,Organisation!$A$2:$C$499,3,FALSE)</f>
        <v>CORG00012</v>
      </c>
      <c r="L805" t="str">
        <f>VLOOKUP(J805,Organisation!$A$2:$E$499,4,FALSE)</f>
        <v>Academic</v>
      </c>
      <c r="M805" t="s">
        <v>73</v>
      </c>
      <c r="N805" t="s">
        <v>5030</v>
      </c>
      <c r="O805" t="s">
        <v>211</v>
      </c>
      <c r="P805" s="3" t="s">
        <v>5031</v>
      </c>
      <c r="Q805" t="s">
        <v>5032</v>
      </c>
      <c r="S805" s="1">
        <v>1</v>
      </c>
      <c r="T805" t="str">
        <f>"Update Collaborator Set Organisation = '"&amp;J805&amp;"' where User_ID = '"&amp;B805&amp;"'; "</f>
        <v xml:space="preserve">Update Collaborator Set Organisation = 'Atmiya University' where User_ID = 'CU00812'; </v>
      </c>
      <c r="U805" t="str">
        <f>"Update dcollab.collab_user Set Pi = True where User_ID = '"&amp;A805&amp;"'; "</f>
        <v xml:space="preserve">Update dcollab.collab_user Set Pi = True where User_ID = 'CUSR00827'; </v>
      </c>
    </row>
    <row r="806" spans="1:21">
      <c r="A806" t="s">
        <v>10361</v>
      </c>
      <c r="B806" t="s">
        <v>3619</v>
      </c>
      <c r="D806" t="s">
        <v>2683</v>
      </c>
      <c r="E806" t="s">
        <v>7</v>
      </c>
      <c r="F806" t="s">
        <v>1639</v>
      </c>
      <c r="G806" t="s">
        <v>1639</v>
      </c>
      <c r="H806">
        <f t="shared" si="12"/>
        <v>1</v>
      </c>
      <c r="I806" t="s">
        <v>207</v>
      </c>
      <c r="J806" t="s">
        <v>362</v>
      </c>
      <c r="K806" t="str">
        <f>VLOOKUP(J806,Organisation!$A$2:$C$499,3,FALSE)</f>
        <v>CORG00001</v>
      </c>
      <c r="L806" t="str">
        <f>VLOOKUP(J806,Organisation!$A$2:$E$499,4,FALSE)</f>
        <v>Academic</v>
      </c>
      <c r="M806" t="s">
        <v>416</v>
      </c>
      <c r="N806" t="s">
        <v>3620</v>
      </c>
      <c r="O806" t="s">
        <v>14</v>
      </c>
      <c r="P806" s="3" t="s">
        <v>3621</v>
      </c>
      <c r="Q806" t="s">
        <v>3622</v>
      </c>
      <c r="S806" s="1">
        <v>1</v>
      </c>
      <c r="T806" t="str">
        <f>"Update Collaborator Set Organisation = '"&amp;J806&amp;"' where User_ID = '"&amp;B806&amp;"'; "</f>
        <v xml:space="preserve">Update Collaborator Set Organisation = 'University of Queensland' where User_ID = 'CU00813'; </v>
      </c>
    </row>
    <row r="807" spans="1:21">
      <c r="A807" t="s">
        <v>10099</v>
      </c>
      <c r="B807" t="s">
        <v>58</v>
      </c>
      <c r="C807" t="s">
        <v>10540</v>
      </c>
      <c r="D807" t="s">
        <v>59</v>
      </c>
      <c r="E807" t="s">
        <v>60</v>
      </c>
      <c r="F807" t="s">
        <v>61</v>
      </c>
      <c r="G807" t="s">
        <v>62</v>
      </c>
      <c r="H807">
        <f t="shared" si="12"/>
        <v>1</v>
      </c>
      <c r="I807" t="s">
        <v>33</v>
      </c>
      <c r="J807" t="s">
        <v>5798</v>
      </c>
      <c r="K807" t="str">
        <f>VLOOKUP(J807,Organisation!$A$2:$C$499,3,FALSE)</f>
        <v>CORG00124</v>
      </c>
      <c r="L807" t="str">
        <f>VLOOKUP(J807,Organisation!$A$2:$E$499,4,FALSE)</f>
        <v>Academic</v>
      </c>
      <c r="M807" t="s">
        <v>63</v>
      </c>
      <c r="N807" t="s">
        <v>64</v>
      </c>
      <c r="O807" t="s">
        <v>55</v>
      </c>
      <c r="P807" s="3" t="s">
        <v>65</v>
      </c>
      <c r="Q807" t="s">
        <v>66</v>
      </c>
      <c r="S807" s="1">
        <v>1</v>
      </c>
      <c r="T807" t="str">
        <f>"Update Collaborator Set Organisation = '"&amp;J807&amp;"' where User_ID = '"&amp;B807&amp;"'; "</f>
        <v xml:space="preserve">Update Collaborator Set Organisation = 'Modern University for Technology and Information' where User_ID = 'CU00814'; </v>
      </c>
      <c r="U807" t="str">
        <f>"Update dcollab.collab_user Set Pi = True where User_ID = '"&amp;A807&amp;"'; "</f>
        <v xml:space="preserve">Update dcollab.collab_user Set Pi = True where User_ID = 'CUSR00511'; </v>
      </c>
    </row>
    <row r="808" spans="1:21">
      <c r="A808" t="s">
        <v>10400</v>
      </c>
      <c r="B808" t="s">
        <v>1846</v>
      </c>
      <c r="C808" t="s">
        <v>10540</v>
      </c>
      <c r="D808" t="s">
        <v>1847</v>
      </c>
      <c r="E808" t="s">
        <v>60</v>
      </c>
      <c r="F808" t="s">
        <v>1848</v>
      </c>
      <c r="G808" t="s">
        <v>1849</v>
      </c>
      <c r="H808">
        <f t="shared" si="12"/>
        <v>1</v>
      </c>
      <c r="I808" t="s">
        <v>1850</v>
      </c>
      <c r="J808" t="s">
        <v>1851</v>
      </c>
      <c r="K808" t="str">
        <f>VLOOKUP(J808,Organisation!$A$2:$C$499,3,FALSE)</f>
        <v>CORG00177</v>
      </c>
      <c r="L808" t="str">
        <f>VLOOKUP(J808,Organisation!$A$2:$E$499,4,FALSE)</f>
        <v>Academic</v>
      </c>
      <c r="M808" t="s">
        <v>1851</v>
      </c>
      <c r="N808" t="s">
        <v>1852</v>
      </c>
      <c r="O808" t="s">
        <v>14</v>
      </c>
      <c r="P808" s="3" t="s">
        <v>1853</v>
      </c>
      <c r="Q808" t="s">
        <v>1854</v>
      </c>
      <c r="S808" s="1">
        <v>1</v>
      </c>
      <c r="T808" t="str">
        <f>"Update Collaborator Set Organisation = '"&amp;J808&amp;"' where User_ID = '"&amp;B808&amp;"'; "</f>
        <v xml:space="preserve">Update Collaborator Set Organisation = 'St John the Evangelist Catholic High School' where User_ID = 'CU00815'; </v>
      </c>
      <c r="U808" t="str">
        <f>"Update dcollab.collab_user Set Pi = True where User_ID = '"&amp;A808&amp;"'; "</f>
        <v xml:space="preserve">Update dcollab.collab_user Set Pi = True where User_ID = 'CUSR00828'; </v>
      </c>
    </row>
    <row r="809" spans="1:21">
      <c r="A809" t="s">
        <v>10100</v>
      </c>
      <c r="B809" t="s">
        <v>133</v>
      </c>
      <c r="D809" t="s">
        <v>59</v>
      </c>
      <c r="E809" t="s">
        <v>60</v>
      </c>
      <c r="F809" t="s">
        <v>134</v>
      </c>
      <c r="G809" t="s">
        <v>135</v>
      </c>
      <c r="H809">
        <f t="shared" si="12"/>
        <v>2</v>
      </c>
      <c r="I809" t="s">
        <v>136</v>
      </c>
      <c r="J809" t="s">
        <v>137</v>
      </c>
      <c r="K809" t="str">
        <f>VLOOKUP(J809,Organisation!$A$2:$C$499,3,FALSE)</f>
        <v>CORG00053</v>
      </c>
      <c r="L809" t="str">
        <f>VLOOKUP(J809,Organisation!$A$2:$E$499,4,FALSE)</f>
        <v>Academic</v>
      </c>
      <c r="M809" t="s">
        <v>138</v>
      </c>
      <c r="N809" t="s">
        <v>139</v>
      </c>
      <c r="O809" t="s">
        <v>55</v>
      </c>
      <c r="P809" s="3" t="s">
        <v>140</v>
      </c>
      <c r="Q809" t="s">
        <v>141</v>
      </c>
      <c r="S809" s="1">
        <v>1</v>
      </c>
      <c r="T809" t="str">
        <f>"Update Collaborator Set Organisation = '"&amp;J809&amp;"' where User_ID = '"&amp;B809&amp;"'; "</f>
        <v xml:space="preserve">Update Collaborator Set Organisation = 'Egyptian Petroleum Research Institute' where User_ID = 'CU00816'; </v>
      </c>
    </row>
    <row r="810" spans="1:21">
      <c r="A810" t="s">
        <v>10401</v>
      </c>
      <c r="B810" t="s">
        <v>4054</v>
      </c>
      <c r="C810" t="s">
        <v>10540</v>
      </c>
      <c r="D810" t="s">
        <v>3684</v>
      </c>
      <c r="E810" t="s">
        <v>60</v>
      </c>
      <c r="F810" t="s">
        <v>4055</v>
      </c>
      <c r="G810" t="s">
        <v>4056</v>
      </c>
      <c r="H810">
        <f t="shared" si="12"/>
        <v>1</v>
      </c>
      <c r="I810" t="s">
        <v>190</v>
      </c>
      <c r="J810" t="s">
        <v>3687</v>
      </c>
      <c r="K810" t="str">
        <f>VLOOKUP(J810,Organisation!$A$2:$C$499,3,FALSE)</f>
        <v>CORG00201</v>
      </c>
      <c r="L810" t="str">
        <f>VLOOKUP(J810,Organisation!$A$2:$E$499,4,FALSE)</f>
        <v>Academic</v>
      </c>
      <c r="M810" t="s">
        <v>84</v>
      </c>
      <c r="N810" t="s">
        <v>8831</v>
      </c>
      <c r="O810" t="s">
        <v>704</v>
      </c>
      <c r="P810" s="3" t="s">
        <v>4058</v>
      </c>
      <c r="Q810" t="s">
        <v>4059</v>
      </c>
      <c r="S810" s="1">
        <v>1</v>
      </c>
      <c r="T810" t="str">
        <f>"Update Collaborator Set Organisation = '"&amp;J810&amp;"' where User_ID = '"&amp;B810&amp;"'; "</f>
        <v xml:space="preserve">Update Collaborator Set Organisation = 'Université Clermont Auvergne - ICCF UMR 6296' where User_ID = 'CU00817'; </v>
      </c>
      <c r="U810" t="str">
        <f>"Update dcollab.collab_user Set Pi = True where User_ID = '"&amp;A810&amp;"'; "</f>
        <v xml:space="preserve">Update dcollab.collab_user Set Pi = True where User_ID = 'CUSR00829'; </v>
      </c>
    </row>
    <row r="811" spans="1:21">
      <c r="A811" t="s">
        <v>10402</v>
      </c>
      <c r="B811" t="s">
        <v>3683</v>
      </c>
      <c r="D811" t="s">
        <v>3684</v>
      </c>
      <c r="E811" t="s">
        <v>60</v>
      </c>
      <c r="F811" t="s">
        <v>3685</v>
      </c>
      <c r="G811" t="s">
        <v>3686</v>
      </c>
      <c r="H811">
        <f t="shared" si="12"/>
        <v>1</v>
      </c>
      <c r="I811" t="s">
        <v>71</v>
      </c>
      <c r="J811" t="s">
        <v>3687</v>
      </c>
      <c r="K811" t="str">
        <f>VLOOKUP(J811,Organisation!$A$2:$C$499,3,FALSE)</f>
        <v>CORG00201</v>
      </c>
      <c r="L811" t="str">
        <f>VLOOKUP(J811,Organisation!$A$2:$E$499,4,FALSE)</f>
        <v>Academic</v>
      </c>
      <c r="M811" t="s">
        <v>84</v>
      </c>
      <c r="N811" t="s">
        <v>8831</v>
      </c>
      <c r="O811" t="s">
        <v>704</v>
      </c>
      <c r="P811" s="3" t="s">
        <v>3688</v>
      </c>
      <c r="Q811" t="s">
        <v>3689</v>
      </c>
      <c r="S811" s="1">
        <v>1</v>
      </c>
      <c r="T811" t="str">
        <f>"Update Collaborator Set Organisation = '"&amp;J811&amp;"' where User_ID = '"&amp;B811&amp;"'; "</f>
        <v xml:space="preserve">Update Collaborator Set Organisation = 'Université Clermont Auvergne - ICCF UMR 6296' where User_ID = 'CU00818'; </v>
      </c>
    </row>
    <row r="812" spans="1:21">
      <c r="A812" t="s">
        <v>9696</v>
      </c>
      <c r="B812" t="s">
        <v>4263</v>
      </c>
      <c r="D812" t="s">
        <v>1482</v>
      </c>
      <c r="E812" t="s">
        <v>110</v>
      </c>
      <c r="F812" t="s">
        <v>4264</v>
      </c>
      <c r="G812" t="s">
        <v>4265</v>
      </c>
      <c r="H812">
        <f t="shared" si="12"/>
        <v>1</v>
      </c>
      <c r="I812" t="s">
        <v>4266</v>
      </c>
      <c r="J812" t="s">
        <v>1327</v>
      </c>
      <c r="K812" t="str">
        <f>VLOOKUP(J812,Organisation!$A$2:$C$499,3,FALSE)</f>
        <v>CORG00067</v>
      </c>
      <c r="L812" t="str">
        <f>VLOOKUP(J812,Organisation!$A$2:$E$499,4,FALSE)</f>
        <v>Academic</v>
      </c>
      <c r="M812" t="s">
        <v>4267</v>
      </c>
      <c r="N812" t="s">
        <v>4268</v>
      </c>
      <c r="O812" t="s">
        <v>14</v>
      </c>
      <c r="P812" s="3" t="s">
        <v>4269</v>
      </c>
      <c r="Q812" t="s">
        <v>4270</v>
      </c>
      <c r="S812" s="1">
        <v>1</v>
      </c>
      <c r="T812" t="str">
        <f>"Update Collaborator Set Organisation = '"&amp;J812&amp;"' where User_ID = '"&amp;B812&amp;"'; "</f>
        <v xml:space="preserve">Update Collaborator Set Organisation = 'Griffith University' where User_ID = 'CU00819'; </v>
      </c>
    </row>
    <row r="813" spans="1:21">
      <c r="A813" t="s">
        <v>10397</v>
      </c>
      <c r="B813" t="s">
        <v>2423</v>
      </c>
      <c r="D813" t="s">
        <v>1398</v>
      </c>
      <c r="E813" t="s">
        <v>110</v>
      </c>
      <c r="F813" t="s">
        <v>2424</v>
      </c>
      <c r="G813" t="s">
        <v>2425</v>
      </c>
      <c r="H813">
        <f t="shared" si="12"/>
        <v>1</v>
      </c>
      <c r="I813" t="s">
        <v>207</v>
      </c>
      <c r="J813" t="s">
        <v>1294</v>
      </c>
      <c r="K813" t="str">
        <f>VLOOKUP(J813,Organisation!$A$2:$C$499,3,FALSE)</f>
        <v>CORG00260</v>
      </c>
      <c r="L813" t="str">
        <f>VLOOKUP(J813,Organisation!$A$2:$E$499,4,FALSE)</f>
        <v>Academic</v>
      </c>
      <c r="M813" t="s">
        <v>84</v>
      </c>
      <c r="N813" t="s">
        <v>1400</v>
      </c>
      <c r="O813" t="s">
        <v>223</v>
      </c>
      <c r="P813" s="3" t="s">
        <v>1401</v>
      </c>
      <c r="Q813" t="s">
        <v>2426</v>
      </c>
      <c r="S813" s="1">
        <v>1</v>
      </c>
      <c r="T813" t="str">
        <f>"Update Collaborator Set Organisation = '"&amp;J813&amp;"' where User_ID = '"&amp;B813&amp;"'; "</f>
        <v xml:space="preserve">Update Collaborator Set Organisation = 'University of Otago' where User_ID = 'CU00820'; </v>
      </c>
    </row>
    <row r="814" spans="1:21">
      <c r="A814" t="s">
        <v>10354</v>
      </c>
      <c r="B814" t="s">
        <v>2095</v>
      </c>
      <c r="D814" t="s">
        <v>1062</v>
      </c>
      <c r="E814" t="s">
        <v>228</v>
      </c>
      <c r="F814" t="s">
        <v>2096</v>
      </c>
      <c r="G814" t="s">
        <v>2097</v>
      </c>
      <c r="H814">
        <f t="shared" si="12"/>
        <v>1</v>
      </c>
      <c r="I814" t="s">
        <v>152</v>
      </c>
      <c r="J814" t="s">
        <v>8752</v>
      </c>
      <c r="K814" t="str">
        <f>VLOOKUP(J814,Organisation!$A$2:$C$499,3,FALSE)</f>
        <v>CORG00014</v>
      </c>
      <c r="L814" t="str">
        <f>VLOOKUP(J814,Organisation!$A$2:$E$499,4,FALSE)</f>
        <v>Academic</v>
      </c>
      <c r="M814" t="s">
        <v>1067</v>
      </c>
      <c r="N814" t="s">
        <v>1068</v>
      </c>
      <c r="O814" t="s">
        <v>14</v>
      </c>
      <c r="P814" s="3" t="s">
        <v>2098</v>
      </c>
      <c r="Q814" t="s">
        <v>2099</v>
      </c>
      <c r="S814" s="1">
        <v>1</v>
      </c>
      <c r="T814" t="str">
        <f>"Update Collaborator Set Organisation = '"&amp;J814&amp;"' where User_ID = '"&amp;B814&amp;"'; "</f>
        <v xml:space="preserve">Update Collaborator Set Organisation = 'Australian National University' where User_ID = 'CU00821'; </v>
      </c>
    </row>
    <row r="815" spans="1:21">
      <c r="A815" t="s">
        <v>10403</v>
      </c>
      <c r="B815" t="s">
        <v>3772</v>
      </c>
      <c r="C815" t="s">
        <v>10540</v>
      </c>
      <c r="D815" t="s">
        <v>3773</v>
      </c>
      <c r="E815" t="s">
        <v>60</v>
      </c>
      <c r="F815" t="s">
        <v>4955</v>
      </c>
      <c r="G815" t="s">
        <v>8832</v>
      </c>
      <c r="H815">
        <f t="shared" si="12"/>
        <v>1</v>
      </c>
      <c r="I815" t="s">
        <v>71</v>
      </c>
      <c r="J815" t="s">
        <v>3774</v>
      </c>
      <c r="K815" t="str">
        <f>VLOOKUP(J815,Organisation!$A$2:$C$499,3,FALSE)</f>
        <v>CORG00088</v>
      </c>
      <c r="L815" t="str">
        <f>VLOOKUP(J815,Organisation!$A$2:$E$499,4,FALSE)</f>
        <v>Academic</v>
      </c>
      <c r="M815" t="s">
        <v>84</v>
      </c>
      <c r="N815" t="s">
        <v>3775</v>
      </c>
      <c r="O815" t="s">
        <v>211</v>
      </c>
      <c r="P815" s="3" t="s">
        <v>3776</v>
      </c>
      <c r="Q815" t="s">
        <v>3777</v>
      </c>
      <c r="S815" s="1">
        <v>1</v>
      </c>
      <c r="T815" t="str">
        <f>"Update Collaborator Set Organisation = '"&amp;J815&amp;"' where User_ID = '"&amp;B815&amp;"'; "</f>
        <v xml:space="preserve">Update Collaborator Set Organisation = 'Integral University' where User_ID = 'CU00822'; </v>
      </c>
      <c r="U815" t="str">
        <f>"Update dcollab.collab_user Set Pi = True where User_ID = '"&amp;A815&amp;"'; "</f>
        <v xml:space="preserve">Update dcollab.collab_user Set Pi = True where User_ID = 'CUSR00831'; </v>
      </c>
    </row>
    <row r="816" spans="1:21">
      <c r="A816" s="10" t="s">
        <v>10720</v>
      </c>
      <c r="B816" t="s">
        <v>10556</v>
      </c>
      <c r="D816" t="s">
        <v>10579</v>
      </c>
      <c r="E816" t="s">
        <v>7</v>
      </c>
      <c r="F816" t="s">
        <v>10589</v>
      </c>
      <c r="G816" t="s">
        <v>10590</v>
      </c>
      <c r="H816">
        <f t="shared" si="12"/>
        <v>1</v>
      </c>
      <c r="I816" t="s">
        <v>152</v>
      </c>
      <c r="J816" t="s">
        <v>371</v>
      </c>
      <c r="K816" t="str">
        <f>VLOOKUP(J816,Organisation!$A$2:$C$499,3,FALSE)</f>
        <v>CORG00156</v>
      </c>
      <c r="M816" t="s">
        <v>4759</v>
      </c>
      <c r="N816" t="s">
        <v>10640</v>
      </c>
      <c r="O816" t="s">
        <v>14</v>
      </c>
      <c r="Q816" t="s">
        <v>10669</v>
      </c>
    </row>
    <row r="817" spans="1:17">
      <c r="A817" s="10" t="s">
        <v>10721</v>
      </c>
      <c r="B817" t="s">
        <v>10557</v>
      </c>
      <c r="D817" t="s">
        <v>10580</v>
      </c>
      <c r="E817" t="s">
        <v>60</v>
      </c>
      <c r="F817" t="s">
        <v>10591</v>
      </c>
      <c r="G817" t="s">
        <v>421</v>
      </c>
      <c r="H817">
        <f t="shared" si="12"/>
        <v>1</v>
      </c>
      <c r="J817" t="s">
        <v>10628</v>
      </c>
      <c r="K817" t="str">
        <f>VLOOKUP(J817,Organisation!$A$2:$C$499,3,FALSE)</f>
        <v>CORG00315</v>
      </c>
      <c r="M817" t="s">
        <v>10633</v>
      </c>
      <c r="N817" t="s">
        <v>10641</v>
      </c>
      <c r="O817" t="s">
        <v>427</v>
      </c>
      <c r="Q817" t="s">
        <v>10670</v>
      </c>
    </row>
    <row r="818" spans="1:17">
      <c r="A818" s="10" t="s">
        <v>10100</v>
      </c>
      <c r="B818" t="s">
        <v>10558</v>
      </c>
      <c r="D818" t="s">
        <v>10581</v>
      </c>
      <c r="E818" t="s">
        <v>60</v>
      </c>
      <c r="F818" t="s">
        <v>134</v>
      </c>
      <c r="G818" t="s">
        <v>135</v>
      </c>
      <c r="H818">
        <f t="shared" si="12"/>
        <v>2</v>
      </c>
      <c r="I818" t="s">
        <v>82</v>
      </c>
      <c r="J818" t="s">
        <v>137</v>
      </c>
      <c r="K818" t="str">
        <f>VLOOKUP(J818,Organisation!$A$2:$C$499,3,FALSE)</f>
        <v>CORG00053</v>
      </c>
      <c r="M818" t="s">
        <v>10634</v>
      </c>
      <c r="N818" t="s">
        <v>10642</v>
      </c>
      <c r="O818" t="s">
        <v>55</v>
      </c>
      <c r="Q818" t="s">
        <v>10671</v>
      </c>
    </row>
    <row r="819" spans="1:17">
      <c r="A819" s="10" t="s">
        <v>10722</v>
      </c>
      <c r="B819" t="s">
        <v>10559</v>
      </c>
      <c r="D819" t="s">
        <v>10582</v>
      </c>
      <c r="E819" t="s">
        <v>41</v>
      </c>
      <c r="F819" t="s">
        <v>180</v>
      </c>
      <c r="G819" t="s">
        <v>10592</v>
      </c>
      <c r="H819">
        <f t="shared" si="12"/>
        <v>1</v>
      </c>
      <c r="I819" t="s">
        <v>10620</v>
      </c>
      <c r="J819" t="s">
        <v>137</v>
      </c>
      <c r="K819" t="str">
        <f>VLOOKUP(J819,Organisation!$A$2:$C$499,3,FALSE)</f>
        <v>CORG00053</v>
      </c>
      <c r="M819" t="s">
        <v>10634</v>
      </c>
      <c r="N819" t="s">
        <v>10642</v>
      </c>
      <c r="O819" t="s">
        <v>55</v>
      </c>
      <c r="Q819" t="s">
        <v>10672</v>
      </c>
    </row>
    <row r="820" spans="1:17">
      <c r="A820" s="10" t="s">
        <v>10723</v>
      </c>
      <c r="B820" t="s">
        <v>10560</v>
      </c>
      <c r="D820" t="s">
        <v>10583</v>
      </c>
      <c r="E820" t="s">
        <v>41</v>
      </c>
      <c r="F820" t="s">
        <v>19</v>
      </c>
      <c r="G820" t="s">
        <v>10593</v>
      </c>
      <c r="H820">
        <f t="shared" si="12"/>
        <v>1</v>
      </c>
      <c r="I820" t="s">
        <v>856</v>
      </c>
      <c r="J820" t="s">
        <v>10629</v>
      </c>
      <c r="K820" t="str">
        <f>VLOOKUP(J820,Organisation!$A$2:$C$499,3,FALSE)</f>
        <v>CORG00316</v>
      </c>
      <c r="M820" t="s">
        <v>84</v>
      </c>
      <c r="N820" t="s">
        <v>10643</v>
      </c>
      <c r="O820" t="s">
        <v>55</v>
      </c>
      <c r="Q820" t="s">
        <v>10673</v>
      </c>
    </row>
    <row r="821" spans="1:17">
      <c r="A821" s="10" t="s">
        <v>10724</v>
      </c>
      <c r="B821" t="s">
        <v>10561</v>
      </c>
      <c r="D821" t="s">
        <v>10584</v>
      </c>
      <c r="E821" t="s">
        <v>60</v>
      </c>
      <c r="F821" t="s">
        <v>188</v>
      </c>
      <c r="G821" t="s">
        <v>10594</v>
      </c>
      <c r="H821">
        <f t="shared" si="12"/>
        <v>1</v>
      </c>
      <c r="I821" t="s">
        <v>33</v>
      </c>
      <c r="J821" t="s">
        <v>10630</v>
      </c>
      <c r="K821" t="str">
        <f>VLOOKUP(J821,Organisation!$A$2:$C$499,3,FALSE)</f>
        <v>CORG00317</v>
      </c>
      <c r="M821" t="s">
        <v>2373</v>
      </c>
      <c r="N821" t="s">
        <v>10644</v>
      </c>
      <c r="O821" t="s">
        <v>55</v>
      </c>
      <c r="Q821" t="s">
        <v>10674</v>
      </c>
    </row>
    <row r="822" spans="1:17">
      <c r="A822" s="10" t="s">
        <v>10725</v>
      </c>
      <c r="B822" t="s">
        <v>10562</v>
      </c>
      <c r="D822" t="s">
        <v>10584</v>
      </c>
      <c r="E822" t="s">
        <v>60</v>
      </c>
      <c r="F822" t="s">
        <v>10595</v>
      </c>
      <c r="G822" t="s">
        <v>19</v>
      </c>
      <c r="H822">
        <f t="shared" si="12"/>
        <v>2</v>
      </c>
      <c r="I822" t="s">
        <v>10621</v>
      </c>
      <c r="J822" t="s">
        <v>10630</v>
      </c>
      <c r="K822" t="str">
        <f>VLOOKUP(J822,Organisation!$A$2:$C$499,3,FALSE)</f>
        <v>CORG00317</v>
      </c>
      <c r="M822" t="s">
        <v>2373</v>
      </c>
      <c r="N822" t="s">
        <v>10644</v>
      </c>
      <c r="O822" t="s">
        <v>55</v>
      </c>
      <c r="Q822" t="s">
        <v>10675</v>
      </c>
    </row>
    <row r="823" spans="1:17">
      <c r="A823" s="10" t="s">
        <v>10726</v>
      </c>
      <c r="B823" t="s">
        <v>10563</v>
      </c>
      <c r="D823" t="s">
        <v>10585</v>
      </c>
      <c r="E823" t="s">
        <v>60</v>
      </c>
      <c r="F823" t="s">
        <v>10596</v>
      </c>
      <c r="G823" t="s">
        <v>10597</v>
      </c>
      <c r="H823">
        <f t="shared" si="12"/>
        <v>1</v>
      </c>
      <c r="I823" t="s">
        <v>10622</v>
      </c>
      <c r="J823" t="s">
        <v>362</v>
      </c>
      <c r="K823" t="str">
        <f>VLOOKUP(J823,Organisation!$A$2:$C$499,3,FALSE)</f>
        <v>CORG00001</v>
      </c>
      <c r="M823" t="s">
        <v>2197</v>
      </c>
      <c r="N823" t="s">
        <v>10645</v>
      </c>
      <c r="O823" t="s">
        <v>14</v>
      </c>
      <c r="P823" s="3" t="s">
        <v>10655</v>
      </c>
      <c r="Q823" t="s">
        <v>10676</v>
      </c>
    </row>
    <row r="824" spans="1:17">
      <c r="A824" s="10" t="s">
        <v>10727</v>
      </c>
      <c r="B824" t="s">
        <v>10564</v>
      </c>
      <c r="D824" t="s">
        <v>2683</v>
      </c>
      <c r="E824" t="s">
        <v>7</v>
      </c>
      <c r="F824" t="s">
        <v>2561</v>
      </c>
      <c r="G824" t="s">
        <v>10598</v>
      </c>
      <c r="H824">
        <f t="shared" si="12"/>
        <v>1</v>
      </c>
      <c r="I824" t="s">
        <v>10623</v>
      </c>
      <c r="J824" t="s">
        <v>362</v>
      </c>
      <c r="K824" t="str">
        <f>VLOOKUP(J824,Organisation!$A$2:$C$499,3,FALSE)</f>
        <v>CORG00001</v>
      </c>
      <c r="M824" t="s">
        <v>2197</v>
      </c>
      <c r="N824" t="s">
        <v>10646</v>
      </c>
      <c r="O824" t="s">
        <v>14</v>
      </c>
      <c r="P824" s="3" t="s">
        <v>10656</v>
      </c>
      <c r="Q824" t="s">
        <v>10677</v>
      </c>
    </row>
    <row r="825" spans="1:17">
      <c r="A825" s="10" t="s">
        <v>10728</v>
      </c>
      <c r="B825" t="s">
        <v>10565</v>
      </c>
      <c r="D825" t="s">
        <v>669</v>
      </c>
      <c r="E825" t="s">
        <v>228</v>
      </c>
      <c r="F825" t="s">
        <v>10599</v>
      </c>
      <c r="G825" t="s">
        <v>10600</v>
      </c>
      <c r="H825">
        <f t="shared" si="12"/>
        <v>1</v>
      </c>
      <c r="I825" t="s">
        <v>152</v>
      </c>
      <c r="J825" t="s">
        <v>169</v>
      </c>
      <c r="K825" t="str">
        <f>VLOOKUP(J825,Organisation!$A$2:$C$499,3,FALSE)</f>
        <v>CORG00212</v>
      </c>
      <c r="M825" t="s">
        <v>84</v>
      </c>
      <c r="N825" t="s">
        <v>10647</v>
      </c>
      <c r="O825" t="s">
        <v>14</v>
      </c>
      <c r="P825" s="3" t="s">
        <v>10657</v>
      </c>
      <c r="Q825" t="s">
        <v>10678</v>
      </c>
    </row>
    <row r="826" spans="1:17">
      <c r="A826" s="10" t="s">
        <v>10729</v>
      </c>
      <c r="B826" t="s">
        <v>10566</v>
      </c>
      <c r="D826" t="s">
        <v>10584</v>
      </c>
      <c r="E826" t="s">
        <v>60</v>
      </c>
      <c r="F826" t="s">
        <v>10601</v>
      </c>
      <c r="G826" t="s">
        <v>180</v>
      </c>
      <c r="H826">
        <f t="shared" si="12"/>
        <v>1</v>
      </c>
      <c r="I826" t="s">
        <v>1831</v>
      </c>
      <c r="J826" t="s">
        <v>10630</v>
      </c>
      <c r="K826" t="str">
        <f>VLOOKUP(J826,Organisation!$A$2:$C$499,3,FALSE)</f>
        <v>CORG00317</v>
      </c>
      <c r="M826" t="s">
        <v>10635</v>
      </c>
      <c r="N826" t="s">
        <v>10648</v>
      </c>
      <c r="O826" t="s">
        <v>55</v>
      </c>
      <c r="P826" s="3" t="s">
        <v>10658</v>
      </c>
      <c r="Q826" t="s">
        <v>10679</v>
      </c>
    </row>
    <row r="827" spans="1:17">
      <c r="A827" s="10" t="s">
        <v>10730</v>
      </c>
      <c r="B827" t="s">
        <v>10567</v>
      </c>
      <c r="D827" t="s">
        <v>10586</v>
      </c>
      <c r="E827" t="s">
        <v>60</v>
      </c>
      <c r="F827" t="s">
        <v>872</v>
      </c>
      <c r="G827" t="s">
        <v>10602</v>
      </c>
      <c r="H827">
        <f t="shared" si="12"/>
        <v>1</v>
      </c>
      <c r="I827" t="s">
        <v>657</v>
      </c>
      <c r="J827" t="s">
        <v>362</v>
      </c>
      <c r="K827" t="str">
        <f>VLOOKUP(J827,Organisation!$A$2:$C$499,3,FALSE)</f>
        <v>CORG00001</v>
      </c>
      <c r="M827" t="s">
        <v>10636</v>
      </c>
      <c r="N827" t="s">
        <v>10649</v>
      </c>
      <c r="O827" t="s">
        <v>14</v>
      </c>
      <c r="P827" s="3" t="s">
        <v>10659</v>
      </c>
      <c r="Q827" t="s">
        <v>10680</v>
      </c>
    </row>
    <row r="828" spans="1:17">
      <c r="A828" s="10" t="s">
        <v>10731</v>
      </c>
      <c r="B828" t="s">
        <v>10568</v>
      </c>
      <c r="D828" t="s">
        <v>10586</v>
      </c>
      <c r="E828" t="s">
        <v>60</v>
      </c>
      <c r="F828" t="s">
        <v>10603</v>
      </c>
      <c r="G828" t="s">
        <v>10604</v>
      </c>
      <c r="H828">
        <f t="shared" si="12"/>
        <v>1</v>
      </c>
      <c r="I828" t="s">
        <v>10624</v>
      </c>
      <c r="J828" t="s">
        <v>362</v>
      </c>
      <c r="K828" t="str">
        <f>VLOOKUP(J828,Organisation!$A$2:$C$499,3,FALSE)</f>
        <v>CORG00001</v>
      </c>
      <c r="M828" t="s">
        <v>10636</v>
      </c>
      <c r="N828" t="s">
        <v>10649</v>
      </c>
      <c r="O828" t="s">
        <v>14</v>
      </c>
      <c r="P828" s="3" t="s">
        <v>10659</v>
      </c>
      <c r="Q828" t="s">
        <v>10681</v>
      </c>
    </row>
    <row r="829" spans="1:17">
      <c r="A829" s="10" t="s">
        <v>10732</v>
      </c>
      <c r="B829" t="s">
        <v>10569</v>
      </c>
      <c r="D829" t="s">
        <v>17</v>
      </c>
      <c r="E829" t="s">
        <v>110</v>
      </c>
      <c r="F829" t="s">
        <v>10605</v>
      </c>
      <c r="G829" t="s">
        <v>10606</v>
      </c>
      <c r="H829">
        <f t="shared" si="12"/>
        <v>1</v>
      </c>
      <c r="I829" t="s">
        <v>10625</v>
      </c>
      <c r="J829" t="s">
        <v>10631</v>
      </c>
      <c r="K829" t="str">
        <f>VLOOKUP(J829,Organisation!$A$2:$C$499,3,FALSE)</f>
        <v>CORG00319</v>
      </c>
      <c r="M829" t="s">
        <v>3193</v>
      </c>
      <c r="N829" t="s">
        <v>10650</v>
      </c>
      <c r="O829" t="s">
        <v>25</v>
      </c>
      <c r="P829" s="3" t="s">
        <v>10660</v>
      </c>
      <c r="Q829" t="s">
        <v>10682</v>
      </c>
    </row>
    <row r="830" spans="1:17">
      <c r="A830" s="10" t="s">
        <v>10733</v>
      </c>
      <c r="B830" t="s">
        <v>10570</v>
      </c>
      <c r="D830" t="s">
        <v>10587</v>
      </c>
      <c r="E830" t="s">
        <v>41</v>
      </c>
      <c r="F830" t="s">
        <v>10607</v>
      </c>
      <c r="G830" t="s">
        <v>10608</v>
      </c>
      <c r="H830">
        <f t="shared" si="12"/>
        <v>1</v>
      </c>
      <c r="I830" t="s">
        <v>71</v>
      </c>
      <c r="J830" t="s">
        <v>616</v>
      </c>
      <c r="K830" t="str">
        <f>VLOOKUP(J830,Organisation!$A$2:$C$499,3,FALSE)</f>
        <v>CORG00102</v>
      </c>
      <c r="M830" t="s">
        <v>10637</v>
      </c>
      <c r="N830" t="s">
        <v>10651</v>
      </c>
      <c r="O830" t="s">
        <v>14</v>
      </c>
      <c r="P830" s="3" t="s">
        <v>10661</v>
      </c>
      <c r="Q830" t="s">
        <v>10683</v>
      </c>
    </row>
    <row r="831" spans="1:17">
      <c r="A831" s="10" t="s">
        <v>10734</v>
      </c>
      <c r="B831" t="s">
        <v>10571</v>
      </c>
      <c r="D831" t="s">
        <v>10587</v>
      </c>
      <c r="E831" t="s">
        <v>7</v>
      </c>
      <c r="F831" t="s">
        <v>1269</v>
      </c>
      <c r="G831" t="s">
        <v>10609</v>
      </c>
      <c r="H831">
        <f t="shared" si="12"/>
        <v>2</v>
      </c>
      <c r="I831" t="s">
        <v>152</v>
      </c>
      <c r="J831" t="s">
        <v>616</v>
      </c>
      <c r="K831" t="str">
        <f>VLOOKUP(J831,Organisation!$A$2:$C$499,3,FALSE)</f>
        <v>CORG00102</v>
      </c>
      <c r="M831" t="s">
        <v>10637</v>
      </c>
      <c r="N831" t="s">
        <v>10651</v>
      </c>
      <c r="O831" t="s">
        <v>14</v>
      </c>
      <c r="P831" s="3" t="s">
        <v>10662</v>
      </c>
      <c r="Q831" t="s">
        <v>10684</v>
      </c>
    </row>
    <row r="832" spans="1:17">
      <c r="A832" s="10" t="s">
        <v>10735</v>
      </c>
      <c r="B832" t="s">
        <v>10572</v>
      </c>
      <c r="D832" t="s">
        <v>10587</v>
      </c>
      <c r="E832" t="s">
        <v>7</v>
      </c>
      <c r="F832" t="s">
        <v>1269</v>
      </c>
      <c r="G832" t="s">
        <v>10610</v>
      </c>
      <c r="H832">
        <f t="shared" si="12"/>
        <v>2</v>
      </c>
      <c r="I832" t="s">
        <v>152</v>
      </c>
      <c r="J832" t="s">
        <v>616</v>
      </c>
      <c r="K832" t="str">
        <f>VLOOKUP(J832,Organisation!$A$2:$C$499,3,FALSE)</f>
        <v>CORG00102</v>
      </c>
      <c r="M832" t="s">
        <v>10637</v>
      </c>
      <c r="N832" t="s">
        <v>10651</v>
      </c>
      <c r="O832" t="s">
        <v>14</v>
      </c>
      <c r="P832" s="3" t="s">
        <v>10662</v>
      </c>
      <c r="Q832" t="s">
        <v>10684</v>
      </c>
    </row>
    <row r="833" spans="1:17">
      <c r="A833" s="10" t="s">
        <v>10736</v>
      </c>
      <c r="B833" t="s">
        <v>10573</v>
      </c>
      <c r="D833" t="s">
        <v>968</v>
      </c>
      <c r="E833" t="s">
        <v>60</v>
      </c>
      <c r="F833" t="s">
        <v>3170</v>
      </c>
      <c r="G833" t="s">
        <v>10611</v>
      </c>
      <c r="H833">
        <f t="shared" si="12"/>
        <v>1</v>
      </c>
      <c r="I833" t="s">
        <v>10626</v>
      </c>
      <c r="J833" t="s">
        <v>8764</v>
      </c>
      <c r="K833" t="str">
        <f>VLOOKUP(J833,Organisation!$A$2:$C$499,3,FALSE)</f>
        <v>CORG00095</v>
      </c>
      <c r="M833" t="s">
        <v>10638</v>
      </c>
      <c r="N833" t="s">
        <v>10652</v>
      </c>
      <c r="O833" t="s">
        <v>557</v>
      </c>
      <c r="P833" s="3" t="s">
        <v>10663</v>
      </c>
      <c r="Q833" t="s">
        <v>10685</v>
      </c>
    </row>
    <row r="834" spans="1:17">
      <c r="A834" s="8" t="s">
        <v>10737</v>
      </c>
      <c r="B834" t="s">
        <v>10574</v>
      </c>
      <c r="D834" t="s">
        <v>238</v>
      </c>
      <c r="E834" t="s">
        <v>386</v>
      </c>
      <c r="F834" t="s">
        <v>10612</v>
      </c>
      <c r="G834" t="s">
        <v>10613</v>
      </c>
      <c r="H834">
        <f t="shared" ref="H834:H837" si="13">COUNTIF($G$2:$G$900,G834)</f>
        <v>1</v>
      </c>
      <c r="I834" t="s">
        <v>207</v>
      </c>
      <c r="J834" t="s">
        <v>242</v>
      </c>
      <c r="K834" t="str">
        <f>VLOOKUP(J834,Organisation!$A$2:$C$499,3,FALSE)</f>
        <v>CORG00264</v>
      </c>
      <c r="M834" t="s">
        <v>84</v>
      </c>
      <c r="N834" t="s">
        <v>10653</v>
      </c>
      <c r="O834" t="s">
        <v>10741</v>
      </c>
      <c r="P834" s="3" t="s">
        <v>10664</v>
      </c>
      <c r="Q834" t="s">
        <v>10686</v>
      </c>
    </row>
    <row r="835" spans="1:17">
      <c r="A835" s="8" t="s">
        <v>10737</v>
      </c>
      <c r="B835" t="s">
        <v>10575</v>
      </c>
      <c r="D835" t="s">
        <v>238</v>
      </c>
      <c r="E835" t="s">
        <v>386</v>
      </c>
      <c r="F835" t="s">
        <v>10614</v>
      </c>
      <c r="G835" t="s">
        <v>10615</v>
      </c>
      <c r="H835">
        <f t="shared" si="13"/>
        <v>1</v>
      </c>
      <c r="I835" t="s">
        <v>1939</v>
      </c>
      <c r="J835" t="s">
        <v>242</v>
      </c>
      <c r="K835" t="str">
        <f>VLOOKUP(J835,Organisation!$A$2:$C$499,3,FALSE)</f>
        <v>CORG00264</v>
      </c>
      <c r="M835" t="s">
        <v>84</v>
      </c>
      <c r="N835" t="s">
        <v>10653</v>
      </c>
      <c r="O835" t="s">
        <v>10741</v>
      </c>
      <c r="P835" s="3" t="s">
        <v>10665</v>
      </c>
      <c r="Q835" t="s">
        <v>10687</v>
      </c>
    </row>
    <row r="836" spans="1:17">
      <c r="A836" s="8" t="s">
        <v>10737</v>
      </c>
      <c r="B836" t="s">
        <v>10576</v>
      </c>
      <c r="D836" t="s">
        <v>10588</v>
      </c>
      <c r="E836" t="s">
        <v>60</v>
      </c>
      <c r="F836" t="s">
        <v>10616</v>
      </c>
      <c r="G836" t="s">
        <v>10617</v>
      </c>
      <c r="H836">
        <f t="shared" si="13"/>
        <v>1</v>
      </c>
      <c r="I836" t="s">
        <v>564</v>
      </c>
      <c r="J836" t="s">
        <v>10632</v>
      </c>
      <c r="K836" t="str">
        <f>VLOOKUP(J836,Organisation!$A$2:$C$499,3,FALSE)</f>
        <v>CORG00318</v>
      </c>
      <c r="M836" t="s">
        <v>10639</v>
      </c>
      <c r="N836" t="s">
        <v>10654</v>
      </c>
      <c r="O836" t="s">
        <v>10742</v>
      </c>
      <c r="P836" s="3" t="s">
        <v>10666</v>
      </c>
      <c r="Q836" t="s">
        <v>10688</v>
      </c>
    </row>
    <row r="837" spans="1:17">
      <c r="A837" s="8" t="s">
        <v>10737</v>
      </c>
      <c r="B837" t="s">
        <v>10577</v>
      </c>
      <c r="D837" t="s">
        <v>10588</v>
      </c>
      <c r="E837" t="s">
        <v>41</v>
      </c>
      <c r="F837" t="s">
        <v>463</v>
      </c>
      <c r="G837" t="s">
        <v>10618</v>
      </c>
      <c r="H837">
        <f t="shared" si="13"/>
        <v>1</v>
      </c>
      <c r="I837" t="s">
        <v>10627</v>
      </c>
      <c r="J837" t="s">
        <v>10632</v>
      </c>
      <c r="K837" t="str">
        <f>VLOOKUP(J837,Organisation!$A$2:$C$499,3,FALSE)</f>
        <v>CORG00318</v>
      </c>
      <c r="M837" t="s">
        <v>10639</v>
      </c>
      <c r="N837" t="s">
        <v>10654</v>
      </c>
      <c r="O837" t="s">
        <v>10742</v>
      </c>
      <c r="P837" s="3" t="s">
        <v>10667</v>
      </c>
      <c r="Q837" t="s">
        <v>10689</v>
      </c>
    </row>
    <row r="838" spans="1:17">
      <c r="A838" s="8" t="s">
        <v>10737</v>
      </c>
      <c r="B838" t="s">
        <v>10578</v>
      </c>
      <c r="D838" t="s">
        <v>2194</v>
      </c>
      <c r="E838" t="s">
        <v>7</v>
      </c>
      <c r="F838" t="s">
        <v>918</v>
      </c>
      <c r="G838" t="s">
        <v>10619</v>
      </c>
      <c r="H838">
        <f>COUNTIF($G$2:$G$900,G838)</f>
        <v>1</v>
      </c>
      <c r="I838" t="s">
        <v>152</v>
      </c>
      <c r="J838" t="s">
        <v>362</v>
      </c>
      <c r="K838" t="str">
        <f>VLOOKUP(J838,Organisation!$A$2:$C$499,3,FALSE)</f>
        <v>CORG00001</v>
      </c>
      <c r="M838" t="s">
        <v>10738</v>
      </c>
      <c r="N838" t="s">
        <v>3620</v>
      </c>
      <c r="O838" t="s">
        <v>10742</v>
      </c>
      <c r="P838" s="3" t="s">
        <v>10668</v>
      </c>
      <c r="Q838" t="s">
        <v>10690</v>
      </c>
    </row>
  </sheetData>
  <autoFilter ref="A1:T838" xr:uid="{00000000-0001-0000-0000-000000000000}"/>
  <sortState xmlns:xlrd2="http://schemas.microsoft.com/office/spreadsheetml/2017/richdata2" ref="A2:U815">
    <sortCondition ref="B2:B815"/>
    <sortCondition ref="D2:D815"/>
  </sortState>
  <phoneticPr fontId="3" type="noConversion"/>
  <hyperlinks>
    <hyperlink ref="Q740" r:id="rId1" xr:uid="{8EE4F957-9F89-4D10-A95A-73760E95A147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F77D-002F-49E4-925F-571E5FA489CF}">
  <sheetPr>
    <pageSetUpPr fitToPage="1"/>
  </sheetPr>
  <dimension ref="A1:U415"/>
  <sheetViews>
    <sheetView workbookViewId="0">
      <pane ySplit="1" topLeftCell="A2" activePane="bottomLeft" state="frozen"/>
      <selection pane="bottomLeft" sqref="A1:A1048576"/>
    </sheetView>
  </sheetViews>
  <sheetFormatPr defaultRowHeight="14.4"/>
  <cols>
    <col min="1" max="1" width="10" bestFit="1" customWidth="1"/>
    <col min="2" max="2" width="10.77734375" bestFit="1" customWidth="1"/>
    <col min="4" max="4" width="10.6640625" bestFit="1" customWidth="1"/>
    <col min="5" max="5" width="40" customWidth="1"/>
    <col min="6" max="6" width="5.109375" bestFit="1" customWidth="1"/>
    <col min="7" max="7" width="16.6640625" bestFit="1" customWidth="1"/>
    <col min="8" max="8" width="23.21875" customWidth="1"/>
    <col min="9" max="9" width="37.44140625" bestFit="1" customWidth="1"/>
    <col min="10" max="10" width="7.109375" customWidth="1"/>
    <col min="11" max="11" width="25.33203125" customWidth="1"/>
    <col min="12" max="12" width="50.21875" customWidth="1"/>
    <col min="13" max="13" width="73.109375" customWidth="1"/>
    <col min="14" max="14" width="19.6640625" bestFit="1" customWidth="1"/>
    <col min="15" max="15" width="16.6640625" bestFit="1" customWidth="1"/>
    <col min="16" max="16" width="16.5546875" customWidth="1"/>
    <col min="17" max="17" width="7.44140625" bestFit="1" customWidth="1"/>
  </cols>
  <sheetData>
    <row r="1" spans="1:21">
      <c r="A1" t="s">
        <v>8847</v>
      </c>
      <c r="B1" s="6" t="s">
        <v>8871</v>
      </c>
      <c r="D1" t="s">
        <v>8865</v>
      </c>
      <c r="E1" s="4" t="s">
        <v>8804</v>
      </c>
      <c r="F1" s="4" t="s">
        <v>8870</v>
      </c>
      <c r="G1" s="9" t="s">
        <v>9274</v>
      </c>
      <c r="H1" s="4"/>
      <c r="I1" s="9" t="s">
        <v>8864</v>
      </c>
      <c r="J1" s="9"/>
      <c r="K1" s="4" t="s">
        <v>8861</v>
      </c>
      <c r="L1" t="s">
        <v>8853</v>
      </c>
      <c r="M1" t="s">
        <v>8854</v>
      </c>
      <c r="N1" t="s">
        <v>8805</v>
      </c>
      <c r="O1" t="s">
        <v>8862</v>
      </c>
      <c r="P1" t="s">
        <v>8863</v>
      </c>
      <c r="Q1" t="s">
        <v>3</v>
      </c>
      <c r="R1" t="s">
        <v>10550</v>
      </c>
      <c r="S1" t="s">
        <v>10551</v>
      </c>
      <c r="T1" t="s">
        <v>10548</v>
      </c>
      <c r="U1" t="s">
        <v>10549</v>
      </c>
    </row>
    <row r="2" spans="1:21">
      <c r="A2" t="s">
        <v>2002</v>
      </c>
      <c r="B2" t="s">
        <v>9204</v>
      </c>
      <c r="D2" t="s">
        <v>5469</v>
      </c>
      <c r="E2" t="s">
        <v>362</v>
      </c>
      <c r="F2">
        <f>LEN(I2)</f>
        <v>6</v>
      </c>
      <c r="G2" t="str">
        <f>VLOOKUP(E2,Organisation!$A$2:$C$499,3,FALSE)</f>
        <v>CORG00001</v>
      </c>
      <c r="H2" t="str">
        <f>VLOOKUP(G2,Organisation!$C$2:$E$318,3,FALSE)</f>
        <v>UQ</v>
      </c>
      <c r="I2" t="s">
        <v>5633</v>
      </c>
      <c r="J2">
        <f>COUNTIF($I$2:$I$416,I2)</f>
        <v>1</v>
      </c>
      <c r="K2" t="s">
        <v>8839</v>
      </c>
      <c r="L2" t="s">
        <v>8838</v>
      </c>
      <c r="M2" t="s">
        <v>5548</v>
      </c>
      <c r="N2" t="s">
        <v>14</v>
      </c>
      <c r="P2" t="s">
        <v>8866</v>
      </c>
      <c r="Q2" s="1">
        <v>1</v>
      </c>
      <c r="R2" t="str">
        <f>"Update Collaborator_Group Set Organisation = '"&amp;E2&amp;"' where Group_ID = '"&amp;A2&amp;"'; "</f>
        <v xml:space="preserve">Update Collaborator_Group Set Organisation = 'University of Queensland' where Group_ID = 'CG00001'; </v>
      </c>
      <c r="S2" t="str">
        <f>"Update Collaborator_Group Set Group_Name = '"&amp;I2&amp;"' where Group_ID = '"&amp;A2&amp;"'; "</f>
        <v xml:space="preserve">Update Collaborator_Group Set Group_Name = 'CO-ADD' where Group_ID = 'CG00001'; </v>
      </c>
      <c r="T2" t="str">
        <f>"Update dcollab.collab_group Set group_code = '"&amp;I2&amp;"' where Group_ID = '"&amp;B2&amp;"'; "</f>
        <v xml:space="preserve">Update dcollab.collab_group Set group_code = 'CO-ADD' where Group_ID = 'CGRP00001'; </v>
      </c>
    </row>
    <row r="3" spans="1:21">
      <c r="A3" t="s">
        <v>448</v>
      </c>
      <c r="B3" t="s">
        <v>8900</v>
      </c>
      <c r="D3" t="s">
        <v>1307</v>
      </c>
      <c r="E3" t="s">
        <v>362</v>
      </c>
      <c r="F3">
        <f>LEN(I3)</f>
        <v>10</v>
      </c>
      <c r="G3" t="str">
        <f>VLOOKUP(E3,Organisation!$A$2:$C$499,3,FALSE)</f>
        <v>CORG00001</v>
      </c>
      <c r="H3" t="str">
        <f>VLOOKUP(G3,Organisation!$C$2:$E$318,3,FALSE)</f>
        <v>UQ</v>
      </c>
      <c r="I3" t="s">
        <v>5539</v>
      </c>
      <c r="J3">
        <f t="shared" ref="J3:J66" si="0">COUNTIF($I$2:$I$416,I3)</f>
        <v>1</v>
      </c>
      <c r="L3" t="s">
        <v>416</v>
      </c>
      <c r="M3" t="s">
        <v>451</v>
      </c>
      <c r="N3" t="s">
        <v>14</v>
      </c>
      <c r="P3" t="s">
        <v>8866</v>
      </c>
      <c r="Q3" s="1">
        <v>1</v>
      </c>
      <c r="R3" t="str">
        <f>"Update Collaborator_Group Set Organisation = '"&amp;E3&amp;"' where Group_ID = '"&amp;A3&amp;"'; "</f>
        <v xml:space="preserve">Update Collaborator_Group Set Organisation = 'University of Queensland' where Group_ID = 'CG00002'; </v>
      </c>
      <c r="S3" t="str">
        <f>"Update Collaborator_Group Set Group_Name = '"&amp;I3&amp;"' where Group_ID = '"&amp;A3&amp;"'; "</f>
        <v xml:space="preserve">Update Collaborator_Group Set Group_Name = 'CooperM_UQ' where Group_ID = 'CG00002'; </v>
      </c>
      <c r="T3" t="str">
        <f>"Update dcollab.collab_group Set group_code = '"&amp;I3&amp;"' where Group_ID = '"&amp;B3&amp;"'; "</f>
        <v xml:space="preserve">Update dcollab.collab_group Set group_code = 'CooperM_UQ' where Group_ID = 'CGRP00002'; </v>
      </c>
    </row>
    <row r="4" spans="1:21">
      <c r="A4" t="s">
        <v>4034</v>
      </c>
      <c r="B4" t="s">
        <v>9136</v>
      </c>
      <c r="D4" t="s">
        <v>4033</v>
      </c>
      <c r="E4" t="s">
        <v>4036</v>
      </c>
      <c r="F4">
        <f>LEN(I4)</f>
        <v>20</v>
      </c>
      <c r="G4" t="str">
        <f>VLOOKUP(E4,Organisation!$A$2:$C$499,3,FALSE)</f>
        <v>CORG00218</v>
      </c>
      <c r="H4" t="str">
        <f>VLOOKUP(G4,Organisation!$C$2:$E$318,3,FALSE)</f>
        <v>UBirmingham</v>
      </c>
      <c r="I4" t="s">
        <v>5596</v>
      </c>
      <c r="J4">
        <f t="shared" si="0"/>
        <v>1</v>
      </c>
      <c r="L4" t="s">
        <v>170</v>
      </c>
      <c r="N4" t="s">
        <v>269</v>
      </c>
      <c r="P4" t="s">
        <v>8866</v>
      </c>
      <c r="Q4" s="1">
        <v>1</v>
      </c>
      <c r="R4" t="str">
        <f>"Update Collaborator_Group Set Organisation = '"&amp;E4&amp;"' where Group_ID = '"&amp;A4&amp;"'; "</f>
        <v xml:space="preserve">Update Collaborator_Group Set Organisation = 'University of Birmingham' where Group_ID = 'CG00003'; </v>
      </c>
      <c r="S4" t="str">
        <f>"Update Collaborator_Group Set Group_Name = '"&amp;I4&amp;"' where Group_ID = '"&amp;A4&amp;"'; "</f>
        <v xml:space="preserve">Update Collaborator_Group Set Group_Name = 'PeacockA_UBirmingham' where Group_ID = 'CG00003'; </v>
      </c>
      <c r="T4" t="str">
        <f>"Update dcollab.collab_group Set group_code = '"&amp;I4&amp;"' where Group_ID = '"&amp;B4&amp;"'; "</f>
        <v xml:space="preserve">Update dcollab.collab_group Set group_code = 'PeacockA_UBirmingham' where Group_ID = 'CGRP00004'; </v>
      </c>
    </row>
    <row r="5" spans="1:21">
      <c r="A5" t="s">
        <v>1027</v>
      </c>
      <c r="B5" t="s">
        <v>9141</v>
      </c>
      <c r="D5" t="s">
        <v>4324</v>
      </c>
      <c r="E5" t="s">
        <v>8748</v>
      </c>
      <c r="F5">
        <f>LEN(I5)</f>
        <v>12</v>
      </c>
      <c r="G5" t="str">
        <f>VLOOKUP(E5,Organisation!$A$2:$C$499,3,FALSE)</f>
        <v>CORG00222</v>
      </c>
      <c r="H5" t="str">
        <f>VLOOKUP(G5,Organisation!$C$2:$E$318,3,FALSE)</f>
        <v>UCSF</v>
      </c>
      <c r="I5" t="s">
        <v>5591</v>
      </c>
      <c r="J5">
        <f t="shared" si="0"/>
        <v>1</v>
      </c>
      <c r="L5" t="s">
        <v>1031</v>
      </c>
      <c r="M5" t="s">
        <v>4326</v>
      </c>
      <c r="N5" t="s">
        <v>8808</v>
      </c>
      <c r="P5" t="s">
        <v>8866</v>
      </c>
      <c r="Q5" s="1">
        <v>1</v>
      </c>
      <c r="R5" t="str">
        <f>"Update Collaborator_Group Set Organisation = '"&amp;E5&amp;"' where Group_ID = '"&amp;A5&amp;"'; "</f>
        <v xml:space="preserve">Update Collaborator_Group Set Organisation = 'University of California San Francisco' where Group_ID = 'CG00004'; </v>
      </c>
      <c r="S5" t="str">
        <f>"Update Collaborator_Group Set Group_Name = '"&amp;I5&amp;"' where Group_ID = '"&amp;A5&amp;"'; "</f>
        <v xml:space="preserve">Update Collaborator_Group Set Group_Name = 'RensloA_UCSF' where Group_ID = 'CG00004'; </v>
      </c>
      <c r="T5" t="str">
        <f>"Update dcollab.collab_group Set group_code = '"&amp;I5&amp;"' where Group_ID = '"&amp;B5&amp;"'; "</f>
        <v xml:space="preserve">Update dcollab.collab_group Set group_code = 'RensloA_UCSF' where Group_ID = 'CGRP00005'; </v>
      </c>
    </row>
    <row r="6" spans="1:21">
      <c r="A6" t="s">
        <v>1943</v>
      </c>
      <c r="B6" t="s">
        <v>9102</v>
      </c>
      <c r="D6" t="s">
        <v>2544</v>
      </c>
      <c r="E6" t="s">
        <v>1946</v>
      </c>
      <c r="F6">
        <f>LEN(I6)</f>
        <v>18</v>
      </c>
      <c r="G6" t="str">
        <f>VLOOKUP(E6,Organisation!$A$2:$C$499,3,FALSE)</f>
        <v>CORG00197</v>
      </c>
      <c r="H6" t="str">
        <f>VLOOKUP(G6,Organisation!$C$2:$E$318,3,FALSE)</f>
        <v>UENorteFluDR</v>
      </c>
      <c r="I6" t="s">
        <v>10411</v>
      </c>
      <c r="J6">
        <f t="shared" si="0"/>
        <v>1</v>
      </c>
      <c r="L6" t="s">
        <v>1947</v>
      </c>
      <c r="N6" t="s">
        <v>234</v>
      </c>
      <c r="P6" t="s">
        <v>8866</v>
      </c>
      <c r="Q6" s="1">
        <v>1</v>
      </c>
      <c r="R6" t="str">
        <f>"Update Collaborator_Group Set Organisation = '"&amp;E6&amp;"' where Group_ID = '"&amp;A6&amp;"'; "</f>
        <v xml:space="preserve">Update Collaborator_Group Set Organisation = 'Universidade Estadual do Norte Fluminense Darcy Ribeiro' where Group_ID = 'CG00005'; </v>
      </c>
      <c r="S6" t="str">
        <f>"Update Collaborator_Group Set Group_Name = '"&amp;I6&amp;"' where Group_ID = '"&amp;A6&amp;"'; "</f>
        <v xml:space="preserve">Update Collaborator_Group Set Group_Name = 'HornA_UENorteFluDR' where Group_ID = 'CG00005'; </v>
      </c>
      <c r="T6" t="str">
        <f>"Update dcollab.collab_group Set group_code = '"&amp;I6&amp;"' where Group_ID = '"&amp;B6&amp;"'; "</f>
        <v xml:space="preserve">Update dcollab.collab_group Set group_code = 'HornA_UENorteFluDR' where Group_ID = 'CGRP00006'; </v>
      </c>
    </row>
    <row r="7" spans="1:21">
      <c r="A7" t="s">
        <v>895</v>
      </c>
      <c r="B7" t="s">
        <v>9087</v>
      </c>
      <c r="D7" t="s">
        <v>894</v>
      </c>
      <c r="E7" t="s">
        <v>898</v>
      </c>
      <c r="F7">
        <f>LEN(I7)</f>
        <v>18</v>
      </c>
      <c r="G7" t="str">
        <f>VLOOKUP(E7,Organisation!$A$2:$C$499,3,FALSE)</f>
        <v>CORG00183</v>
      </c>
      <c r="H7" t="str">
        <f>VLOOKUP(G7,Organisation!$C$2:$E$318,3,FALSE)</f>
        <v>TUGraz</v>
      </c>
      <c r="I7" t="s">
        <v>5628</v>
      </c>
      <c r="J7">
        <f t="shared" si="0"/>
        <v>1</v>
      </c>
      <c r="L7" t="s">
        <v>899</v>
      </c>
      <c r="N7" t="s">
        <v>694</v>
      </c>
      <c r="P7" t="s">
        <v>8866</v>
      </c>
      <c r="Q7" s="1">
        <v>1</v>
      </c>
      <c r="R7" t="str">
        <f>"Update Collaborator_Group Set Organisation = '"&amp;E7&amp;"' where Group_ID = '"&amp;A7&amp;"'; "</f>
        <v xml:space="preserve">Update Collaborator_Group Set Organisation = 'Technical University of Graz' where Group_ID = 'CG00006'; </v>
      </c>
      <c r="S7" t="str">
        <f>"Update Collaborator_Group Set Group_Name = '"&amp;I7&amp;"' where Group_ID = '"&amp;A7&amp;"'; "</f>
        <v xml:space="preserve">Update Collaborator_Group Set Group_Name = 'BreinbauerR_TUGraz' where Group_ID = 'CG00006'; </v>
      </c>
      <c r="T7" t="str">
        <f>"Update dcollab.collab_group Set group_code = '"&amp;I7&amp;"' where Group_ID = '"&amp;B7&amp;"'; "</f>
        <v xml:space="preserve">Update dcollab.collab_group Set group_code = 'BreinbauerR_TUGraz' where Group_ID = 'CGRP00007'; </v>
      </c>
    </row>
    <row r="8" spans="1:21">
      <c r="A8" t="s">
        <v>4630</v>
      </c>
      <c r="B8" t="s">
        <v>9215</v>
      </c>
      <c r="D8" t="s">
        <v>4939</v>
      </c>
      <c r="E8" t="s">
        <v>4633</v>
      </c>
      <c r="F8">
        <f>LEN(I8)</f>
        <v>22</v>
      </c>
      <c r="G8" t="str">
        <f>VLOOKUP(E8,Organisation!$A$2:$C$499,3,FALSE)</f>
        <v>CORG00270</v>
      </c>
      <c r="H8" t="str">
        <f>VLOOKUP(G8,Organisation!$C$2:$E$318,3,FALSE)</f>
        <v>UStrathclyde</v>
      </c>
      <c r="I8" t="s">
        <v>5532</v>
      </c>
      <c r="J8">
        <f t="shared" si="0"/>
        <v>1</v>
      </c>
      <c r="L8" t="s">
        <v>4634</v>
      </c>
      <c r="N8" t="s">
        <v>269</v>
      </c>
      <c r="O8" t="s">
        <v>5531</v>
      </c>
      <c r="P8" t="s">
        <v>8866</v>
      </c>
      <c r="Q8" s="1">
        <v>1</v>
      </c>
      <c r="R8" t="str">
        <f>"Update Collaborator_Group Set Organisation = '"&amp;E8&amp;"' where Group_ID = '"&amp;A8&amp;"'; "</f>
        <v xml:space="preserve">Update Collaborator_Group Set Organisation = 'University of Strathclyde' where Group_ID = 'CG00007'; </v>
      </c>
      <c r="S8" t="str">
        <f>"Update Collaborator_Group Set Group_Name = '"&amp;I8&amp;"' where Group_ID = '"&amp;A8&amp;"'; "</f>
        <v xml:space="preserve">Update Collaborator_Group Set Group_Name = 'SucklingC_UStrathclyde' where Group_ID = 'CG00007'; </v>
      </c>
      <c r="T8" t="str">
        <f>"Update dcollab.collab_group Set group_code = '"&amp;I8&amp;"' where Group_ID = '"&amp;B8&amp;"'; "</f>
        <v xml:space="preserve">Update dcollab.collab_group Set group_code = 'SucklingC_UStrathclyde' where Group_ID = 'CGRP00008'; </v>
      </c>
    </row>
    <row r="9" spans="1:21">
      <c r="A9" t="s">
        <v>910</v>
      </c>
      <c r="B9" t="s">
        <v>9092</v>
      </c>
      <c r="D9" t="s">
        <v>909</v>
      </c>
      <c r="E9" t="s">
        <v>913</v>
      </c>
      <c r="F9">
        <f>LEN(I9)</f>
        <v>19</v>
      </c>
      <c r="G9" t="str">
        <f>VLOOKUP(E9,Organisation!$A$2:$C$499,3,FALSE)</f>
        <v>CORG00188</v>
      </c>
      <c r="H9" t="str">
        <f>VLOOKUP(G9,Organisation!$C$2:$E$318,3,FALSE)</f>
        <v>TrinityCUS</v>
      </c>
      <c r="I9" t="s">
        <v>10412</v>
      </c>
      <c r="J9">
        <f t="shared" si="0"/>
        <v>1</v>
      </c>
      <c r="L9" t="s">
        <v>73</v>
      </c>
      <c r="N9" t="s">
        <v>8808</v>
      </c>
      <c r="P9" t="s">
        <v>8866</v>
      </c>
      <c r="Q9" s="1">
        <v>1</v>
      </c>
      <c r="R9" t="str">
        <f>"Update Collaborator_Group Set Organisation = '"&amp;E9&amp;"' where Group_ID = '"&amp;A9&amp;"'; "</f>
        <v xml:space="preserve">Update Collaborator_Group Set Organisation = 'Trinity College' where Group_ID = 'CG00008'; </v>
      </c>
      <c r="S9" t="str">
        <f>"Update Collaborator_Group Set Group_Name = '"&amp;I9&amp;"' where Group_ID = '"&amp;A9&amp;"'; "</f>
        <v xml:space="preserve">Update Collaborator_Group Set Group_Name = 'BrindleC_TrinityCUS' where Group_ID = 'CG00008'; </v>
      </c>
      <c r="T9" t="str">
        <f>"Update dcollab.collab_group Set group_code = '"&amp;I9&amp;"' where Group_ID = '"&amp;B9&amp;"'; "</f>
        <v xml:space="preserve">Update dcollab.collab_group Set group_code = 'BrindleC_TrinityCUS' where Group_ID = 'CGRP00009'; </v>
      </c>
    </row>
    <row r="10" spans="1:21">
      <c r="A10" t="s">
        <v>3613</v>
      </c>
      <c r="B10" t="s">
        <v>9216</v>
      </c>
      <c r="D10" t="s">
        <v>4342</v>
      </c>
      <c r="E10" t="s">
        <v>389</v>
      </c>
      <c r="F10">
        <f>LEN(I10)</f>
        <v>16</v>
      </c>
      <c r="G10" t="str">
        <f>VLOOKUP(E10,Organisation!$A$2:$C$499,3,FALSE)</f>
        <v>CORG00271</v>
      </c>
      <c r="H10" t="str">
        <f>VLOOKUP(G10,Organisation!$C$2:$E$318,3,FALSE)</f>
        <v>USYD</v>
      </c>
      <c r="I10" t="s">
        <v>10413</v>
      </c>
      <c r="J10">
        <f t="shared" si="0"/>
        <v>1</v>
      </c>
      <c r="L10" t="s">
        <v>3616</v>
      </c>
      <c r="N10" t="s">
        <v>14</v>
      </c>
      <c r="P10" t="s">
        <v>8866</v>
      </c>
      <c r="Q10" s="1">
        <v>1</v>
      </c>
      <c r="R10" t="str">
        <f>"Update Collaborator_Group Set Organisation = '"&amp;E10&amp;"' where Group_ID = '"&amp;A10&amp;"'; "</f>
        <v xml:space="preserve">Update Collaborator_Group Set Organisation = 'University of Sydney' where Group_ID = 'CG00009'; </v>
      </c>
      <c r="S10" t="str">
        <f>"Update Collaborator_Group Set Group_Name = '"&amp;I10&amp;"' where Group_ID = '"&amp;A10&amp;"'; "</f>
        <v xml:space="preserve">Update Collaborator_Group Set Group_Name = 'RichardsonD_USYD' where Group_ID = 'CG00009'; </v>
      </c>
      <c r="T10" t="str">
        <f>"Update dcollab.collab_group Set group_code = '"&amp;I10&amp;"' where Group_ID = '"&amp;B10&amp;"'; "</f>
        <v xml:space="preserve">Update dcollab.collab_group Set group_code = 'RichardsonD_USYD' where Group_ID = 'CGRP00010'; </v>
      </c>
    </row>
    <row r="11" spans="1:21">
      <c r="A11" t="s">
        <v>3629</v>
      </c>
      <c r="B11" t="s">
        <v>9072</v>
      </c>
      <c r="D11" t="s">
        <v>3628</v>
      </c>
      <c r="E11" t="s">
        <v>2957</v>
      </c>
      <c r="F11">
        <f>LEN(I11)</f>
        <v>18</v>
      </c>
      <c r="G11" t="str">
        <f>VLOOKUP(E11,Organisation!$A$2:$C$499,3,FALSE)</f>
        <v>CORG00170</v>
      </c>
      <c r="H11" t="str">
        <f>VLOOKUP(G11,Organisation!$C$2:$E$318,3,FALSE)</f>
        <v>SaurashtraU</v>
      </c>
      <c r="I11" t="s">
        <v>5639</v>
      </c>
      <c r="J11">
        <f t="shared" si="0"/>
        <v>1</v>
      </c>
      <c r="L11" t="s">
        <v>3632</v>
      </c>
      <c r="M11" t="s">
        <v>3633</v>
      </c>
      <c r="N11" t="s">
        <v>211</v>
      </c>
      <c r="P11" t="s">
        <v>8866</v>
      </c>
      <c r="Q11" s="1">
        <v>1</v>
      </c>
      <c r="R11" t="str">
        <f>"Update Collaborator_Group Set Organisation = '"&amp;E11&amp;"' where Group_ID = '"&amp;A11&amp;"'; "</f>
        <v xml:space="preserve">Update Collaborator_Group Set Organisation = 'Saurashtra University' where Group_ID = 'CG00010'; </v>
      </c>
      <c r="S11" t="str">
        <f>"Update Collaborator_Group Set Group_Name = '"&amp;I11&amp;"' where Group_ID = '"&amp;A11&amp;"'; "</f>
        <v xml:space="preserve">Update Collaborator_Group Set Group_Name = 'ModhaJ_SaurashtraU' where Group_ID = 'CG00010'; </v>
      </c>
      <c r="T11" t="str">
        <f>"Update dcollab.collab_group Set group_code = '"&amp;I11&amp;"' where Group_ID = '"&amp;B11&amp;"'; "</f>
        <v xml:space="preserve">Update dcollab.collab_group Set group_code = 'ModhaJ_SaurashtraU' where Group_ID = 'CGRP00011'; </v>
      </c>
    </row>
    <row r="12" spans="1:21">
      <c r="A12" t="s">
        <v>2954</v>
      </c>
      <c r="B12" t="s">
        <v>9073</v>
      </c>
      <c r="D12" t="s">
        <v>2953</v>
      </c>
      <c r="E12" t="s">
        <v>2957</v>
      </c>
      <c r="F12">
        <f>LEN(I12)</f>
        <v>18</v>
      </c>
      <c r="G12" t="str">
        <f>VLOOKUP(E12,Organisation!$A$2:$C$499,3,FALSE)</f>
        <v>CORG00170</v>
      </c>
      <c r="H12" t="str">
        <f>VLOOKUP(G12,Organisation!$C$2:$E$318,3,FALSE)</f>
        <v>SaurashtraU</v>
      </c>
      <c r="I12" t="s">
        <v>5638</v>
      </c>
      <c r="J12">
        <f t="shared" si="0"/>
        <v>1</v>
      </c>
      <c r="N12" t="s">
        <v>211</v>
      </c>
      <c r="P12" t="s">
        <v>8866</v>
      </c>
      <c r="Q12" s="1">
        <v>1</v>
      </c>
      <c r="R12" t="str">
        <f>"Update Collaborator_Group Set Organisation = '"&amp;E12&amp;"' where Group_ID = '"&amp;A12&amp;"'; "</f>
        <v xml:space="preserve">Update Collaborator_Group Set Organisation = 'Saurashtra University' where Group_ID = 'CG00011'; </v>
      </c>
      <c r="S12" t="str">
        <f>"Update Collaborator_Group Set Group_Name = '"&amp;I12&amp;"' where Group_ID = '"&amp;A12&amp;"'; "</f>
        <v xml:space="preserve">Update Collaborator_Group Set Group_Name = 'KhuntR_SaurashtraU' where Group_ID = 'CG00011'; </v>
      </c>
      <c r="T12" t="str">
        <f>"Update dcollab.collab_group Set group_code = '"&amp;I12&amp;"' where Group_ID = '"&amp;B12&amp;"'; "</f>
        <v xml:space="preserve">Update dcollab.collab_group Set group_code = 'KhuntR_SaurashtraU' where Group_ID = 'CGRP00012'; </v>
      </c>
    </row>
    <row r="13" spans="1:21">
      <c r="A13" t="s">
        <v>1333</v>
      </c>
      <c r="B13" t="s">
        <v>9193</v>
      </c>
      <c r="D13" t="s">
        <v>1332</v>
      </c>
      <c r="E13" t="s">
        <v>362</v>
      </c>
      <c r="F13">
        <f>LEN(I13)</f>
        <v>11</v>
      </c>
      <c r="G13" t="str">
        <f>VLOOKUP(E13,Organisation!$A$2:$C$499,3,FALSE)</f>
        <v>CORG00001</v>
      </c>
      <c r="H13" t="str">
        <f>VLOOKUP(G13,Organisation!$C$2:$E$318,3,FALSE)</f>
        <v>UQ</v>
      </c>
      <c r="I13" t="s">
        <v>5537</v>
      </c>
      <c r="J13">
        <f t="shared" si="0"/>
        <v>1</v>
      </c>
      <c r="L13" t="s">
        <v>1336</v>
      </c>
      <c r="N13" t="s">
        <v>14</v>
      </c>
      <c r="P13" t="s">
        <v>8866</v>
      </c>
      <c r="Q13" s="1">
        <v>1</v>
      </c>
      <c r="R13" t="str">
        <f>"Update Collaborator_Group Set Organisation = '"&amp;E13&amp;"' where Group_ID = '"&amp;A13&amp;"'; "</f>
        <v xml:space="preserve">Update Collaborator_Group Set Organisation = 'University of Queensland' where Group_ID = 'CG00012'; </v>
      </c>
      <c r="S13" t="str">
        <f>"Update Collaborator_Group Set Group_Name = '"&amp;I13&amp;"' where Group_ID = '"&amp;A13&amp;"'; "</f>
        <v xml:space="preserve">Update Collaborator_Group Set Group_Name = 'CoulsonE_UQ' where Group_ID = 'CG00012'; </v>
      </c>
      <c r="T13" t="str">
        <f>"Update dcollab.collab_group Set group_code = '"&amp;I13&amp;"' where Group_ID = '"&amp;B13&amp;"'; "</f>
        <v xml:space="preserve">Update dcollab.collab_group Set group_code = 'CoulsonE_UQ' where Group_ID = 'CGRP00013'; </v>
      </c>
    </row>
    <row r="14" spans="1:21">
      <c r="A14" t="s">
        <v>488</v>
      </c>
      <c r="B14" t="s">
        <v>8927</v>
      </c>
      <c r="D14" t="s">
        <v>4082</v>
      </c>
      <c r="E14" t="s">
        <v>491</v>
      </c>
      <c r="F14">
        <f>LEN(I14)</f>
        <v>16</v>
      </c>
      <c r="G14" t="str">
        <f>VLOOKUP(E14,Organisation!$A$2:$C$499,3,FALSE)</f>
        <v>CORG00048</v>
      </c>
      <c r="H14" t="str">
        <f>VLOOKUP(G14,Organisation!$C$2:$E$318,3,FALSE)</f>
        <v>DeakinU</v>
      </c>
      <c r="I14" t="s">
        <v>5757</v>
      </c>
      <c r="J14">
        <f t="shared" si="0"/>
        <v>1</v>
      </c>
      <c r="L14" t="s">
        <v>492</v>
      </c>
      <c r="M14" t="s">
        <v>491</v>
      </c>
      <c r="N14" t="s">
        <v>14</v>
      </c>
      <c r="P14" t="s">
        <v>8866</v>
      </c>
      <c r="Q14" s="1">
        <v>1</v>
      </c>
      <c r="R14" t="str">
        <f>"Update Collaborator_Group Set Organisation = '"&amp;E14&amp;"' where Group_ID = '"&amp;A14&amp;"'; "</f>
        <v xml:space="preserve">Update Collaborator_Group Set Organisation = 'Deakin University' where Group_ID = 'CG00013'; </v>
      </c>
      <c r="S14" t="str">
        <f>"Update Collaborator_Group Set Group_Name = '"&amp;I14&amp;"' where Group_ID = '"&amp;A14&amp;"'; "</f>
        <v xml:space="preserve">Update Collaborator_Group Set Group_Name = 'PfefferF_DeakinU' where Group_ID = 'CG00013'; </v>
      </c>
      <c r="T14" t="str">
        <f>"Update dcollab.collab_group Set group_code = '"&amp;I14&amp;"' where Group_ID = '"&amp;B14&amp;"'; "</f>
        <v xml:space="preserve">Update dcollab.collab_group Set group_code = 'PfefferF_DeakinU' where Group_ID = 'CGRP00014'; </v>
      </c>
    </row>
    <row r="15" spans="1:21">
      <c r="A15" t="s">
        <v>2173</v>
      </c>
      <c r="B15" t="s">
        <v>8945</v>
      </c>
      <c r="D15" t="s">
        <v>2237</v>
      </c>
      <c r="E15" t="s">
        <v>1327</v>
      </c>
      <c r="F15">
        <f>LEN(I15)</f>
        <v>16</v>
      </c>
      <c r="G15" t="str">
        <f>VLOOKUP(E15,Organisation!$A$2:$C$499,3,FALSE)</f>
        <v>CORG00067</v>
      </c>
      <c r="H15" t="str">
        <f>VLOOKUP(G15,Organisation!$C$2:$E$318,3,FALSE)</f>
        <v>GriffithU</v>
      </c>
      <c r="I15" t="s">
        <v>10414</v>
      </c>
      <c r="J15">
        <f t="shared" si="0"/>
        <v>1</v>
      </c>
      <c r="L15" t="s">
        <v>2176</v>
      </c>
      <c r="M15" t="s">
        <v>2239</v>
      </c>
      <c r="N15" t="s">
        <v>14</v>
      </c>
      <c r="P15" t="s">
        <v>8866</v>
      </c>
      <c r="Q15" s="1">
        <v>1</v>
      </c>
      <c r="R15" t="str">
        <f>"Update Collaborator_Group Set Organisation = '"&amp;E15&amp;"' where Group_ID = '"&amp;A15&amp;"'; "</f>
        <v xml:space="preserve">Update Collaborator_Group Set Organisation = 'Griffith University' where Group_ID = 'CG00014'; </v>
      </c>
      <c r="S15" t="str">
        <f>"Update Collaborator_Group Set Group_Name = '"&amp;I15&amp;"' where Group_ID = '"&amp;A15&amp;"'; "</f>
        <v xml:space="preserve">Update Collaborator_Group Set Group_Name = 'GrantG_GriffithU' where Group_ID = 'CG00014'; </v>
      </c>
      <c r="T15" t="str">
        <f>"Update dcollab.collab_group Set group_code = '"&amp;I15&amp;"' where Group_ID = '"&amp;B15&amp;"'; "</f>
        <v xml:space="preserve">Update dcollab.collab_group Set group_code = 'GrantG_GriffithU' where Group_ID = 'CGRP00015'; </v>
      </c>
    </row>
    <row r="16" spans="1:21">
      <c r="A16" t="s">
        <v>2194</v>
      </c>
      <c r="B16" t="s">
        <v>9194</v>
      </c>
      <c r="D16" t="s">
        <v>4382</v>
      </c>
      <c r="E16" t="s">
        <v>362</v>
      </c>
      <c r="F16">
        <f>LEN(I16)</f>
        <v>8</v>
      </c>
      <c r="G16" t="str">
        <f>VLOOKUP(E16,Organisation!$A$2:$C$499,3,FALSE)</f>
        <v>CORG00001</v>
      </c>
      <c r="H16" t="str">
        <f>VLOOKUP(G16,Organisation!$C$2:$E$318,3,FALSE)</f>
        <v>UQ</v>
      </c>
      <c r="I16" t="s">
        <v>5538</v>
      </c>
      <c r="J16">
        <f t="shared" si="0"/>
        <v>1</v>
      </c>
      <c r="L16" t="s">
        <v>416</v>
      </c>
      <c r="M16" t="s">
        <v>4384</v>
      </c>
      <c r="N16" t="s">
        <v>14</v>
      </c>
      <c r="P16" t="s">
        <v>8866</v>
      </c>
      <c r="Q16" s="1">
        <v>1</v>
      </c>
      <c r="R16" t="str">
        <f>"Update Collaborator_Group Set Organisation = '"&amp;E16&amp;"' where Group_ID = '"&amp;A16&amp;"'; "</f>
        <v xml:space="preserve">Update Collaborator_Group Set Organisation = 'University of Queensland' where Group_ID = 'CG00015'; </v>
      </c>
      <c r="S16" t="str">
        <f>"Update Collaborator_Group Set Group_Name = '"&amp;I16&amp;"' where Group_ID = '"&amp;A16&amp;"'; "</f>
        <v xml:space="preserve">Update Collaborator_Group Set Group_Name = 'KingG_UQ' where Group_ID = 'CG00015'; </v>
      </c>
      <c r="T16" t="str">
        <f>"Update dcollab.collab_group Set group_code = '"&amp;I16&amp;"' where Group_ID = '"&amp;B16&amp;"'; "</f>
        <v xml:space="preserve">Update dcollab.collab_group Set group_code = 'KingG_UQ' where Group_ID = 'CGRP00016'; </v>
      </c>
    </row>
    <row r="17" spans="1:20">
      <c r="A17" t="s">
        <v>570</v>
      </c>
      <c r="B17" t="s">
        <v>9062</v>
      </c>
      <c r="D17" t="s">
        <v>569</v>
      </c>
      <c r="E17" t="s">
        <v>573</v>
      </c>
      <c r="F17">
        <f>LEN(I17)</f>
        <v>14</v>
      </c>
      <c r="G17" t="str">
        <f>VLOOKUP(E17,Organisation!$A$2:$C$499,3,FALSE)</f>
        <v>CORG00159</v>
      </c>
      <c r="H17" t="str">
        <f>VLOOKUP(G17,Organisation!$C$2:$E$318,3,FALSE)</f>
        <v>RKDF</v>
      </c>
      <c r="I17" t="s">
        <v>5652</v>
      </c>
      <c r="J17">
        <f t="shared" si="0"/>
        <v>1</v>
      </c>
      <c r="L17" t="s">
        <v>574</v>
      </c>
      <c r="N17" t="s">
        <v>211</v>
      </c>
      <c r="P17" t="s">
        <v>8866</v>
      </c>
      <c r="Q17" s="1">
        <v>1</v>
      </c>
      <c r="R17" t="str">
        <f>"Update Collaborator_Group Set Organisation = '"&amp;E17&amp;"' where Group_ID = '"&amp;A17&amp;"'; "</f>
        <v xml:space="preserve">Update Collaborator_Group Set Organisation = 'RKDF University' where Group_ID = 'CG00016'; </v>
      </c>
      <c r="S17" t="str">
        <f>"Update Collaborator_Group Set Group_Name = '"&amp;I17&amp;"' where Group_ID = '"&amp;A17&amp;"'; "</f>
        <v xml:space="preserve">Update Collaborator_Group Set Group_Name = 'BankhedeH_RKDF' where Group_ID = 'CG00016'; </v>
      </c>
      <c r="T17" t="str">
        <f>"Update dcollab.collab_group Set group_code = '"&amp;I17&amp;"' where Group_ID = '"&amp;B17&amp;"'; "</f>
        <v xml:space="preserve">Update dcollab.collab_group Set group_code = 'BankhedeH_RKDF' where Group_ID = 'CGRP00017'; </v>
      </c>
    </row>
    <row r="18" spans="1:20">
      <c r="A18" t="s">
        <v>2588</v>
      </c>
      <c r="B18" t="s">
        <v>9126</v>
      </c>
      <c r="D18" t="s">
        <v>2587</v>
      </c>
      <c r="E18" t="s">
        <v>2590</v>
      </c>
      <c r="F18">
        <f>LEN(I18)</f>
        <v>15</v>
      </c>
      <c r="G18" t="str">
        <f>VLOOKUP(E18,Organisation!$A$2:$C$499,3,FALSE)</f>
        <v>CORG00214</v>
      </c>
      <c r="H18" t="str">
        <f>VLOOKUP(G18,Organisation!$C$2:$E$318,3,FALSE)</f>
        <v>UArizona</v>
      </c>
      <c r="I18" t="s">
        <v>5606</v>
      </c>
      <c r="J18">
        <f t="shared" si="0"/>
        <v>1</v>
      </c>
      <c r="L18" t="s">
        <v>316</v>
      </c>
      <c r="M18" t="s">
        <v>2591</v>
      </c>
      <c r="N18" t="s">
        <v>8808</v>
      </c>
      <c r="P18" t="s">
        <v>8866</v>
      </c>
      <c r="Q18" s="1">
        <v>1</v>
      </c>
      <c r="R18" t="str">
        <f>"Update Collaborator_Group Set Organisation = '"&amp;E18&amp;"' where Group_ID = '"&amp;A18&amp;"'; "</f>
        <v xml:space="preserve">Update Collaborator_Group Set Organisation = 'University of Arizona' where Group_ID = 'CG00017'; </v>
      </c>
      <c r="S18" t="str">
        <f>"Update Collaborator_Group Set Group_Name = '"&amp;I18&amp;"' where Group_ID = '"&amp;A18&amp;"'; "</f>
        <v xml:space="preserve">Update Collaborator_Group Set Group_Name = 'HulmeC_UArizona' where Group_ID = 'CG00017'; </v>
      </c>
      <c r="T18" t="str">
        <f>"Update dcollab.collab_group Set group_code = '"&amp;I18&amp;"' where Group_ID = '"&amp;B18&amp;"'; "</f>
        <v xml:space="preserve">Update dcollab.collab_group Set group_code = 'HulmeC_UArizona' where Group_ID = 'CGRP00018'; </v>
      </c>
    </row>
    <row r="19" spans="1:20">
      <c r="A19" t="s">
        <v>812</v>
      </c>
      <c r="B19" t="s">
        <v>8958</v>
      </c>
      <c r="D19" t="s">
        <v>982</v>
      </c>
      <c r="E19" t="s">
        <v>815</v>
      </c>
      <c r="F19">
        <f>LEN(I19)</f>
        <v>15</v>
      </c>
      <c r="G19" t="str">
        <f>VLOOKUP(E19,Organisation!$A$2:$C$499,3,FALSE)</f>
        <v>CORG00075</v>
      </c>
      <c r="H19" t="str">
        <f>VLOOKUP(G19,Organisation!$C$2:$E$318,3,FALSE)</f>
        <v>ImperialC</v>
      </c>
      <c r="I19" t="s">
        <v>10415</v>
      </c>
      <c r="J19">
        <f t="shared" si="0"/>
        <v>1</v>
      </c>
      <c r="M19" t="s">
        <v>816</v>
      </c>
      <c r="N19" t="s">
        <v>269</v>
      </c>
      <c r="O19" t="s">
        <v>5734</v>
      </c>
      <c r="P19" t="s">
        <v>8867</v>
      </c>
      <c r="Q19" s="1">
        <v>1</v>
      </c>
      <c r="R19" t="str">
        <f>"Update Collaborator_Group Set Organisation = '"&amp;E19&amp;"' where Group_ID = '"&amp;A19&amp;"'; "</f>
        <v xml:space="preserve">Update Collaborator_Group Set Organisation = 'Imperial College London' where Group_ID = 'CG00018'; </v>
      </c>
      <c r="S19" t="str">
        <f>"Update Collaborator_Group Set Group_Name = '"&amp;I19&amp;"' where Group_ID = '"&amp;A19&amp;"'; "</f>
        <v xml:space="preserve">Update Collaborator_Group Set Group_Name = 'BullJ_ImperialC' where Group_ID = 'CG00018'; </v>
      </c>
      <c r="T19" t="str">
        <f>"Update dcollab.collab_group Set group_code = '"&amp;I19&amp;"' where Group_ID = '"&amp;B19&amp;"'; "</f>
        <v xml:space="preserve">Update dcollab.collab_group Set group_code = 'BullJ_ImperialC' where Group_ID = 'CGRP00019'; </v>
      </c>
    </row>
    <row r="20" spans="1:20">
      <c r="A20" t="s">
        <v>431</v>
      </c>
      <c r="B20" t="s">
        <v>9122</v>
      </c>
      <c r="D20" t="s">
        <v>430</v>
      </c>
      <c r="E20" t="s">
        <v>434</v>
      </c>
      <c r="F20">
        <f>LEN(I20)</f>
        <v>18</v>
      </c>
      <c r="G20" t="str">
        <f>VLOOKUP(E20,Organisation!$A$2:$C$499,3,FALSE)</f>
        <v>CORG00211</v>
      </c>
      <c r="H20" t="str">
        <f>VLOOKUP(G20,Organisation!$C$2:$E$318,3,FALSE)</f>
        <v>UCLondon</v>
      </c>
      <c r="I20" t="s">
        <v>10416</v>
      </c>
      <c r="J20">
        <f t="shared" si="0"/>
        <v>1</v>
      </c>
      <c r="L20" t="s">
        <v>435</v>
      </c>
      <c r="N20" t="s">
        <v>269</v>
      </c>
      <c r="O20" t="s">
        <v>5611</v>
      </c>
      <c r="P20" t="s">
        <v>8867</v>
      </c>
      <c r="Q20" s="1">
        <v>1</v>
      </c>
      <c r="R20" t="str">
        <f>"Update Collaborator_Group Set Organisation = '"&amp;E20&amp;"' where Group_ID = '"&amp;A20&amp;"'; "</f>
        <v xml:space="preserve">Update Collaborator_Group Set Organisation = 'University College London' where Group_ID = 'CG00019'; </v>
      </c>
      <c r="S20" t="str">
        <f>"Update Collaborator_Group Set Group_Name = '"&amp;I20&amp;"' where Group_ID = '"&amp;A20&amp;"'; "</f>
        <v xml:space="preserve">Update Collaborator_Group Set Group_Name = 'AndersonJ_UCLondon' where Group_ID = 'CG00019'; </v>
      </c>
      <c r="T20" t="str">
        <f>"Update dcollab.collab_group Set group_code = '"&amp;I20&amp;"' where Group_ID = '"&amp;B20&amp;"'; "</f>
        <v xml:space="preserve">Update dcollab.collab_group Set group_code = 'AndersonJ_UCLondon' where Group_ID = 'CGRP00020'; </v>
      </c>
    </row>
    <row r="21" spans="1:20">
      <c r="A21" t="s">
        <v>4337</v>
      </c>
      <c r="B21" t="s">
        <v>9129</v>
      </c>
      <c r="D21" t="s">
        <v>4336</v>
      </c>
      <c r="E21" t="s">
        <v>596</v>
      </c>
      <c r="F21">
        <f>LEN(I21)</f>
        <v>20</v>
      </c>
      <c r="G21" t="str">
        <f>VLOOKUP(E21,Organisation!$A$2:$C$499,3,FALSE)</f>
        <v>CORG00216</v>
      </c>
      <c r="H21" t="str">
        <f>VLOOKUP(G21,Organisation!$C$2:$E$318,3,FALSE)</f>
        <v>UAuckland</v>
      </c>
      <c r="I21" t="s">
        <v>5603</v>
      </c>
      <c r="J21">
        <f t="shared" si="0"/>
        <v>1</v>
      </c>
      <c r="L21" t="s">
        <v>597</v>
      </c>
      <c r="N21" t="s">
        <v>223</v>
      </c>
      <c r="P21" t="s">
        <v>8866</v>
      </c>
      <c r="Q21" s="1">
        <v>1</v>
      </c>
      <c r="R21" t="str">
        <f>"Update Collaborator_Group Set Organisation = '"&amp;E21&amp;"' where Group_ID = '"&amp;A21&amp;"'; "</f>
        <v xml:space="preserve">Update Collaborator_Group Set Organisation = 'University of Auckland' where Group_ID = 'CG00020'; </v>
      </c>
      <c r="S21" t="str">
        <f>"Update Collaborator_Group Set Group_Name = '"&amp;I21&amp;"' where Group_ID = '"&amp;A21&amp;"'; "</f>
        <v xml:space="preserve">Update Collaborator_Group Set Group_Name = 'ReynissonJ_UAuckland' where Group_ID = 'CG00020'; </v>
      </c>
      <c r="T21" t="str">
        <f>"Update dcollab.collab_group Set group_code = '"&amp;I21&amp;"' where Group_ID = '"&amp;B21&amp;"'; "</f>
        <v xml:space="preserve">Update dcollab.collab_group Set group_code = 'ReynissonJ_UAuckland' where Group_ID = 'CGRP00021'; </v>
      </c>
    </row>
    <row r="22" spans="1:20">
      <c r="A22" t="s">
        <v>2678</v>
      </c>
      <c r="B22" t="s">
        <v>9140</v>
      </c>
      <c r="D22" t="s">
        <v>3814</v>
      </c>
      <c r="E22" t="s">
        <v>8748</v>
      </c>
      <c r="F22">
        <f>LEN(I22)</f>
        <v>11</v>
      </c>
      <c r="G22" t="str">
        <f>VLOOKUP(E22,Organisation!$A$2:$C$499,3,FALSE)</f>
        <v>CORG00222</v>
      </c>
      <c r="H22" t="str">
        <f>VLOOKUP(G22,Organisation!$C$2:$E$318,3,FALSE)</f>
        <v>UCSF</v>
      </c>
      <c r="I22" t="s">
        <v>5592</v>
      </c>
      <c r="J22">
        <f t="shared" si="0"/>
        <v>1</v>
      </c>
      <c r="L22" t="s">
        <v>1031</v>
      </c>
      <c r="N22" t="s">
        <v>8808</v>
      </c>
      <c r="P22" t="s">
        <v>8866</v>
      </c>
      <c r="Q22" s="1">
        <v>1</v>
      </c>
      <c r="R22" t="str">
        <f>"Update Collaborator_Group Set Organisation = '"&amp;E22&amp;"' where Group_ID = '"&amp;A22&amp;"'; "</f>
        <v xml:space="preserve">Update Collaborator_Group Set Organisation = 'University of California San Francisco' where Group_ID = 'CG00021'; </v>
      </c>
      <c r="S22" t="str">
        <f>"Update Collaborator_Group Set Group_Name = '"&amp;I22&amp;"' where Group_ID = '"&amp;A22&amp;"'; "</f>
        <v xml:space="preserve">Update Collaborator_Group Set Group_Name = 'NeitzJ_UCSF' where Group_ID = 'CG00021'; </v>
      </c>
      <c r="T22" t="str">
        <f>"Update dcollab.collab_group Set group_code = '"&amp;I22&amp;"' where Group_ID = '"&amp;B22&amp;"'; "</f>
        <v xml:space="preserve">Update dcollab.collab_group Set group_code = 'NeitzJ_UCSF' where Group_ID = 'CGRP00022'; </v>
      </c>
    </row>
    <row r="23" spans="1:20">
      <c r="A23" t="s">
        <v>5240</v>
      </c>
      <c r="B23" t="s">
        <v>9165</v>
      </c>
      <c r="D23" t="s">
        <v>5239</v>
      </c>
      <c r="E23" t="s">
        <v>1271</v>
      </c>
      <c r="F23">
        <f>LEN(I23)</f>
        <v>16</v>
      </c>
      <c r="G23" t="str">
        <f>VLOOKUP(E23,Organisation!$A$2:$C$499,3,FALSE)</f>
        <v>CORG00244</v>
      </c>
      <c r="H23" t="str">
        <f>VLOOKUP(G23,Organisation!$C$2:$E$318,3,FALSE)</f>
        <v>UMelbourne</v>
      </c>
      <c r="I23" t="s">
        <v>5575</v>
      </c>
      <c r="J23">
        <f t="shared" si="0"/>
        <v>1</v>
      </c>
      <c r="L23" t="s">
        <v>5242</v>
      </c>
      <c r="N23" t="s">
        <v>14</v>
      </c>
      <c r="P23" t="s">
        <v>8866</v>
      </c>
      <c r="Q23" s="1">
        <v>1</v>
      </c>
      <c r="R23" t="str">
        <f>"Update Collaborator_Group Set Organisation = '"&amp;E23&amp;"' where Group_ID = '"&amp;A23&amp;"'; "</f>
        <v xml:space="preserve">Update Collaborator_Group Set Organisation = 'University of Melbourne' where Group_ID = 'CG00022'; </v>
      </c>
      <c r="S23" t="str">
        <f>"Update Collaborator_Group Set Group_Name = '"&amp;I23&amp;"' where Group_ID = '"&amp;A23&amp;"'; "</f>
        <v xml:space="preserve">Update Collaborator_Group Set Group_Name = 'WadeJ_UMelbourne' where Group_ID = 'CG00022'; </v>
      </c>
      <c r="T23" t="str">
        <f>"Update dcollab.collab_group Set group_code = '"&amp;I23&amp;"' where Group_ID = '"&amp;B23&amp;"'; "</f>
        <v xml:space="preserve">Update dcollab.collab_group Set group_code = 'WadeJ_UMelbourne' where Group_ID = 'CGRP00023'; </v>
      </c>
    </row>
    <row r="24" spans="1:20">
      <c r="A24" t="s">
        <v>2136</v>
      </c>
      <c r="B24" t="s">
        <v>9096</v>
      </c>
      <c r="D24" t="s">
        <v>2135</v>
      </c>
      <c r="E24" t="s">
        <v>169</v>
      </c>
      <c r="F24">
        <f>LEN(I24)</f>
        <v>17</v>
      </c>
      <c r="G24" t="str">
        <f>VLOOKUP(E24,Organisation!$A$2:$C$499,3,FALSE)</f>
        <v>CORG00212</v>
      </c>
      <c r="H24" t="str">
        <f>VLOOKUP(G24,Organisation!$C$2:$E$318,3,FALSE)</f>
        <v>UAdelaide</v>
      </c>
      <c r="I24" t="s">
        <v>5618</v>
      </c>
      <c r="J24">
        <f t="shared" si="0"/>
        <v>1</v>
      </c>
      <c r="L24" t="s">
        <v>2139</v>
      </c>
      <c r="N24" t="s">
        <v>14</v>
      </c>
      <c r="P24" t="s">
        <v>8866</v>
      </c>
      <c r="Q24" s="1">
        <v>1</v>
      </c>
      <c r="R24" t="str">
        <f>"Update Collaborator_Group Set Organisation = '"&amp;E24&amp;"' where Group_ID = '"&amp;A24&amp;"'; "</f>
        <v xml:space="preserve">Update Collaborator_Group Set Organisation = 'University of Adelaide' where Group_ID = 'CG00023'; </v>
      </c>
      <c r="S24" t="str">
        <f>"Update Collaborator_Group Set Group_Name = '"&amp;I24&amp;"' where Group_ID = '"&amp;A24&amp;"'; "</f>
        <v xml:space="preserve">Update Collaborator_Group Set Group_Name = 'GeorgeJ_UAdelaide' where Group_ID = 'CG00023'; </v>
      </c>
      <c r="T24" t="str">
        <f>"Update dcollab.collab_group Set group_code = '"&amp;I24&amp;"' where Group_ID = '"&amp;B24&amp;"'; "</f>
        <v xml:space="preserve">Update dcollab.collab_group Set group_code = 'GeorgeJ_UAdelaide' where Group_ID = 'CGRP00024'; </v>
      </c>
    </row>
    <row r="25" spans="1:20">
      <c r="A25" t="s">
        <v>2728</v>
      </c>
      <c r="B25" t="s">
        <v>9065</v>
      </c>
      <c r="D25" t="s">
        <v>2727</v>
      </c>
      <c r="E25" t="s">
        <v>2731</v>
      </c>
      <c r="F25">
        <f>LEN(I25)</f>
        <v>19</v>
      </c>
      <c r="G25" t="str">
        <f>VLOOKUP(E25,Organisation!$A$2:$C$499,3,FALSE)</f>
        <v>CORG00162</v>
      </c>
      <c r="H25" t="str">
        <f>VLOOKUP(G25,Organisation!$C$2:$E$318,3,FALSE)</f>
        <v>RowanU</v>
      </c>
      <c r="I25" t="s">
        <v>5645</v>
      </c>
      <c r="J25">
        <f t="shared" si="0"/>
        <v>1</v>
      </c>
      <c r="L25" t="s">
        <v>1288</v>
      </c>
      <c r="N25" t="s">
        <v>8808</v>
      </c>
      <c r="P25" t="s">
        <v>8866</v>
      </c>
      <c r="Q25" s="1">
        <v>1</v>
      </c>
      <c r="R25" t="str">
        <f>"Update Collaborator_Group Set Organisation = '"&amp;E25&amp;"' where Group_ID = '"&amp;A25&amp;"'; "</f>
        <v xml:space="preserve">Update Collaborator_Group Set Organisation = 'Rowan University' where Group_ID = 'CG00024'; </v>
      </c>
      <c r="S25" t="str">
        <f>"Update Collaborator_Group Set Group_Name = '"&amp;I25&amp;"' where Group_ID = '"&amp;A25&amp;"'; "</f>
        <v xml:space="preserve">Update Collaborator_Group Set Group_Name = 'JonnalgaddaS_RowanU' where Group_ID = 'CG00024'; </v>
      </c>
      <c r="T25" t="str">
        <f>"Update dcollab.collab_group Set group_code = '"&amp;I25&amp;"' where Group_ID = '"&amp;B25&amp;"'; "</f>
        <v xml:space="preserve">Update dcollab.collab_group Set group_code = 'JonnalgaddaS_RowanU' where Group_ID = 'CGRP00025'; </v>
      </c>
    </row>
    <row r="26" spans="1:20">
      <c r="A26" t="s">
        <v>995</v>
      </c>
      <c r="B26" t="s">
        <v>9221</v>
      </c>
      <c r="D26" t="s">
        <v>3904</v>
      </c>
      <c r="E26" t="s">
        <v>998</v>
      </c>
      <c r="F26">
        <f>LEN(I26)</f>
        <v>17</v>
      </c>
      <c r="G26" t="str">
        <f>VLOOKUP(E26,Organisation!$A$2:$C$499,3,FALSE)</f>
        <v>CORG00272</v>
      </c>
      <c r="H26" t="str">
        <f>VLOOKUP(G26,Organisation!$C$2:$E$318,3,FALSE)</f>
        <v>UTech</v>
      </c>
      <c r="I26" t="s">
        <v>10417</v>
      </c>
      <c r="J26">
        <f t="shared" si="0"/>
        <v>1</v>
      </c>
      <c r="L26" t="s">
        <v>999</v>
      </c>
      <c r="N26" t="s">
        <v>848</v>
      </c>
      <c r="P26" t="s">
        <v>8866</v>
      </c>
      <c r="Q26" s="1">
        <v>1</v>
      </c>
      <c r="R26" t="str">
        <f>"Update Collaborator_Group Set Organisation = '"&amp;E26&amp;"' where Group_ID = '"&amp;A26&amp;"'; "</f>
        <v xml:space="preserve">Update Collaborator_Group Set Organisation = 'University of Technology' where Group_ID = 'CG00025'; </v>
      </c>
      <c r="S26" t="str">
        <f>"Update Collaborator_Group Set Group_Name = '"&amp;I26&amp;"' where Group_ID = '"&amp;A26&amp;"'; "</f>
        <v xml:space="preserve">Update Collaborator_Group Set Group_Name = 'OleksyszynJ_UTech' where Group_ID = 'CG00025'; </v>
      </c>
      <c r="T26" t="str">
        <f>"Update dcollab.collab_group Set group_code = '"&amp;I26&amp;"' where Group_ID = '"&amp;B26&amp;"'; "</f>
        <v xml:space="preserve">Update dcollab.collab_group Set group_code = 'OleksyszynJ_UTech' where Group_ID = 'CGRP00026'; </v>
      </c>
    </row>
    <row r="27" spans="1:20">
      <c r="A27" t="s">
        <v>4608</v>
      </c>
      <c r="B27" t="s">
        <v>9250</v>
      </c>
      <c r="D27" t="s">
        <v>4607</v>
      </c>
      <c r="E27" t="s">
        <v>4611</v>
      </c>
      <c r="F27">
        <f>LEN(I27)</f>
        <v>22</v>
      </c>
      <c r="G27" t="str">
        <f>VLOOKUP(E27,Organisation!$A$2:$C$499,3,FALSE)</f>
        <v>CORG00296</v>
      </c>
      <c r="H27" t="str">
        <f>VLOOKUP(G27,Organisation!$C$2:$E$318,3,FALSE)</f>
        <v>UHSchleswig</v>
      </c>
      <c r="I27" t="s">
        <v>5513</v>
      </c>
      <c r="J27">
        <f t="shared" si="0"/>
        <v>1</v>
      </c>
      <c r="L27" t="s">
        <v>4612</v>
      </c>
      <c r="M27" t="s">
        <v>4613</v>
      </c>
      <c r="N27" t="s">
        <v>557</v>
      </c>
      <c r="P27" t="s">
        <v>8866</v>
      </c>
      <c r="Q27" s="1">
        <v>1</v>
      </c>
      <c r="R27" t="str">
        <f>"Update Collaborator_Group Set Organisation = '"&amp;E27&amp;"' where Group_ID = '"&amp;A27&amp;"'; "</f>
        <v xml:space="preserve">Update Collaborator_Group Set Organisation = 'University-Hospital Schleswig-Holstein' where Group_ID = 'CG00026'; </v>
      </c>
      <c r="S27" t="str">
        <f>"Update Collaborator_Group Set Group_Name = '"&amp;I27&amp;"' where Group_ID = '"&amp;A27&amp;"'; "</f>
        <v xml:space="preserve">Update Collaborator_Group Set Group_Name = 'SchroederJ_UHSchleswig' where Group_ID = 'CG00026'; </v>
      </c>
      <c r="T27" t="str">
        <f>"Update dcollab.collab_group Set group_code = '"&amp;I27&amp;"' where Group_ID = '"&amp;B27&amp;"'; "</f>
        <v xml:space="preserve">Update dcollab.collab_group Set group_code = 'SchroederJ_UHSchleswig' where Group_ID = 'CGRP00027'; </v>
      </c>
    </row>
    <row r="28" spans="1:20">
      <c r="A28" t="s">
        <v>2794</v>
      </c>
      <c r="B28" t="s">
        <v>8922</v>
      </c>
      <c r="D28" t="s">
        <v>2793</v>
      </c>
      <c r="E28" t="s">
        <v>2796</v>
      </c>
      <c r="F28">
        <f>LEN(I28)</f>
        <v>18</v>
      </c>
      <c r="G28" t="str">
        <f>VLOOKUP(E28,Organisation!$A$2:$C$499,3,FALSE)</f>
        <v>CORG00044</v>
      </c>
      <c r="H28" t="str">
        <f>VLOOKUP(G28,Organisation!$C$2:$E$318,3,FALSE)</f>
        <v>CSIR-IN</v>
      </c>
      <c r="I28" t="s">
        <v>5773</v>
      </c>
      <c r="J28">
        <f t="shared" si="0"/>
        <v>1</v>
      </c>
      <c r="L28" t="s">
        <v>2797</v>
      </c>
      <c r="N28" t="s">
        <v>211</v>
      </c>
      <c r="P28" t="s">
        <v>8866</v>
      </c>
      <c r="Q28" s="1">
        <v>1</v>
      </c>
      <c r="R28" t="str">
        <f>"Update Collaborator_Group Set Organisation = '"&amp;E28&amp;"' where Group_ID = '"&amp;A28&amp;"'; "</f>
        <v xml:space="preserve">Update Collaborator_Group Set Organisation = 'CSIR-Indian Institute of Chemical Technology' where Group_ID = 'CG00027'; </v>
      </c>
      <c r="S28" t="str">
        <f>"Update Collaborator_Group Set Group_Name = '"&amp;I28&amp;"' where Group_ID = '"&amp;A28&amp;"'; "</f>
        <v xml:space="preserve">Update Collaborator_Group Set Group_Name = 'KantevariS_CSIR-IN' where Group_ID = 'CG00027'; </v>
      </c>
      <c r="T28" t="str">
        <f>"Update dcollab.collab_group Set group_code = '"&amp;I28&amp;"' where Group_ID = '"&amp;B28&amp;"'; "</f>
        <v xml:space="preserve">Update dcollab.collab_group Set group_code = 'KantevariS_CSIR-IN' where Group_ID = 'CGRP00028'; </v>
      </c>
    </row>
    <row r="29" spans="1:20">
      <c r="A29" t="s">
        <v>2872</v>
      </c>
      <c r="B29" t="s">
        <v>9245</v>
      </c>
      <c r="D29" t="s">
        <v>2871</v>
      </c>
      <c r="E29" t="s">
        <v>1422</v>
      </c>
      <c r="F29">
        <f>LEN(I29)</f>
        <v>19</v>
      </c>
      <c r="G29" t="str">
        <f>VLOOKUP(E29,Organisation!$A$2:$C$499,3,FALSE)</f>
        <v>CORG00292</v>
      </c>
      <c r="H29" t="str">
        <f>VLOOKUP(G29,Organisation!$C$2:$E$318,3,FALSE)</f>
        <v>UWollongong</v>
      </c>
      <c r="I29" t="s">
        <v>10418</v>
      </c>
      <c r="J29">
        <f t="shared" si="0"/>
        <v>1</v>
      </c>
      <c r="L29" t="s">
        <v>170</v>
      </c>
      <c r="M29" t="s">
        <v>2874</v>
      </c>
      <c r="N29" t="s">
        <v>14</v>
      </c>
      <c r="P29" t="s">
        <v>8866</v>
      </c>
      <c r="Q29" s="1">
        <v>1</v>
      </c>
      <c r="R29" t="str">
        <f>"Update Collaborator_Group Set Organisation = '"&amp;E29&amp;"' where Group_ID = '"&amp;A29&amp;"'; "</f>
        <v xml:space="preserve">Update Collaborator_Group Set Organisation = 'University of Wollongong' where Group_ID = 'CG00028'; </v>
      </c>
      <c r="S29" t="str">
        <f>"Update Collaborator_Group Set Group_Name = '"&amp;I29&amp;"' where Group_ID = '"&amp;A29&amp;"'; "</f>
        <v xml:space="preserve">Update Collaborator_Group Set Group_Name = 'KellerP_UWollongong' where Group_ID = 'CG00028'; </v>
      </c>
      <c r="T29" t="str">
        <f>"Update dcollab.collab_group Set group_code = '"&amp;I29&amp;"' where Group_ID = '"&amp;B29&amp;"'; "</f>
        <v xml:space="preserve">Update dcollab.collab_group Set group_code = 'KellerP_UWollongong' where Group_ID = 'CGRP00029'; </v>
      </c>
    </row>
    <row r="30" spans="1:20">
      <c r="A30" t="s">
        <v>2605</v>
      </c>
      <c r="B30" t="s">
        <v>9177</v>
      </c>
      <c r="D30" t="s">
        <v>2604</v>
      </c>
      <c r="E30" t="s">
        <v>2607</v>
      </c>
      <c r="F30">
        <f>LEN(I30)</f>
        <v>12</v>
      </c>
      <c r="G30" t="str">
        <f>VLOOKUP(E30,Organisation!$A$2:$C$499,3,FALSE)</f>
        <v>CORG00253</v>
      </c>
      <c r="H30" t="str">
        <f>VLOOKUP(G30,Organisation!$C$2:$E$318,3,FALSE)</f>
        <v>UNSW</v>
      </c>
      <c r="I30" t="s">
        <v>5565</v>
      </c>
      <c r="J30">
        <f t="shared" si="0"/>
        <v>1</v>
      </c>
      <c r="L30" t="s">
        <v>170</v>
      </c>
      <c r="N30" t="s">
        <v>14</v>
      </c>
      <c r="P30" t="s">
        <v>8866</v>
      </c>
      <c r="Q30" s="1">
        <v>1</v>
      </c>
      <c r="R30" t="str">
        <f>"Update Collaborator_Group Set Organisation = '"&amp;E30&amp;"' where Group_ID = '"&amp;A30&amp;"'; "</f>
        <v xml:space="preserve">Update Collaborator_Group Set Organisation = 'University of New South Wales' where Group_ID = 'CG00029'; </v>
      </c>
      <c r="S30" t="str">
        <f>"Update Collaborator_Group Set Group_Name = '"&amp;I30&amp;"' where Group_ID = '"&amp;A30&amp;"'; "</f>
        <v xml:space="preserve">Update Collaborator_Group Set Group_Name = 'HunterL_UNSW' where Group_ID = 'CG00029'; </v>
      </c>
      <c r="T30" t="str">
        <f>"Update dcollab.collab_group Set group_code = '"&amp;I30&amp;"' where Group_ID = '"&amp;B30&amp;"'; "</f>
        <v xml:space="preserve">Update dcollab.collab_group Set group_code = 'HunterL_UNSW' where Group_ID = 'CGRP00030'; </v>
      </c>
    </row>
    <row r="31" spans="1:20">
      <c r="A31" t="s">
        <v>903</v>
      </c>
      <c r="B31" t="s">
        <v>9128</v>
      </c>
      <c r="D31" t="s">
        <v>902</v>
      </c>
      <c r="E31" t="s">
        <v>596</v>
      </c>
      <c r="F31">
        <f>LEN(I31)</f>
        <v>18</v>
      </c>
      <c r="G31" t="str">
        <f>VLOOKUP(E31,Organisation!$A$2:$C$499,3,FALSE)</f>
        <v>CORG00216</v>
      </c>
      <c r="H31" t="str">
        <f>VLOOKUP(G31,Organisation!$C$2:$E$318,3,FALSE)</f>
        <v>UAuckland</v>
      </c>
      <c r="I31" t="s">
        <v>5604</v>
      </c>
      <c r="J31">
        <f t="shared" si="0"/>
        <v>1</v>
      </c>
      <c r="L31" t="s">
        <v>597</v>
      </c>
      <c r="N31" t="s">
        <v>223</v>
      </c>
      <c r="P31" t="s">
        <v>8866</v>
      </c>
      <c r="Q31" s="1">
        <v>1</v>
      </c>
      <c r="R31" t="str">
        <f>"Update Collaborator_Group Set Organisation = '"&amp;E31&amp;"' where Group_ID = '"&amp;A31&amp;"'; "</f>
        <v xml:space="preserve">Update Collaborator_Group Set Organisation = 'University of Auckland' where Group_ID = 'CG00030'; </v>
      </c>
      <c r="S31" t="str">
        <f>"Update Collaborator_Group Set Group_Name = '"&amp;I31&amp;"' where Group_ID = '"&amp;A31&amp;"'; "</f>
        <v xml:space="preserve">Update Collaborator_Group Set Group_Name = 'BrimbleM_UAuckland' where Group_ID = 'CG00030'; </v>
      </c>
      <c r="T31" t="str">
        <f>"Update dcollab.collab_group Set group_code = '"&amp;I31&amp;"' where Group_ID = '"&amp;B31&amp;"'; "</f>
        <v xml:space="preserve">Update dcollab.collab_group Set group_code = 'BrimbleM_UAuckland' where Group_ID = 'CGRP00031'; </v>
      </c>
    </row>
    <row r="32" spans="1:20">
      <c r="A32" t="s">
        <v>1325</v>
      </c>
      <c r="B32" t="s">
        <v>8944</v>
      </c>
      <c r="D32" t="s">
        <v>1324</v>
      </c>
      <c r="E32" t="s">
        <v>1327</v>
      </c>
      <c r="F32">
        <f>LEN(I32)</f>
        <v>17</v>
      </c>
      <c r="G32" t="str">
        <f>VLOOKUP(E32,Organisation!$A$2:$C$499,3,FALSE)</f>
        <v>CORG00067</v>
      </c>
      <c r="H32" t="str">
        <f>VLOOKUP(G32,Organisation!$C$2:$E$318,3,FALSE)</f>
        <v>GriffithU</v>
      </c>
      <c r="I32" t="s">
        <v>10419</v>
      </c>
      <c r="J32">
        <f t="shared" si="0"/>
        <v>1</v>
      </c>
      <c r="L32" t="s">
        <v>5744</v>
      </c>
      <c r="N32" t="s">
        <v>14</v>
      </c>
      <c r="P32" t="s">
        <v>8866</v>
      </c>
      <c r="Q32" s="1">
        <v>1</v>
      </c>
      <c r="R32" t="str">
        <f>"Update Collaborator_Group Set Organisation = '"&amp;E32&amp;"' where Group_ID = '"&amp;A32&amp;"'; "</f>
        <v xml:space="preserve">Update Collaborator_Group Set Organisation = 'Griffith University' where Group_ID = 'CG00031'; </v>
      </c>
      <c r="S32" t="str">
        <f>"Update Collaborator_Group Set Group_Name = '"&amp;I32&amp;"' where Group_ID = '"&amp;A32&amp;"'; "</f>
        <v xml:space="preserve">Update Collaborator_Group Set Group_Name = 'CosterM_GriffithU' where Group_ID = 'CG00031'; </v>
      </c>
      <c r="T32" t="str">
        <f>"Update dcollab.collab_group Set group_code = '"&amp;I32&amp;"' where Group_ID = '"&amp;B32&amp;"'; "</f>
        <v xml:space="preserve">Update dcollab.collab_group Set group_code = 'CosterM_GriffithU' where Group_ID = 'CGRP00032'; </v>
      </c>
    </row>
    <row r="33" spans="1:20">
      <c r="A33" t="s">
        <v>5148</v>
      </c>
      <c r="B33" t="s">
        <v>9196</v>
      </c>
      <c r="D33" t="s">
        <v>5147</v>
      </c>
      <c r="E33" t="s">
        <v>362</v>
      </c>
      <c r="F33">
        <f>LEN(I33)</f>
        <v>10</v>
      </c>
      <c r="G33" t="str">
        <f>VLOOKUP(E33,Organisation!$A$2:$C$499,3,FALSE)</f>
        <v>CORG00001</v>
      </c>
      <c r="H33" t="str">
        <f>VLOOKUP(G33,Organisation!$C$2:$E$318,3,FALSE)</f>
        <v>UQ</v>
      </c>
      <c r="I33" t="s">
        <v>5545</v>
      </c>
      <c r="J33">
        <f t="shared" si="0"/>
        <v>1</v>
      </c>
      <c r="L33" t="s">
        <v>5150</v>
      </c>
      <c r="N33" t="s">
        <v>14</v>
      </c>
      <c r="P33" t="s">
        <v>8866</v>
      </c>
      <c r="Q33" s="1">
        <v>1</v>
      </c>
      <c r="R33" t="str">
        <f>"Update Collaborator_Group Set Organisation = '"&amp;E33&amp;"' where Group_ID = '"&amp;A33&amp;"'; "</f>
        <v xml:space="preserve">Update Collaborator_Group Set Organisation = 'University of Queensland' where Group_ID = 'CG00032'; </v>
      </c>
      <c r="S33" t="str">
        <f>"Update Collaborator_Group Set Group_Name = '"&amp;I33&amp;"' where Group_ID = '"&amp;A33&amp;"'; "</f>
        <v xml:space="preserve">Update Collaborator_Group Set Group_Name = 'TurnerM_UQ' where Group_ID = 'CG00032'; </v>
      </c>
      <c r="T33" t="str">
        <f>"Update dcollab.collab_group Set group_code = '"&amp;I33&amp;"' where Group_ID = '"&amp;B33&amp;"'; "</f>
        <v xml:space="preserve">Update dcollab.collab_group Set group_code = 'TurnerM_UQ' where Group_ID = 'CGRP00033'; </v>
      </c>
    </row>
    <row r="34" spans="1:20">
      <c r="A34" t="s">
        <v>322</v>
      </c>
      <c r="B34" t="s">
        <v>8881</v>
      </c>
      <c r="D34" t="s">
        <v>321</v>
      </c>
      <c r="E34" t="s">
        <v>324</v>
      </c>
      <c r="F34">
        <f>LEN(I34)</f>
        <v>16</v>
      </c>
      <c r="G34" t="str">
        <f>VLOOKUP(E34,Organisation!$A$2:$C$499,3,FALSE)</f>
        <v>CORG00009</v>
      </c>
      <c r="H34" t="str">
        <f>VLOOKUP(G34,Organisation!$C$2:$E$318,3,FALSE)</f>
        <v>ArkansasSU</v>
      </c>
      <c r="I34" t="s">
        <v>5790</v>
      </c>
      <c r="J34">
        <f t="shared" si="0"/>
        <v>1</v>
      </c>
      <c r="L34" t="s">
        <v>325</v>
      </c>
      <c r="M34" t="s">
        <v>326</v>
      </c>
      <c r="N34" t="s">
        <v>8808</v>
      </c>
      <c r="P34" t="s">
        <v>8866</v>
      </c>
      <c r="Q34" s="1">
        <v>1</v>
      </c>
      <c r="R34" t="str">
        <f>"Update Collaborator_Group Set Organisation = '"&amp;E34&amp;"' where Group_ID = '"&amp;A34&amp;"'; "</f>
        <v xml:space="preserve">Update Collaborator_Group Set Organisation = 'Arkansas State University Jonesboro' where Group_ID = 'CG00033'; </v>
      </c>
      <c r="S34" t="str">
        <f>"Update Collaborator_Group Set Group_Name = '"&amp;I34&amp;"' where Group_ID = '"&amp;A34&amp;"'; "</f>
        <v xml:space="preserve">Update Collaborator_Group Set Group_Name = 'AlamM_ArkansasSU' where Group_ID = 'CG00033'; </v>
      </c>
      <c r="T34" t="str">
        <f>"Update dcollab.collab_group Set group_code = '"&amp;I34&amp;"' where Group_ID = '"&amp;B34&amp;"'; "</f>
        <v xml:space="preserve">Update dcollab.collab_group Set group_code = 'AlamM_ArkansasSU' where Group_ID = 'CGRP00034'; </v>
      </c>
    </row>
    <row r="35" spans="1:20">
      <c r="A35" t="s">
        <v>4796</v>
      </c>
      <c r="B35" t="s">
        <v>9265</v>
      </c>
      <c r="D35" t="s">
        <v>4795</v>
      </c>
      <c r="E35" t="s">
        <v>4799</v>
      </c>
      <c r="F35">
        <f>LEN(I35)</f>
        <v>22</v>
      </c>
      <c r="G35" t="str">
        <f>VLOOKUP(E35,Organisation!$A$2:$C$499,3,FALSE)</f>
        <v>CORG00308</v>
      </c>
      <c r="H35" t="str">
        <f>VLOOKUP(G35,Organisation!$C$2:$E$318,3,FALSE)</f>
        <v>WroclawMedU</v>
      </c>
      <c r="I35" t="s">
        <v>5495</v>
      </c>
      <c r="J35">
        <f t="shared" si="0"/>
        <v>1</v>
      </c>
      <c r="N35" t="s">
        <v>848</v>
      </c>
      <c r="O35" t="s">
        <v>5494</v>
      </c>
      <c r="P35" t="s">
        <v>8867</v>
      </c>
      <c r="Q35" s="1">
        <v>1</v>
      </c>
      <c r="R35" t="str">
        <f>"Update Collaborator_Group Set Organisation = '"&amp;E35&amp;"' where Group_ID = '"&amp;A35&amp;"'; "</f>
        <v xml:space="preserve">Update Collaborator_Group Set Organisation = 'Wroclaw Medical University' where Group_ID = 'CG00034'; </v>
      </c>
      <c r="S35" t="str">
        <f>"Update Collaborator_Group Set Group_Name = '"&amp;I35&amp;"' where Group_ID = '"&amp;A35&amp;"'; "</f>
        <v xml:space="preserve">Update Collaborator_Group Set Group_Name = 'SliwinskaM_WroclawMedU' where Group_ID = 'CG00034'; </v>
      </c>
      <c r="T35" t="str">
        <f>"Update dcollab.collab_group Set group_code = '"&amp;I35&amp;"' where Group_ID = '"&amp;B35&amp;"'; "</f>
        <v xml:space="preserve">Update dcollab.collab_group Set group_code = 'SliwinskaM_WroclawMedU' where Group_ID = 'CGRP00035'; </v>
      </c>
    </row>
    <row r="36" spans="1:20">
      <c r="A36" t="s">
        <v>2180</v>
      </c>
      <c r="B36" t="s">
        <v>9041</v>
      </c>
      <c r="D36" t="s">
        <v>2179</v>
      </c>
      <c r="E36" t="s">
        <v>457</v>
      </c>
      <c r="F36">
        <f>LEN(I36)</f>
        <v>7</v>
      </c>
      <c r="G36" t="str">
        <f>VLOOKUP(E36,Organisation!$A$2:$C$499,3,FALSE)</f>
        <v>CORG00140</v>
      </c>
      <c r="H36" t="str">
        <f>VLOOKUP(G36,Organisation!$C$2:$E$318,3,FALSE)</f>
        <v>NUS</v>
      </c>
      <c r="I36" t="s">
        <v>5664</v>
      </c>
      <c r="J36">
        <f t="shared" si="0"/>
        <v>1</v>
      </c>
      <c r="L36" t="s">
        <v>2183</v>
      </c>
      <c r="N36" t="s">
        <v>459</v>
      </c>
      <c r="P36" t="s">
        <v>8866</v>
      </c>
      <c r="Q36" s="1">
        <v>1</v>
      </c>
      <c r="R36" t="str">
        <f>"Update Collaborator_Group Set Organisation = '"&amp;E36&amp;"' where Group_ID = '"&amp;A36&amp;"'; "</f>
        <v xml:space="preserve">Update Collaborator_Group Set Organisation = 'National University of Singapore' where Group_ID = 'CG00035'; </v>
      </c>
      <c r="S36" t="str">
        <f>"Update Collaborator_Group Set Group_Name = '"&amp;I36&amp;"' where Group_ID = '"&amp;A36&amp;"'; "</f>
        <v xml:space="preserve">Update Collaborator_Group Set Group_Name = 'GoM_NUS' where Group_ID = 'CG00035'; </v>
      </c>
      <c r="T36" t="str">
        <f>"Update dcollab.collab_group Set group_code = '"&amp;I36&amp;"' where Group_ID = '"&amp;B36&amp;"'; "</f>
        <v xml:space="preserve">Update dcollab.collab_group Set group_code = 'GoM_NUS' where Group_ID = 'CGRP00036'; </v>
      </c>
    </row>
    <row r="37" spans="1:20">
      <c r="A37" t="s">
        <v>2886</v>
      </c>
      <c r="B37" t="s">
        <v>9246</v>
      </c>
      <c r="D37" t="s">
        <v>2885</v>
      </c>
      <c r="E37" t="s">
        <v>1422</v>
      </c>
      <c r="F37">
        <f>LEN(I37)</f>
        <v>18</v>
      </c>
      <c r="G37" t="str">
        <f>VLOOKUP(E37,Organisation!$A$2:$C$499,3,FALSE)</f>
        <v>CORG00292</v>
      </c>
      <c r="H37" t="str">
        <f>VLOOKUP(G37,Organisation!$C$2:$E$318,3,FALSE)</f>
        <v>UWollongong</v>
      </c>
      <c r="I37" t="s">
        <v>10420</v>
      </c>
      <c r="J37">
        <f t="shared" si="0"/>
        <v>1</v>
      </c>
      <c r="L37" t="s">
        <v>170</v>
      </c>
      <c r="M37" t="s">
        <v>2889</v>
      </c>
      <c r="N37" t="s">
        <v>14</v>
      </c>
      <c r="P37" t="s">
        <v>8866</v>
      </c>
      <c r="Q37" s="1">
        <v>1</v>
      </c>
      <c r="R37" t="str">
        <f>"Update Collaborator_Group Set Organisation = '"&amp;E37&amp;"' where Group_ID = '"&amp;A37&amp;"'; "</f>
        <v xml:space="preserve">Update Collaborator_Group Set Organisation = 'University of Wollongong' where Group_ID = 'CG00036'; </v>
      </c>
      <c r="S37" t="str">
        <f>"Update Collaborator_Group Set Group_Name = '"&amp;I37&amp;"' where Group_ID = '"&amp;A37&amp;"'; "</f>
        <v xml:space="preserve">Update Collaborator_Group Set Group_Name = 'KelsoM_UWollongong' where Group_ID = 'CG00036'; </v>
      </c>
      <c r="T37" t="str">
        <f>"Update dcollab.collab_group Set group_code = '"&amp;I37&amp;"' where Group_ID = '"&amp;B37&amp;"'; "</f>
        <v xml:space="preserve">Update dcollab.collab_group Set group_code = 'KelsoM_UWollongong' where Group_ID = 'CGRP00037'; </v>
      </c>
    </row>
    <row r="38" spans="1:20">
      <c r="A38" t="s">
        <v>2364</v>
      </c>
      <c r="B38" t="s">
        <v>9115</v>
      </c>
      <c r="D38" t="s">
        <v>3809</v>
      </c>
      <c r="E38" t="s">
        <v>2367</v>
      </c>
      <c r="F38">
        <f>LEN(I38)</f>
        <v>14</v>
      </c>
      <c r="G38" t="str">
        <f>VLOOKUP(E38,Organisation!$A$2:$C$499,3,FALSE)</f>
        <v>CORG00208</v>
      </c>
      <c r="H38" t="str">
        <f>VLOOKUP(G38,Organisation!$C$2:$E$318,3,FALSE)</f>
        <v>UPutraM</v>
      </c>
      <c r="I38" t="s">
        <v>5613</v>
      </c>
      <c r="J38">
        <f t="shared" si="0"/>
        <v>1</v>
      </c>
      <c r="L38" t="s">
        <v>2368</v>
      </c>
      <c r="N38" t="s">
        <v>2369</v>
      </c>
      <c r="P38" t="s">
        <v>8866</v>
      </c>
      <c r="Q38" s="1">
        <v>1</v>
      </c>
      <c r="R38" t="str">
        <f>"Update Collaborator_Group Set Organisation = '"&amp;E38&amp;"' where Group_ID = '"&amp;A38&amp;"'; "</f>
        <v xml:space="preserve">Update Collaborator_Group Set Organisation = 'Universiti Putra Malaysia' where Group_ID = 'CG00037'; </v>
      </c>
      <c r="S38" t="str">
        <f>"Update Collaborator_Group Set Group_Name = '"&amp;I38&amp;"' where Group_ID = '"&amp;A38&amp;"'; "</f>
        <v xml:space="preserve">Update Collaborator_Group Set Group_Name = 'NeelaV_UPutraM' where Group_ID = 'CG00037'; </v>
      </c>
      <c r="T38" t="str">
        <f>"Update dcollab.collab_group Set group_code = '"&amp;I38&amp;"' where Group_ID = '"&amp;B38&amp;"'; "</f>
        <v xml:space="preserve">Update dcollab.collab_group Set group_code = 'NeelaV_UPutraM' where Group_ID = 'CGRP00038'; </v>
      </c>
    </row>
    <row r="39" spans="1:20">
      <c r="A39" t="s">
        <v>1452</v>
      </c>
      <c r="B39" t="s">
        <v>8978</v>
      </c>
      <c r="D39" t="s">
        <v>1451</v>
      </c>
      <c r="E39" t="s">
        <v>8763</v>
      </c>
      <c r="F39">
        <f>LEN(I39)</f>
        <v>9</v>
      </c>
      <c r="G39" t="str">
        <f>VLOOKUP(E39,Organisation!$A$2:$C$499,3,FALSE)</f>
        <v>CORG00091</v>
      </c>
      <c r="H39" t="str">
        <f>VLOOKUP(G39,Organisation!$C$2:$E$318,3,FALSE)</f>
        <v>JCU</v>
      </c>
      <c r="I39" t="s">
        <v>5718</v>
      </c>
      <c r="J39">
        <f t="shared" si="0"/>
        <v>1</v>
      </c>
      <c r="L39" t="s">
        <v>1455</v>
      </c>
      <c r="N39" t="s">
        <v>14</v>
      </c>
      <c r="P39" t="s">
        <v>8866</v>
      </c>
      <c r="Q39" s="1">
        <v>1</v>
      </c>
      <c r="R39" t="str">
        <f>"Update Collaborator_Group Set Organisation = '"&amp;E39&amp;"' where Group_ID = '"&amp;A39&amp;"'; "</f>
        <v xml:space="preserve">Update Collaborator_Group Set Organisation = 'James Cook University' where Group_ID = 'CG00038'; </v>
      </c>
      <c r="S39" t="str">
        <f>"Update Collaborator_Group Set Group_Name = '"&amp;I39&amp;"' where Group_ID = '"&amp;A39&amp;"'; "</f>
        <v xml:space="preserve">Update Collaborator_Group Set Group_Name = 'DalyN_JCU' where Group_ID = 'CG00038'; </v>
      </c>
      <c r="T39" t="str">
        <f>"Update dcollab.collab_group Set group_code = '"&amp;I39&amp;"' where Group_ID = '"&amp;B39&amp;"'; "</f>
        <v xml:space="preserve">Update dcollab.collab_group Set group_code = 'DalyN_JCU' where Group_ID = 'CGRP00039'; </v>
      </c>
    </row>
    <row r="40" spans="1:20">
      <c r="A40" t="s">
        <v>359</v>
      </c>
      <c r="B40" t="s">
        <v>9195</v>
      </c>
      <c r="D40" t="s">
        <v>358</v>
      </c>
      <c r="E40" t="s">
        <v>362</v>
      </c>
      <c r="F40">
        <f>LEN(I40)</f>
        <v>11</v>
      </c>
      <c r="G40" t="str">
        <f>VLOOKUP(E40,Organisation!$A$2:$C$499,3,FALSE)</f>
        <v>CORG00001</v>
      </c>
      <c r="H40" t="str">
        <f>VLOOKUP(G40,Organisation!$C$2:$E$318,3,FALSE)</f>
        <v>UQ</v>
      </c>
      <c r="I40" t="s">
        <v>5541</v>
      </c>
      <c r="J40">
        <f t="shared" si="0"/>
        <v>1</v>
      </c>
      <c r="L40" t="s">
        <v>363</v>
      </c>
      <c r="N40" t="s">
        <v>14</v>
      </c>
      <c r="P40" t="s">
        <v>8866</v>
      </c>
      <c r="Q40" s="1">
        <v>1</v>
      </c>
      <c r="R40" t="str">
        <f>"Update Collaborator_Group Set Organisation = '"&amp;E40&amp;"' where Group_ID = '"&amp;A40&amp;"'; "</f>
        <v xml:space="preserve">Update Collaborator_Group Set Organisation = 'University of Queensland' where Group_ID = 'CG00039'; </v>
      </c>
      <c r="S40" t="str">
        <f>"Update Collaborator_Group Set Group_Name = '"&amp;I40&amp;"' where Group_ID = '"&amp;A40&amp;"'; "</f>
        <v xml:space="preserve">Update Collaborator_Group Set Group_Name = 'AlewoodP_UQ' where Group_ID = 'CG00039'; </v>
      </c>
      <c r="T40" t="str">
        <f>"Update dcollab.collab_group Set group_code = '"&amp;I40&amp;"' where Group_ID = '"&amp;B40&amp;"'; "</f>
        <v xml:space="preserve">Update dcollab.collab_group Set group_code = 'AlewoodP_UQ' where Group_ID = 'CGRP00040'; </v>
      </c>
    </row>
    <row r="41" spans="1:20">
      <c r="A41" t="s">
        <v>385</v>
      </c>
      <c r="B41" t="s">
        <v>9218</v>
      </c>
      <c r="D41" t="s">
        <v>2289</v>
      </c>
      <c r="E41" t="s">
        <v>389</v>
      </c>
      <c r="F41">
        <f>LEN(I41)</f>
        <v>17</v>
      </c>
      <c r="G41" t="str">
        <f>VLOOKUP(E41,Organisation!$A$2:$C$499,3,FALSE)</f>
        <v>CORG00271</v>
      </c>
      <c r="H41" t="str">
        <f>VLOOKUP(G41,Organisation!$C$2:$E$318,3,FALSE)</f>
        <v>USYD</v>
      </c>
      <c r="I41" t="s">
        <v>10421</v>
      </c>
      <c r="J41">
        <f t="shared" si="0"/>
        <v>1</v>
      </c>
      <c r="L41" t="s">
        <v>390</v>
      </c>
      <c r="N41" t="s">
        <v>14</v>
      </c>
      <c r="P41" t="s">
        <v>8866</v>
      </c>
      <c r="Q41" s="1">
        <v>1</v>
      </c>
      <c r="R41" t="str">
        <f>"Update Collaborator_Group Set Organisation = '"&amp;E41&amp;"' where Group_ID = '"&amp;A41&amp;"'; "</f>
        <v xml:space="preserve">Update Collaborator_Group Set Organisation = 'University of Sydney' where Group_ID = 'CG00040'; </v>
      </c>
      <c r="S41" t="str">
        <f>"Update Collaborator_Group Set Group_Name = '"&amp;I41&amp;"' where Group_ID = '"&amp;A41&amp;"'; "</f>
        <v xml:space="preserve">Update Collaborator_Group Set Group_Name = 'GroundwaterP_USYD' where Group_ID = 'CG00040'; </v>
      </c>
      <c r="T41" t="str">
        <f>"Update dcollab.collab_group Set group_code = '"&amp;I41&amp;"' where Group_ID = '"&amp;B41&amp;"'; "</f>
        <v xml:space="preserve">Update dcollab.collab_group Set group_code = 'GroundwaterP_USYD' where Group_ID = 'CGRP00041'; </v>
      </c>
    </row>
    <row r="42" spans="1:20">
      <c r="A42" t="s">
        <v>4565</v>
      </c>
      <c r="B42" t="s">
        <v>8914</v>
      </c>
      <c r="D42" t="s">
        <v>4564</v>
      </c>
      <c r="E42" t="s">
        <v>8755</v>
      </c>
      <c r="F42">
        <f>LEN(I42)</f>
        <v>13</v>
      </c>
      <c r="G42" t="str">
        <f>VLOOKUP(E42,Organisation!$A$2:$C$499,3,FALSE)</f>
        <v>CORG00039</v>
      </c>
      <c r="H42" t="str">
        <f>VLOOKUP(G42,Organisation!$C$2:$E$318,3,FALSE)</f>
        <v>CSIRO</v>
      </c>
      <c r="I42" t="s">
        <v>5764</v>
      </c>
      <c r="J42">
        <f t="shared" si="0"/>
        <v>1</v>
      </c>
      <c r="L42" t="s">
        <v>4567</v>
      </c>
      <c r="M42" t="s">
        <v>4568</v>
      </c>
      <c r="N42" t="s">
        <v>14</v>
      </c>
      <c r="P42" t="s">
        <v>8866</v>
      </c>
      <c r="Q42" s="1">
        <v>1</v>
      </c>
      <c r="R42" t="str">
        <f>"Update Collaborator_Group Set Organisation = '"&amp;E42&amp;"' where Group_ID = '"&amp;A42&amp;"'; "</f>
        <v xml:space="preserve">Update Collaborator_Group Set Organisation = 'Commonwealth Scientific and Industrial Research' where Group_ID = 'CG00041'; </v>
      </c>
      <c r="S42" t="str">
        <f>"Update Collaborator_Group Set Group_Name = '"&amp;I42&amp;"' where Group_ID = '"&amp;A42&amp;"'; "</f>
        <v xml:space="preserve">Update Collaborator_Group Set Group_Name = 'SavageP_CSIRO' where Group_ID = 'CG00041'; </v>
      </c>
      <c r="T42" t="str">
        <f>"Update dcollab.collab_group Set group_code = '"&amp;I42&amp;"' where Group_ID = '"&amp;B42&amp;"'; "</f>
        <v xml:space="preserve">Update dcollab.collab_group Set group_code = 'SavageP_CSIRO' where Group_ID = 'CGRP00042'; </v>
      </c>
    </row>
    <row r="43" spans="1:20">
      <c r="A43" t="s">
        <v>477</v>
      </c>
      <c r="B43" t="s">
        <v>9101</v>
      </c>
      <c r="D43" t="s">
        <v>476</v>
      </c>
      <c r="E43" t="s">
        <v>480</v>
      </c>
      <c r="F43">
        <f>LEN(I43)</f>
        <v>17</v>
      </c>
      <c r="G43" t="str">
        <f>VLOOKUP(E43,Organisation!$A$2:$C$499,3,FALSE)</f>
        <v>CORG00196</v>
      </c>
      <c r="H43" t="str">
        <f>VLOOKUP(G43,Organisation!$C$2:$E$318,3,FALSE)</f>
        <v>UNTucuman</v>
      </c>
      <c r="I43" t="s">
        <v>5617</v>
      </c>
      <c r="J43">
        <f t="shared" si="0"/>
        <v>1</v>
      </c>
      <c r="N43" t="s">
        <v>481</v>
      </c>
      <c r="P43" t="s">
        <v>8866</v>
      </c>
      <c r="Q43" s="1">
        <v>1</v>
      </c>
      <c r="R43" t="str">
        <f>"Update Collaborator_Group Set Organisation = '"&amp;E43&amp;"' where Group_ID = '"&amp;A43&amp;"'; "</f>
        <v xml:space="preserve">Update Collaborator_Group Set Organisation = 'Universidad Nacional de Tucuman' where Group_ID = 'CG00042'; </v>
      </c>
      <c r="S43" t="str">
        <f>"Update Collaborator_Group Set Group_Name = '"&amp;I43&amp;"' where Group_ID = '"&amp;A43&amp;"'; "</f>
        <v xml:space="preserve">Update Collaborator_Group Set Group_Name = 'AredesP_UNTucuman' where Group_ID = 'CG00042'; </v>
      </c>
      <c r="T43" t="str">
        <f>"Update dcollab.collab_group Set group_code = '"&amp;I43&amp;"' where Group_ID = '"&amp;B43&amp;"'; "</f>
        <v xml:space="preserve">Update dcollab.collab_group Set group_code = 'AredesP_UNTucuman' where Group_ID = 'CGRP00043'; </v>
      </c>
    </row>
    <row r="44" spans="1:20">
      <c r="A44" t="s">
        <v>1566</v>
      </c>
      <c r="B44" t="s">
        <v>8907</v>
      </c>
      <c r="D44" t="s">
        <v>2694</v>
      </c>
      <c r="E44" t="s">
        <v>5769</v>
      </c>
      <c r="F44">
        <f>LEN(I44)</f>
        <v>14</v>
      </c>
      <c r="G44" t="str">
        <f>VLOOKUP(E44,Organisation!$A$2:$C$499,3,FALSE)</f>
        <v>CORG00030</v>
      </c>
      <c r="H44" t="str">
        <f>VLOOKUP(G44,Organisation!$C$2:$E$318,3,FALSE)</f>
        <v>CNRS</v>
      </c>
      <c r="I44" t="s">
        <v>5770</v>
      </c>
      <c r="J44">
        <f t="shared" si="0"/>
        <v>1</v>
      </c>
      <c r="N44" t="s">
        <v>704</v>
      </c>
      <c r="O44" t="s">
        <v>5768</v>
      </c>
      <c r="P44" t="s">
        <v>8867</v>
      </c>
      <c r="Q44" s="1">
        <v>1</v>
      </c>
      <c r="R44" t="str">
        <f>"Update Collaborator_Group Set Organisation = '"&amp;E44&amp;"' where Group_ID = '"&amp;A44&amp;"'; "</f>
        <v xml:space="preserve">Update Collaborator_Group Set Organisation = 'Centre national de la recherche scientifique' where Group_ID = 'CG00043'; </v>
      </c>
      <c r="S44" t="str">
        <f>"Update Collaborator_Group Set Group_Name = '"&amp;I44&amp;"' where Group_ID = '"&amp;A44&amp;"'; "</f>
        <v xml:space="preserve">Update Collaborator_Group Set Group_Name = 'JauffertP_CNRS' where Group_ID = 'CG00043'; </v>
      </c>
      <c r="T44" t="str">
        <f>"Update dcollab.collab_group Set group_code = '"&amp;I44&amp;"' where Group_ID = '"&amp;B44&amp;"'; "</f>
        <v xml:space="preserve">Update dcollab.collab_group Set group_code = 'JauffertP_CNRS' where Group_ID = 'CGRP00044'; </v>
      </c>
    </row>
    <row r="45" spans="1:20">
      <c r="A45" t="s">
        <v>4189</v>
      </c>
      <c r="B45" t="s">
        <v>8891</v>
      </c>
      <c r="D45" t="s">
        <v>4188</v>
      </c>
      <c r="E45" t="s">
        <v>4192</v>
      </c>
      <c r="F45">
        <f>LEN(I45)</f>
        <v>14</v>
      </c>
      <c r="G45" t="str">
        <f>VLOOKUP(E45,Organisation!$A$2:$C$499,3,FALSE)</f>
        <v>CORG00015</v>
      </c>
      <c r="H45" t="str">
        <f>VLOOKUP(G45,Organisation!$C$2:$E$318,3,FALSE)</f>
        <v>BangaloreU</v>
      </c>
      <c r="I45" t="s">
        <v>5782</v>
      </c>
      <c r="J45">
        <f t="shared" si="0"/>
        <v>1</v>
      </c>
      <c r="N45" t="s">
        <v>211</v>
      </c>
      <c r="P45" t="s">
        <v>8866</v>
      </c>
      <c r="Q45" s="1">
        <v>1</v>
      </c>
      <c r="R45" t="str">
        <f>"Update Collaborator_Group Set Organisation = '"&amp;E45&amp;"' where Group_ID = '"&amp;A45&amp;"'; "</f>
        <v xml:space="preserve">Update Collaborator_Group Set Organisation = 'Bangalore University' where Group_ID = 'CG00044'; </v>
      </c>
      <c r="S45" t="str">
        <f>"Update Collaborator_Group Set Group_Name = '"&amp;I45&amp;"' where Group_ID = '"&amp;A45&amp;"'; "</f>
        <v xml:space="preserve">Update Collaborator_Group Set Group_Name = 'PrC_BangaloreU' where Group_ID = 'CG00044'; </v>
      </c>
      <c r="T45" t="str">
        <f>"Update dcollab.collab_group Set group_code = '"&amp;I45&amp;"' where Group_ID = '"&amp;B45&amp;"'; "</f>
        <v xml:space="preserve">Update dcollab.collab_group Set group_code = 'PrC_BangaloreU' where Group_ID = 'CGRP00045'; </v>
      </c>
    </row>
    <row r="46" spans="1:20">
      <c r="A46" t="s">
        <v>1482</v>
      </c>
      <c r="B46" t="s">
        <v>8946</v>
      </c>
      <c r="D46" t="s">
        <v>1481</v>
      </c>
      <c r="E46" t="s">
        <v>1327</v>
      </c>
      <c r="F46">
        <f>LEN(I46)</f>
        <v>16</v>
      </c>
      <c r="G46" t="str">
        <f>VLOOKUP(E46,Organisation!$A$2:$C$499,3,FALSE)</f>
        <v>CORG00067</v>
      </c>
      <c r="H46" t="str">
        <f>VLOOKUP(G46,Organisation!$C$2:$E$318,3,FALSE)</f>
        <v>GriffithU</v>
      </c>
      <c r="I46" t="s">
        <v>10422</v>
      </c>
      <c r="J46">
        <f t="shared" si="0"/>
        <v>1</v>
      </c>
      <c r="L46" t="s">
        <v>1328</v>
      </c>
      <c r="M46" t="s">
        <v>1329</v>
      </c>
      <c r="N46" t="s">
        <v>14</v>
      </c>
      <c r="P46" t="s">
        <v>8866</v>
      </c>
      <c r="Q46" s="1">
        <v>1</v>
      </c>
      <c r="R46" t="str">
        <f>"Update Collaborator_Group Set Organisation = '"&amp;E46&amp;"' where Group_ID = '"&amp;A46&amp;"'; "</f>
        <v xml:space="preserve">Update Collaborator_Group Set Organisation = 'Griffith University' where Group_ID = 'CG00045'; </v>
      </c>
      <c r="S46" t="str">
        <f>"Update Collaborator_Group Set Group_Name = '"&amp;I46&amp;"' where Group_ID = '"&amp;A46&amp;"'; "</f>
        <v xml:space="preserve">Update Collaborator_Group Set Group_Name = 'DavisR_GriffithU' where Group_ID = 'CG00045'; </v>
      </c>
      <c r="T46" t="str">
        <f>"Update dcollab.collab_group Set group_code = '"&amp;I46&amp;"' where Group_ID = '"&amp;B46&amp;"'; "</f>
        <v xml:space="preserve">Update dcollab.collab_group Set group_code = 'DavisR_GriffithU' where Group_ID = 'CGRP00046'; </v>
      </c>
    </row>
    <row r="47" spans="1:20">
      <c r="A47" t="s">
        <v>4732</v>
      </c>
      <c r="B47" t="s">
        <v>8905</v>
      </c>
      <c r="D47" t="s">
        <v>4731</v>
      </c>
      <c r="E47" t="s">
        <v>4735</v>
      </c>
      <c r="F47">
        <f>LEN(I47)</f>
        <v>16</v>
      </c>
      <c r="G47" t="str">
        <f>VLOOKUP(E47,Organisation!$A$2:$C$499,3,FALSE)</f>
        <v>CORG00028</v>
      </c>
      <c r="H47" t="str">
        <f>VLOOKUP(G47,Organisation!$C$2:$E$318,3,FALSE)</f>
        <v>CardiffU</v>
      </c>
      <c r="I47" t="s">
        <v>5771</v>
      </c>
      <c r="J47">
        <f t="shared" si="0"/>
        <v>1</v>
      </c>
      <c r="L47" t="s">
        <v>4736</v>
      </c>
      <c r="N47" t="s">
        <v>269</v>
      </c>
      <c r="P47" t="s">
        <v>8866</v>
      </c>
      <c r="Q47" s="1">
        <v>1</v>
      </c>
      <c r="R47" t="str">
        <f>"Update Collaborator_Group Set Organisation = '"&amp;E47&amp;"' where Group_ID = '"&amp;A47&amp;"'; "</f>
        <v xml:space="preserve">Update Collaborator_Group Set Organisation = 'Cardiff University ' where Group_ID = 'CG00046'; </v>
      </c>
      <c r="S47" t="str">
        <f>"Update Collaborator_Group Set Group_Name = '"&amp;I47&amp;"' where Group_ID = '"&amp;A47&amp;"'; "</f>
        <v xml:space="preserve">Update Collaborator_Group Set Group_Name = 'SimonsC_CardiffU' where Group_ID = 'CG00046'; </v>
      </c>
      <c r="T47" t="str">
        <f>"Update dcollab.collab_group Set group_code = '"&amp;I47&amp;"' where Group_ID = '"&amp;B47&amp;"'; "</f>
        <v xml:space="preserve">Update dcollab.collab_group Set group_code = 'SimonsC_CardiffU' where Group_ID = 'CGRP00047'; </v>
      </c>
    </row>
    <row r="48" spans="1:20">
      <c r="A48" t="s">
        <v>1604</v>
      </c>
      <c r="B48" t="s">
        <v>9244</v>
      </c>
      <c r="D48" t="s">
        <v>4789</v>
      </c>
      <c r="E48" t="s">
        <v>1422</v>
      </c>
      <c r="F48">
        <f>LEN(I48)</f>
        <v>21</v>
      </c>
      <c r="G48" t="str">
        <f>VLOOKUP(E48,Organisation!$A$2:$C$499,3,FALSE)</f>
        <v>CORG00292</v>
      </c>
      <c r="H48" t="str">
        <f>VLOOKUP(G48,Organisation!$C$2:$E$318,3,FALSE)</f>
        <v>UWollongong</v>
      </c>
      <c r="I48" t="s">
        <v>10423</v>
      </c>
      <c r="J48">
        <f t="shared" si="0"/>
        <v>1</v>
      </c>
      <c r="L48" t="s">
        <v>170</v>
      </c>
      <c r="M48" t="s">
        <v>4792</v>
      </c>
      <c r="N48" t="s">
        <v>14</v>
      </c>
      <c r="P48" t="s">
        <v>8866</v>
      </c>
      <c r="Q48" s="1">
        <v>1</v>
      </c>
      <c r="R48" t="str">
        <f>"Update Collaborator_Group Set Organisation = '"&amp;E48&amp;"' where Group_ID = '"&amp;A48&amp;"'; "</f>
        <v xml:space="preserve">Update Collaborator_Group Set Organisation = 'University of Wollongong' where Group_ID = 'CG00047'; </v>
      </c>
      <c r="S48" t="str">
        <f>"Update Collaborator_Group Set Group_Name = '"&amp;I48&amp;"' where Group_ID = '"&amp;A48&amp;"'; "</f>
        <v xml:space="preserve">Update Collaborator_Group Set Group_Name = 'SkropetaD_UWollongong' where Group_ID = 'CG00047'; </v>
      </c>
      <c r="T48" t="str">
        <f>"Update dcollab.collab_group Set group_code = '"&amp;I48&amp;"' where Group_ID = '"&amp;B48&amp;"'; "</f>
        <v xml:space="preserve">Update dcollab.collab_group Set group_code = 'SkropetaD_UWollongong' where Group_ID = 'CGRP00048'; </v>
      </c>
    </row>
    <row r="49" spans="1:20">
      <c r="A49" t="s">
        <v>3372</v>
      </c>
      <c r="B49" t="s">
        <v>9242</v>
      </c>
      <c r="D49" t="s">
        <v>3371</v>
      </c>
      <c r="E49" t="s">
        <v>1422</v>
      </c>
      <c r="F49">
        <f>LEN(I49)</f>
        <v>17</v>
      </c>
      <c r="G49" t="str">
        <f>VLOOKUP(E49,Organisation!$A$2:$C$499,3,FALSE)</f>
        <v>CORG00292</v>
      </c>
      <c r="H49" t="str">
        <f>VLOOKUP(G49,Organisation!$C$2:$E$318,3,FALSE)</f>
        <v>UWollongong</v>
      </c>
      <c r="I49" t="s">
        <v>10542</v>
      </c>
      <c r="J49">
        <f t="shared" si="0"/>
        <v>1</v>
      </c>
      <c r="L49" t="s">
        <v>170</v>
      </c>
      <c r="M49" t="s">
        <v>2874</v>
      </c>
      <c r="N49" t="s">
        <v>14</v>
      </c>
      <c r="P49" t="s">
        <v>8866</v>
      </c>
      <c r="Q49" s="1">
        <v>1</v>
      </c>
      <c r="R49" t="str">
        <f>"Update Collaborator_Group Set Organisation = '"&amp;E49&amp;"' where Group_ID = '"&amp;A49&amp;"'; "</f>
        <v xml:space="preserve">Update Collaborator_Group Set Organisation = 'University of Wollongong' where Group_ID = 'CG00048'; </v>
      </c>
      <c r="S49" t="str">
        <f>"Update Collaborator_Group Set Group_Name = '"&amp;I49&amp;"' where Group_ID = '"&amp;A49&amp;"'; "</f>
        <v xml:space="preserve">Update Collaborator_Group Set Group_Name = 'PyneS_Uwollongong' where Group_ID = 'CG00048'; </v>
      </c>
      <c r="T49" t="str">
        <f>"Update dcollab.collab_group Set group_code = '"&amp;I49&amp;"' where Group_ID = '"&amp;B49&amp;"'; "</f>
        <v xml:space="preserve">Update dcollab.collab_group Set group_code = 'PyneS_Uwollongong' where Group_ID = 'CGRP00049'; </v>
      </c>
    </row>
    <row r="50" spans="1:20">
      <c r="A50" t="s">
        <v>5520</v>
      </c>
      <c r="B50" t="s">
        <v>10555</v>
      </c>
      <c r="D50" t="s">
        <v>5256</v>
      </c>
      <c r="E50" t="s">
        <v>1422</v>
      </c>
      <c r="F50">
        <f>LEN(I50)</f>
        <v>18</v>
      </c>
      <c r="G50" t="str">
        <f>VLOOKUP(E50,Organisation!$A$2:$C$499,3,FALSE)</f>
        <v>CORG00292</v>
      </c>
      <c r="H50" t="str">
        <f>VLOOKUP(G50,Organisation!$C$2:$E$318,3,FALSE)</f>
        <v>UWollongong</v>
      </c>
      <c r="I50" t="s">
        <v>10424</v>
      </c>
      <c r="J50">
        <f t="shared" si="0"/>
        <v>1</v>
      </c>
      <c r="L50" t="s">
        <v>170</v>
      </c>
      <c r="N50" t="s">
        <v>14</v>
      </c>
      <c r="P50" t="s">
        <v>8866</v>
      </c>
      <c r="Q50" s="1">
        <v>1</v>
      </c>
      <c r="R50" t="str">
        <f>"Update Collaborator_Group Set Organisation = '"&amp;E50&amp;"' where Group_ID = '"&amp;A50&amp;"'; "</f>
        <v xml:space="preserve">Update Collaborator_Group Set Organisation = 'University of Wollongong' where Group_ID = 'CG00049'; </v>
      </c>
      <c r="S50" t="str">
        <f>"Update Collaborator_Group Set Group_Name = '"&amp;I50&amp;"' where Group_ID = '"&amp;A50&amp;"'; "</f>
        <v xml:space="preserve">Update Collaborator_Group Set Group_Name = 'WalesS_UWollongong' where Group_ID = 'CG00049'; </v>
      </c>
      <c r="T50" t="str">
        <f>"Update dcollab.collab_group Set group_code = '"&amp;I50&amp;"' where Group_ID = '"&amp;B50&amp;"'; "</f>
        <v xml:space="preserve">Update dcollab.collab_group Set group_code = 'WalesS_UWollongong' where Group_ID = 'CGRP00050'; </v>
      </c>
    </row>
    <row r="51" spans="1:20">
      <c r="A51" t="s">
        <v>5194</v>
      </c>
      <c r="B51" t="s">
        <v>9019</v>
      </c>
      <c r="D51" t="s">
        <v>5193</v>
      </c>
      <c r="E51" t="s">
        <v>517</v>
      </c>
      <c r="F51">
        <f>LEN(I51)</f>
        <v>14</v>
      </c>
      <c r="G51" t="str">
        <f>VLOOKUP(E51,Organisation!$A$2:$C$499,3,FALSE)</f>
        <v>CORG00125</v>
      </c>
      <c r="H51" t="str">
        <f>VLOOKUP(G51,Organisation!$C$2:$E$318,3,FALSE)</f>
        <v>Monash</v>
      </c>
      <c r="I51" t="s">
        <v>5675</v>
      </c>
      <c r="J51">
        <f t="shared" si="0"/>
        <v>1</v>
      </c>
      <c r="L51" t="s">
        <v>5197</v>
      </c>
      <c r="N51" t="s">
        <v>14</v>
      </c>
      <c r="P51" t="s">
        <v>8866</v>
      </c>
      <c r="Q51" s="1">
        <v>1</v>
      </c>
      <c r="R51" t="str">
        <f>"Update Collaborator_Group Set Organisation = '"&amp;E51&amp;"' where Group_ID = '"&amp;A51&amp;"'; "</f>
        <v xml:space="preserve">Update Collaborator_Group Set Organisation = 'Monash University' where Group_ID = 'CG00050'; </v>
      </c>
      <c r="S51" t="str">
        <f>"Update Collaborator_Group Set Group_Name = '"&amp;I51&amp;"' where Group_ID = '"&amp;A51&amp;"'; "</f>
        <v xml:space="preserve">Update Collaborator_Group Set Group_Name = 'VelkovT_Monash' where Group_ID = 'CG00050'; </v>
      </c>
      <c r="T51" t="str">
        <f>"Update dcollab.collab_group Set group_code = '"&amp;I51&amp;"' where Group_ID = '"&amp;B51&amp;"'; "</f>
        <v xml:space="preserve">Update dcollab.collab_group Set group_code = 'VelkovT_Monash' where Group_ID = 'CGRP00051'; </v>
      </c>
    </row>
    <row r="52" spans="1:20">
      <c r="A52" t="s">
        <v>4643</v>
      </c>
      <c r="B52" t="s">
        <v>9068</v>
      </c>
      <c r="D52" t="s">
        <v>4642</v>
      </c>
      <c r="E52" t="s">
        <v>4646</v>
      </c>
      <c r="F52">
        <f>LEN(I52)</f>
        <v>19</v>
      </c>
      <c r="G52" t="str">
        <f>VLOOKUP(E52,Organisation!$A$2:$C$499,3,FALSE)</f>
        <v>CORG00165</v>
      </c>
      <c r="H52" t="str">
        <f>VLOOKUP(G52,Organisation!$C$2:$E$318,3,FALSE)</f>
        <v>RusAcadSci</v>
      </c>
      <c r="I52" t="s">
        <v>5643</v>
      </c>
      <c r="J52">
        <f t="shared" si="0"/>
        <v>1</v>
      </c>
      <c r="L52" t="s">
        <v>4647</v>
      </c>
      <c r="M52" t="s">
        <v>4648</v>
      </c>
      <c r="N52" t="s">
        <v>1600</v>
      </c>
      <c r="O52" t="s">
        <v>5642</v>
      </c>
      <c r="P52" t="s">
        <v>8866</v>
      </c>
      <c r="Q52" s="1">
        <v>1</v>
      </c>
      <c r="R52" t="str">
        <f>"Update Collaborator_Group Set Organisation = '"&amp;E52&amp;"' where Group_ID = '"&amp;A52&amp;"'; "</f>
        <v xml:space="preserve">Update Collaborator_Group Set Organisation = 'Russian Academy of Science' where Group_ID = 'CG00051'; </v>
      </c>
      <c r="S52" t="str">
        <f>"Update Collaborator_Group Set Group_Name = '"&amp;I52&amp;"' where Group_ID = '"&amp;A52&amp;"'; "</f>
        <v xml:space="preserve">Update Collaborator_Group Set Group_Name = 'SemenovV_RusAcadSci' where Group_ID = 'CG00051'; </v>
      </c>
      <c r="T52" t="str">
        <f>"Update dcollab.collab_group Set group_code = '"&amp;I52&amp;"' where Group_ID = '"&amp;B52&amp;"'; "</f>
        <v xml:space="preserve">Update dcollab.collab_group Set group_code = 'SemenovV_RusAcadSci' where Group_ID = 'CGRP00052'; </v>
      </c>
    </row>
    <row r="53" spans="1:20">
      <c r="A53" t="s">
        <v>2273</v>
      </c>
      <c r="B53" t="s">
        <v>9152</v>
      </c>
      <c r="D53" t="s">
        <v>3034</v>
      </c>
      <c r="E53" t="s">
        <v>2276</v>
      </c>
      <c r="F53">
        <f>LEN(I53)</f>
        <v>14</v>
      </c>
      <c r="G53" t="str">
        <f>VLOOKUP(E53,Organisation!$A$2:$C$499,3,FALSE)</f>
        <v>CORG00231</v>
      </c>
      <c r="H53" t="str">
        <f>VLOOKUP(G53,Organisation!$C$2:$E$318,3,FALSE)</f>
        <v>UGraz</v>
      </c>
      <c r="I53" t="s">
        <v>5584</v>
      </c>
      <c r="J53">
        <f t="shared" si="0"/>
        <v>1</v>
      </c>
      <c r="L53" t="s">
        <v>2277</v>
      </c>
      <c r="N53" t="s">
        <v>694</v>
      </c>
      <c r="P53" t="s">
        <v>8866</v>
      </c>
      <c r="Q53" s="1">
        <v>1</v>
      </c>
      <c r="R53" t="str">
        <f>"Update Collaborator_Group Set Organisation = '"&amp;E53&amp;"' where Group_ID = '"&amp;A53&amp;"'; "</f>
        <v xml:space="preserve">Update Collaborator_Group Set Organisation = 'University of Graz' where Group_ID = 'CG00052'; </v>
      </c>
      <c r="S53" t="str">
        <f>"Update Collaborator_Group Set Group_Name = '"&amp;I53&amp;"' where Group_ID = '"&amp;A53&amp;"'; "</f>
        <v xml:space="preserve">Update Collaborator_Group Set Group_Name = 'KroutilW_UGraz' where Group_ID = 'CG00052'; </v>
      </c>
      <c r="T53" t="str">
        <f>"Update dcollab.collab_group Set group_code = '"&amp;I53&amp;"' where Group_ID = '"&amp;B53&amp;"'; "</f>
        <v xml:space="preserve">Update dcollab.collab_group Set group_code = 'KroutilW_UGraz' where Group_ID = 'CGRP00053'; </v>
      </c>
    </row>
    <row r="54" spans="1:20">
      <c r="A54" t="s">
        <v>5379</v>
      </c>
      <c r="B54" t="s">
        <v>8995</v>
      </c>
      <c r="D54" t="s">
        <v>5378</v>
      </c>
      <c r="E54" t="s">
        <v>1114</v>
      </c>
      <c r="F54">
        <f>LEN(I54)</f>
        <v>15</v>
      </c>
      <c r="G54" t="str">
        <f>VLOOKUP(E54,Organisation!$A$2:$C$499,3,FALSE)</f>
        <v>CORG00106</v>
      </c>
      <c r="H54" t="str">
        <f>VLOOKUP(G54,Organisation!$C$2:$E$318,3,FALSE)</f>
        <v>MacquarieU</v>
      </c>
      <c r="I54" t="s">
        <v>5701</v>
      </c>
      <c r="J54">
        <f t="shared" si="0"/>
        <v>1</v>
      </c>
      <c r="L54" t="s">
        <v>5700</v>
      </c>
      <c r="N54" t="s">
        <v>14</v>
      </c>
      <c r="P54" t="s">
        <v>8866</v>
      </c>
      <c r="Q54" s="1">
        <v>1</v>
      </c>
      <c r="R54" t="str">
        <f>"Update Collaborator_Group Set Organisation = '"&amp;E54&amp;"' where Group_ID = '"&amp;A54&amp;"'; "</f>
        <v xml:space="preserve">Update Collaborator_Group Set Organisation = 'Macquarie University' where Group_ID = 'CG00053'; </v>
      </c>
      <c r="S54" t="str">
        <f>"Update Collaborator_Group Set Group_Name = '"&amp;I54&amp;"' where Group_ID = '"&amp;A54&amp;"'; "</f>
        <v xml:space="preserve">Update Collaborator_Group Set Group_Name = 'YinP_MacquarieU' where Group_ID = 'CG00053'; </v>
      </c>
      <c r="T54" t="str">
        <f>"Update dcollab.collab_group Set group_code = '"&amp;I54&amp;"' where Group_ID = '"&amp;B54&amp;"'; "</f>
        <v xml:space="preserve">Update dcollab.collab_group Set group_code = 'YinP_MacquarieU' where Group_ID = 'CGRP00054'; </v>
      </c>
    </row>
    <row r="55" spans="1:20">
      <c r="A55" t="s">
        <v>1179</v>
      </c>
      <c r="B55" t="s">
        <v>9143</v>
      </c>
      <c r="D55" t="s">
        <v>1178</v>
      </c>
      <c r="E55" t="s">
        <v>1182</v>
      </c>
      <c r="F55">
        <f>LEN(I55)</f>
        <v>18</v>
      </c>
      <c r="G55" t="str">
        <f>VLOOKUP(E55,Organisation!$A$2:$C$499,3,FALSE)</f>
        <v>CORG00224</v>
      </c>
      <c r="H55" t="str">
        <f>VLOOKUP(G55,Organisation!$C$2:$E$318,3,FALSE)</f>
        <v>UCapetown</v>
      </c>
      <c r="I55" t="s">
        <v>5590</v>
      </c>
      <c r="J55">
        <f t="shared" si="0"/>
        <v>1</v>
      </c>
      <c r="N55" t="s">
        <v>609</v>
      </c>
      <c r="P55" t="s">
        <v>8866</v>
      </c>
      <c r="Q55" s="1">
        <v>1</v>
      </c>
      <c r="R55" t="str">
        <f>"Update Collaborator_Group Set Organisation = '"&amp;E55&amp;"' where Group_ID = '"&amp;A55&amp;"'; "</f>
        <v xml:space="preserve">Update Collaborator_Group Set Organisation = 'University of Capetown' where Group_ID = 'CG00054'; </v>
      </c>
      <c r="S55" t="str">
        <f>"Update Collaborator_Group Set Group_Name = '"&amp;I55&amp;"' where Group_ID = '"&amp;A55&amp;"'; "</f>
        <v xml:space="preserve">Update Collaborator_Group Set Group_Name = 'ChibaleK_UCapetown' where Group_ID = 'CG00054'; </v>
      </c>
      <c r="T55" t="str">
        <f>"Update dcollab.collab_group Set group_code = '"&amp;I55&amp;"' where Group_ID = '"&amp;B55&amp;"'; "</f>
        <v xml:space="preserve">Update dcollab.collab_group Set group_code = 'ChibaleK_UCapetown' where Group_ID = 'CGRP00055'; </v>
      </c>
    </row>
    <row r="56" spans="1:20">
      <c r="A56" t="s">
        <v>3117</v>
      </c>
      <c r="B56" t="s">
        <v>9261</v>
      </c>
      <c r="D56" t="s">
        <v>3116</v>
      </c>
      <c r="E56" t="s">
        <v>8744</v>
      </c>
      <c r="F56">
        <f>LEN(I56)</f>
        <v>14</v>
      </c>
      <c r="G56" t="str">
        <f>VLOOKUP(E56,Organisation!$A$2:$C$499,3,FALSE)</f>
        <v>CORG00304</v>
      </c>
      <c r="H56" t="str">
        <f>VLOOKUP(G56,Organisation!$C$2:$E$318,3,FALSE)</f>
        <v>WEHI</v>
      </c>
      <c r="I56" t="s">
        <v>10425</v>
      </c>
      <c r="J56">
        <f t="shared" si="0"/>
        <v>1</v>
      </c>
      <c r="L56" t="s">
        <v>5499</v>
      </c>
      <c r="N56" t="s">
        <v>14</v>
      </c>
      <c r="P56" t="s">
        <v>8866</v>
      </c>
      <c r="Q56" s="1">
        <v>1</v>
      </c>
      <c r="R56" t="str">
        <f>"Update Collaborator_Group Set Organisation = '"&amp;E56&amp;"' where Group_ID = '"&amp;A56&amp;"'; "</f>
        <v xml:space="preserve">Update Collaborator_Group Set Organisation = 'Walter and Eliza Hall Institute of Medical Research' where Group_ID = 'CG00055'; </v>
      </c>
      <c r="S56" t="str">
        <f>"Update Collaborator_Group Set Group_Name = '"&amp;I56&amp;"' where Group_ID = '"&amp;A56&amp;"'; "</f>
        <v xml:space="preserve">Update Collaborator_Group Set Group_Name = 'LackovicK_WEHI' where Group_ID = 'CG00055'; </v>
      </c>
      <c r="T56" t="str">
        <f>"Update dcollab.collab_group Set group_code = '"&amp;I56&amp;"' where Group_ID = '"&amp;B56&amp;"'; "</f>
        <v xml:space="preserve">Update dcollab.collab_group Set group_code = 'LackovicK_WEHI' where Group_ID = 'CGRP00056'; </v>
      </c>
    </row>
    <row r="57" spans="1:20">
      <c r="A57" t="s">
        <v>1617</v>
      </c>
      <c r="B57" t="s">
        <v>9243</v>
      </c>
      <c r="D57" t="s">
        <v>1616</v>
      </c>
      <c r="E57" t="s">
        <v>1422</v>
      </c>
      <c r="F57">
        <f>LEN(I57)</f>
        <v>18</v>
      </c>
      <c r="G57" t="str">
        <f>VLOOKUP(E57,Organisation!$A$2:$C$499,3,FALSE)</f>
        <v>CORG00292</v>
      </c>
      <c r="H57" t="str">
        <f>VLOOKUP(G57,Organisation!$C$2:$E$318,3,FALSE)</f>
        <v>UWollongong</v>
      </c>
      <c r="I57" t="s">
        <v>10426</v>
      </c>
      <c r="J57">
        <f t="shared" si="0"/>
        <v>1</v>
      </c>
      <c r="L57" t="s">
        <v>170</v>
      </c>
      <c r="N57" t="s">
        <v>14</v>
      </c>
      <c r="P57" t="s">
        <v>8866</v>
      </c>
      <c r="Q57" s="1">
        <v>1</v>
      </c>
      <c r="R57" t="str">
        <f>"Update Collaborator_Group Set Organisation = '"&amp;E57&amp;"' where Group_ID = '"&amp;A57&amp;"'; "</f>
        <v xml:space="preserve">Update Collaborator_Group Set Organisation = 'University of Wollongong' where Group_ID = 'CG00056'; </v>
      </c>
      <c r="S57" t="str">
        <f>"Update Collaborator_Group Set Group_Name = '"&amp;I57&amp;"' where Group_ID = '"&amp;A57&amp;"'; "</f>
        <v xml:space="preserve">Update Collaborator_Group Set Group_Name = 'DollaN_UWollongong' where Group_ID = 'CG00056'; </v>
      </c>
      <c r="T57" t="str">
        <f>"Update dcollab.collab_group Set group_code = '"&amp;I57&amp;"' where Group_ID = '"&amp;B57&amp;"'; "</f>
        <v xml:space="preserve">Update dcollab.collab_group Set group_code = 'DollaN_UWollongong' where Group_ID = 'CGRP00057'; </v>
      </c>
    </row>
    <row r="58" spans="1:20">
      <c r="A58" t="s">
        <v>5302</v>
      </c>
      <c r="B58" t="s">
        <v>9157</v>
      </c>
      <c r="D58" t="s">
        <v>5301</v>
      </c>
      <c r="E58" t="s">
        <v>1080</v>
      </c>
      <c r="F58">
        <f>LEN(I58)</f>
        <v>15</v>
      </c>
      <c r="G58" t="str">
        <f>VLOOKUP(E58,Organisation!$A$2:$C$499,3,FALSE)</f>
        <v>CORG00237</v>
      </c>
      <c r="H58" t="str">
        <f>VLOOKUP(G58,Organisation!$C$2:$E$318,3,FALSE)</f>
        <v>ULeeds</v>
      </c>
      <c r="I58" t="s">
        <v>5580</v>
      </c>
      <c r="J58">
        <f t="shared" si="0"/>
        <v>1</v>
      </c>
      <c r="L58" t="s">
        <v>170</v>
      </c>
      <c r="N58" t="s">
        <v>269</v>
      </c>
      <c r="P58" t="s">
        <v>8866</v>
      </c>
      <c r="Q58" s="1">
        <v>1</v>
      </c>
      <c r="R58" t="str">
        <f>"Update Collaborator_Group Set Organisation = '"&amp;E58&amp;"' where Group_ID = '"&amp;A58&amp;"'; "</f>
        <v xml:space="preserve">Update Collaborator_Group Set Organisation = 'University of Leeds' where Group_ID = 'CG00057'; </v>
      </c>
      <c r="S58" t="str">
        <f>"Update Collaborator_Group Set Group_Name = '"&amp;I58&amp;"' where Group_ID = '"&amp;A58&amp;"'; "</f>
        <v xml:space="preserve">Update Collaborator_Group Set Group_Name = 'WillansC_ULeeds' where Group_ID = 'CG00057'; </v>
      </c>
      <c r="T58" t="str">
        <f>"Update dcollab.collab_group Set group_code = '"&amp;I58&amp;"' where Group_ID = '"&amp;B58&amp;"'; "</f>
        <v xml:space="preserve">Update dcollab.collab_group Set group_code = 'WillansC_ULeeds' where Group_ID = 'CGRP00058'; </v>
      </c>
    </row>
    <row r="59" spans="1:20">
      <c r="A59" t="s">
        <v>2555</v>
      </c>
      <c r="B59" t="s">
        <v>8948</v>
      </c>
      <c r="D59" t="s">
        <v>2554</v>
      </c>
      <c r="E59" t="s">
        <v>1327</v>
      </c>
      <c r="F59">
        <f>LEN(I59)</f>
        <v>18</v>
      </c>
      <c r="G59" t="str">
        <f>VLOOKUP(E59,Organisation!$A$2:$C$499,3,FALSE)</f>
        <v>CORG00067</v>
      </c>
      <c r="H59" t="str">
        <f>VLOOKUP(G59,Organisation!$C$2:$E$318,3,FALSE)</f>
        <v>GriffithU</v>
      </c>
      <c r="I59" t="s">
        <v>10427</v>
      </c>
      <c r="J59">
        <f t="shared" si="0"/>
        <v>1</v>
      </c>
      <c r="L59" t="s">
        <v>2556</v>
      </c>
      <c r="N59" t="s">
        <v>14</v>
      </c>
      <c r="P59" t="s">
        <v>8866</v>
      </c>
      <c r="Q59" s="1">
        <v>1</v>
      </c>
      <c r="R59" t="str">
        <f>"Update Collaborator_Group Set Organisation = '"&amp;E59&amp;"' where Group_ID = '"&amp;A59&amp;"'; "</f>
        <v xml:space="preserve">Update Collaborator_Group Set Organisation = 'Griffith University' where Group_ID = 'CG00058'; </v>
      </c>
      <c r="S59" t="str">
        <f>"Update Collaborator_Group Set Group_Name = '"&amp;I59&amp;"' where Group_ID = '"&amp;A59&amp;"'; "</f>
        <v xml:space="preserve">Update Collaborator_Group Set Group_Name = 'HoustonT_GriffithU' where Group_ID = 'CG00058'; </v>
      </c>
      <c r="T59" t="str">
        <f>"Update dcollab.collab_group Set group_code = '"&amp;I59&amp;"' where Group_ID = '"&amp;B59&amp;"'; "</f>
        <v xml:space="preserve">Update dcollab.collab_group Set group_code = 'HoustonT_GriffithU' where Group_ID = 'CGRP00059'; </v>
      </c>
    </row>
    <row r="60" spans="1:20">
      <c r="A60" t="s">
        <v>3444</v>
      </c>
      <c r="B60" t="s">
        <v>9104</v>
      </c>
      <c r="D60" t="s">
        <v>3443</v>
      </c>
      <c r="E60" t="s">
        <v>3447</v>
      </c>
      <c r="F60">
        <f>LEN(I60)</f>
        <v>19</v>
      </c>
      <c r="G60" t="str">
        <f>VLOOKUP(E60,Organisation!$A$2:$C$499,3,FALSE)</f>
        <v>CORG00199</v>
      </c>
      <c r="H60" t="str">
        <f>VLOOKUP(G60,Organisation!$C$2:$E$318,3,FALSE)</f>
        <v>Uurbino</v>
      </c>
      <c r="I60" t="s">
        <v>10428</v>
      </c>
      <c r="J60">
        <f t="shared" si="0"/>
        <v>1</v>
      </c>
      <c r="L60" t="s">
        <v>3448</v>
      </c>
      <c r="N60" t="s">
        <v>355</v>
      </c>
      <c r="P60" t="s">
        <v>8866</v>
      </c>
      <c r="Q60" s="1">
        <v>1</v>
      </c>
      <c r="R60" t="str">
        <f>"Update Collaborator_Group Set Organisation = '"&amp;E60&amp;"' where Group_ID = '"&amp;A60&amp;"'; "</f>
        <v xml:space="preserve">Update Collaborator_Group Set Organisation = 'Universita degli Studi di Urbino Carlo Bo' where Group_ID = 'CG00059'; </v>
      </c>
      <c r="S60" t="str">
        <f>"Update Collaborator_Group Set Group_Name = '"&amp;I60&amp;"' where Group_ID = '"&amp;A60&amp;"'; "</f>
        <v xml:space="preserve">Update Collaborator_Group Set Group_Name = 'MantelliniF_Uurbino' where Group_ID = 'CG00059'; </v>
      </c>
      <c r="T60" t="str">
        <f>"Update dcollab.collab_group Set group_code = '"&amp;I60&amp;"' where Group_ID = '"&amp;B60&amp;"'; "</f>
        <v xml:space="preserve">Update dcollab.collab_group Set group_code = 'MantelliniF_Uurbino' where Group_ID = 'CGRP00060'; </v>
      </c>
    </row>
    <row r="61" spans="1:20">
      <c r="A61" t="s">
        <v>2715</v>
      </c>
      <c r="B61" t="s">
        <v>8947</v>
      </c>
      <c r="D61" t="s">
        <v>5442</v>
      </c>
      <c r="E61" t="s">
        <v>1327</v>
      </c>
      <c r="F61">
        <f>LEN(I61)</f>
        <v>15</v>
      </c>
      <c r="G61" t="str">
        <f>VLOOKUP(E61,Organisation!$A$2:$C$499,3,FALSE)</f>
        <v>CORG00067</v>
      </c>
      <c r="H61" t="str">
        <f>VLOOKUP(G61,Organisation!$C$2:$E$318,3,FALSE)</f>
        <v>GriffithU</v>
      </c>
      <c r="I61" t="s">
        <v>10429</v>
      </c>
      <c r="J61">
        <f t="shared" si="0"/>
        <v>1</v>
      </c>
      <c r="L61" t="s">
        <v>2556</v>
      </c>
      <c r="N61" t="s">
        <v>14</v>
      </c>
      <c r="P61" t="s">
        <v>8866</v>
      </c>
      <c r="Q61" s="1">
        <v>1</v>
      </c>
      <c r="R61" t="str">
        <f>"Update Collaborator_Group Set Organisation = '"&amp;E61&amp;"' where Group_ID = '"&amp;A61&amp;"'; "</f>
        <v xml:space="preserve">Update Collaborator_Group Set Organisation = 'Griffith University' where Group_ID = 'CG00060'; </v>
      </c>
      <c r="S61" t="str">
        <f>"Update Collaborator_Group Set Group_Name = '"&amp;I61&amp;"' where Group_ID = '"&amp;A61&amp;"'; "</f>
        <v xml:space="preserve">Update Collaborator_Group Set Group_Name = 'ZhouY_GriffithU' where Group_ID = 'CG00060'; </v>
      </c>
      <c r="T61" t="str">
        <f>"Update dcollab.collab_group Set group_code = '"&amp;I61&amp;"' where Group_ID = '"&amp;B61&amp;"'; "</f>
        <v xml:space="preserve">Update dcollab.collab_group Set group_code = 'ZhouY_GriffithU' where Group_ID = 'CGRP00061'; </v>
      </c>
    </row>
    <row r="62" spans="1:20">
      <c r="A62" t="s">
        <v>4902</v>
      </c>
      <c r="B62" t="s">
        <v>9169</v>
      </c>
      <c r="D62" t="s">
        <v>4901</v>
      </c>
      <c r="E62" t="s">
        <v>4905</v>
      </c>
      <c r="F62">
        <f>LEN(I62)</f>
        <v>17</v>
      </c>
      <c r="G62" t="str">
        <f>VLOOKUP(E62,Organisation!$A$2:$C$499,3,FALSE)</f>
        <v>CORG00247</v>
      </c>
      <c r="H62" t="str">
        <f>VLOOKUP(G62,Organisation!$C$2:$E$318,3,FALSE)</f>
        <v>UMontana</v>
      </c>
      <c r="I62" t="s">
        <v>5571</v>
      </c>
      <c r="J62">
        <f t="shared" si="0"/>
        <v>1</v>
      </c>
      <c r="L62" t="s">
        <v>4906</v>
      </c>
      <c r="N62" t="s">
        <v>8808</v>
      </c>
      <c r="P62" t="s">
        <v>8866</v>
      </c>
      <c r="Q62" s="1">
        <v>1</v>
      </c>
      <c r="R62" t="str">
        <f>"Update Collaborator_Group Set Organisation = '"&amp;E62&amp;"' where Group_ID = '"&amp;A62&amp;"'; "</f>
        <v xml:space="preserve">Update Collaborator_Group Set Organisation = 'University of Montana' where Group_ID = 'CG00061'; </v>
      </c>
      <c r="S62" t="str">
        <f>"Update Collaborator_Group Set Group_Name = '"&amp;I62&amp;"' where Group_ID = '"&amp;A62&amp;"'; "</f>
        <v xml:space="preserve">Update Collaborator_Group Set Group_Name = 'StierleA_UMontana' where Group_ID = 'CG00061'; </v>
      </c>
      <c r="T62" t="str">
        <f>"Update dcollab.collab_group Set group_code = '"&amp;I62&amp;"' where Group_ID = '"&amp;B62&amp;"'; "</f>
        <v xml:space="preserve">Update dcollab.collab_group Set group_code = 'StierleA_UMontana' where Group_ID = 'CGRP00062'; </v>
      </c>
    </row>
    <row r="63" spans="1:20">
      <c r="A63" t="s">
        <v>4852</v>
      </c>
      <c r="B63" t="s">
        <v>9130</v>
      </c>
      <c r="D63" t="s">
        <v>4851</v>
      </c>
      <c r="E63" t="s">
        <v>596</v>
      </c>
      <c r="F63">
        <f>LEN(I63)</f>
        <v>17</v>
      </c>
      <c r="G63" t="str">
        <f>VLOOKUP(E63,Organisation!$A$2:$C$499,3,FALSE)</f>
        <v>CORG00216</v>
      </c>
      <c r="H63" t="str">
        <f>VLOOKUP(G63,Organisation!$C$2:$E$318,3,FALSE)</f>
        <v>UAuckland</v>
      </c>
      <c r="I63" t="s">
        <v>5599</v>
      </c>
      <c r="J63">
        <f t="shared" si="0"/>
        <v>1</v>
      </c>
      <c r="L63" t="s">
        <v>597</v>
      </c>
      <c r="N63" t="s">
        <v>223</v>
      </c>
      <c r="P63" t="s">
        <v>8866</v>
      </c>
      <c r="Q63" s="1">
        <v>1</v>
      </c>
      <c r="R63" t="str">
        <f>"Update Collaborator_Group Set Organisation = '"&amp;E63&amp;"' where Group_ID = '"&amp;A63&amp;"'; "</f>
        <v xml:space="preserve">Update Collaborator_Group Set Organisation = 'University of Auckland' where Group_ID = 'CG00062'; </v>
      </c>
      <c r="S63" t="str">
        <f>"Update Collaborator_Group Set Group_Name = '"&amp;I63&amp;"' where Group_ID = '"&amp;A63&amp;"'; "</f>
        <v xml:space="preserve">Update Collaborator_Group Set Group_Name = 'SperryJ_UAuckland' where Group_ID = 'CG00062'; </v>
      </c>
      <c r="T63" t="str">
        <f>"Update dcollab.collab_group Set group_code = '"&amp;I63&amp;"' where Group_ID = '"&amp;B63&amp;"'; "</f>
        <v xml:space="preserve">Update dcollab.collab_group Set group_code = 'SperryJ_UAuckland' where Group_ID = 'CGRP00063'; </v>
      </c>
    </row>
    <row r="64" spans="1:20">
      <c r="A64" t="s">
        <v>3121</v>
      </c>
      <c r="B64" t="s">
        <v>9184</v>
      </c>
      <c r="D64" t="s">
        <v>3120</v>
      </c>
      <c r="E64" t="s">
        <v>3123</v>
      </c>
      <c r="F64">
        <f>LEN(I64)</f>
        <v>16</v>
      </c>
      <c r="G64" t="str">
        <f>VLOOKUP(E64,Organisation!$A$2:$C$499,3,FALSE)</f>
        <v>CORG00259</v>
      </c>
      <c r="H64" t="str">
        <f>VLOOKUP(G64,Organisation!$C$2:$E$318,3,FALSE)</f>
        <v>UNottingham</v>
      </c>
      <c r="I64" t="s">
        <v>5560</v>
      </c>
      <c r="J64">
        <f t="shared" si="0"/>
        <v>1</v>
      </c>
      <c r="L64" t="s">
        <v>170</v>
      </c>
      <c r="M64" t="s">
        <v>3124</v>
      </c>
      <c r="N64" t="s">
        <v>269</v>
      </c>
      <c r="O64" t="s">
        <v>5559</v>
      </c>
      <c r="P64" t="s">
        <v>8867</v>
      </c>
      <c r="Q64" s="1">
        <v>1</v>
      </c>
      <c r="R64" t="str">
        <f>"Update Collaborator_Group Set Organisation = '"&amp;E64&amp;"' where Group_ID = '"&amp;A64&amp;"'; "</f>
        <v xml:space="preserve">Update Collaborator_Group Set Organisation = 'University of Nottingham' where Group_ID = 'CG00063'; </v>
      </c>
      <c r="S64" t="str">
        <f>"Update Collaborator_Group Set Group_Name = '"&amp;I64&amp;"' where Group_ID = '"&amp;A64&amp;"'; "</f>
        <v xml:space="preserve">Update Collaborator_Group Set Group_Name = 'LamH_UNottingham' where Group_ID = 'CG00063'; </v>
      </c>
      <c r="T64" t="str">
        <f>"Update dcollab.collab_group Set group_code = '"&amp;I64&amp;"' where Group_ID = '"&amp;B64&amp;"'; "</f>
        <v xml:space="preserve">Update dcollab.collab_group Set group_code = 'LamH_UNottingham' where Group_ID = 'CGRP00064'; </v>
      </c>
    </row>
    <row r="65" spans="1:20">
      <c r="A65" t="s">
        <v>3671</v>
      </c>
      <c r="B65" t="s">
        <v>9185</v>
      </c>
      <c r="D65" t="s">
        <v>3670</v>
      </c>
      <c r="E65" t="s">
        <v>3123</v>
      </c>
      <c r="F65">
        <f>LEN(I65)</f>
        <v>18</v>
      </c>
      <c r="G65" t="str">
        <f>VLOOKUP(E65,Organisation!$A$2:$C$499,3,FALSE)</f>
        <v>CORG00259</v>
      </c>
      <c r="H65" t="str">
        <f>VLOOKUP(G65,Organisation!$C$2:$E$318,3,FALSE)</f>
        <v>UNottingham</v>
      </c>
      <c r="I65" t="s">
        <v>5561</v>
      </c>
      <c r="J65">
        <f t="shared" si="0"/>
        <v>1</v>
      </c>
      <c r="L65" t="s">
        <v>170</v>
      </c>
      <c r="M65" t="s">
        <v>3675</v>
      </c>
      <c r="N65" t="s">
        <v>269</v>
      </c>
      <c r="O65" t="s">
        <v>5559</v>
      </c>
      <c r="P65" t="s">
        <v>8867</v>
      </c>
      <c r="Q65" s="1">
        <v>1</v>
      </c>
      <c r="R65" t="str">
        <f>"Update Collaborator_Group Set Organisation = '"&amp;E65&amp;"' where Group_ID = '"&amp;A65&amp;"'; "</f>
        <v xml:space="preserve">Update Collaborator_Group Set Organisation = 'University of Nottingham' where Group_ID = 'CG00064'; </v>
      </c>
      <c r="S65" t="str">
        <f>"Update Collaborator_Group Set Group_Name = '"&amp;I65&amp;"' where Group_ID = '"&amp;A65&amp;"'; "</f>
        <v xml:space="preserve">Update Collaborator_Group Set Group_Name = 'MoodyC_UNottingham' where Group_ID = 'CG00064'; </v>
      </c>
      <c r="T65" t="str">
        <f>"Update dcollab.collab_group Set group_code = '"&amp;I65&amp;"' where Group_ID = '"&amp;B65&amp;"'; "</f>
        <v xml:space="preserve">Update dcollab.collab_group Set group_code = 'MoodyC_UNottingham' where Group_ID = 'CGRP00065'; </v>
      </c>
    </row>
    <row r="66" spans="1:20">
      <c r="A66" t="s">
        <v>4314</v>
      </c>
      <c r="B66" t="s">
        <v>9217</v>
      </c>
      <c r="D66" t="s">
        <v>4313</v>
      </c>
      <c r="E66" t="s">
        <v>389</v>
      </c>
      <c r="F66">
        <f>LEN(I66)</f>
        <v>13</v>
      </c>
      <c r="G66" t="str">
        <f>VLOOKUP(E66,Organisation!$A$2:$C$499,3,FALSE)</f>
        <v>CORG00271</v>
      </c>
      <c r="H66" t="str">
        <f>VLOOKUP(G66,Organisation!$C$2:$E$318,3,FALSE)</f>
        <v>USYD</v>
      </c>
      <c r="I66" t="s">
        <v>10430</v>
      </c>
      <c r="J66">
        <f t="shared" si="0"/>
        <v>1</v>
      </c>
      <c r="L66" t="s">
        <v>170</v>
      </c>
      <c r="M66" t="s">
        <v>4316</v>
      </c>
      <c r="N66" t="s">
        <v>14</v>
      </c>
      <c r="P66" t="s">
        <v>8866</v>
      </c>
      <c r="Q66" s="1">
        <v>1</v>
      </c>
      <c r="R66" t="str">
        <f>"Update Collaborator_Group Set Organisation = '"&amp;E66&amp;"' where Group_ID = '"&amp;A66&amp;"'; "</f>
        <v xml:space="preserve">Update Collaborator_Group Set Organisation = 'University of Sydney' where Group_ID = 'CG00065'; </v>
      </c>
      <c r="S66" t="str">
        <f>"Update Collaborator_Group Set Group_Name = '"&amp;I66&amp;"' where Group_ID = '"&amp;A66&amp;"'; "</f>
        <v xml:space="preserve">Update Collaborator_Group Set Group_Name = 'RenfrewA_USYD' where Group_ID = 'CG00065'; </v>
      </c>
      <c r="T66" t="str">
        <f>"Update dcollab.collab_group Set group_code = '"&amp;I66&amp;"' where Group_ID = '"&amp;B66&amp;"'; "</f>
        <v xml:space="preserve">Update dcollab.collab_group Set group_code = 'RenfrewA_USYD' where Group_ID = 'CGRP00066'; </v>
      </c>
    </row>
    <row r="67" spans="1:20">
      <c r="A67" t="s">
        <v>2251</v>
      </c>
      <c r="B67" t="s">
        <v>9162</v>
      </c>
      <c r="D67" t="s">
        <v>2250</v>
      </c>
      <c r="E67" t="s">
        <v>2253</v>
      </c>
      <c r="F67">
        <f>LEN(I67)</f>
        <v>20</v>
      </c>
      <c r="G67" t="str">
        <f>VLOOKUP(E67,Organisation!$A$2:$C$499,3,FALSE)</f>
        <v>CORG00241</v>
      </c>
      <c r="H67" t="str">
        <f>VLOOKUP(G67,Organisation!$C$2:$E$318,3,FALSE)</f>
        <v>UManchester</v>
      </c>
      <c r="I67" t="s">
        <v>5577</v>
      </c>
      <c r="J67">
        <f t="shared" ref="J67:J130" si="1">COUNTIF($I$2:$I$416,I67)</f>
        <v>1</v>
      </c>
      <c r="L67" t="s">
        <v>170</v>
      </c>
      <c r="M67" t="s">
        <v>2254</v>
      </c>
      <c r="N67" t="s">
        <v>269</v>
      </c>
      <c r="P67" t="s">
        <v>8866</v>
      </c>
      <c r="Q67" s="1">
        <v>1</v>
      </c>
      <c r="R67" t="str">
        <f>"Update Collaborator_Group Set Organisation = '"&amp;E67&amp;"' where Group_ID = '"&amp;A67&amp;"'; "</f>
        <v xml:space="preserve">Update Collaborator_Group Set Organisation = 'University of Manchester' where Group_ID = 'CG00066'; </v>
      </c>
      <c r="S67" t="str">
        <f>"Update Collaborator_Group Set Group_Name = '"&amp;I67&amp;"' where Group_ID = '"&amp;A67&amp;"'; "</f>
        <v xml:space="preserve">Update Collaborator_Group Set Group_Name = 'GreaneyM_UManchester' where Group_ID = 'CG00066'; </v>
      </c>
      <c r="T67" t="str">
        <f>"Update dcollab.collab_group Set group_code = '"&amp;I67&amp;"' where Group_ID = '"&amp;B67&amp;"'; "</f>
        <v xml:space="preserve">Update dcollab.collab_group Set group_code = 'GreaneyM_UManchester' where Group_ID = 'CGRP00067'; </v>
      </c>
    </row>
    <row r="68" spans="1:20">
      <c r="A68" t="s">
        <v>1887</v>
      </c>
      <c r="B68" t="s">
        <v>8984</v>
      </c>
      <c r="D68" t="s">
        <v>2440</v>
      </c>
      <c r="E68" t="s">
        <v>1890</v>
      </c>
      <c r="F68">
        <f>LEN(I68)</f>
        <v>20</v>
      </c>
      <c r="G68" t="str">
        <f>VLOOKUP(E68,Organisation!$A$2:$C$499,3,FALSE)</f>
        <v>CORG00096</v>
      </c>
      <c r="H68" t="str">
        <f>VLOOKUP(G68,Organisation!$C$2:$E$318,3,FALSE)</f>
        <v>Karolinska</v>
      </c>
      <c r="I68" t="s">
        <v>5710</v>
      </c>
      <c r="J68">
        <f t="shared" si="1"/>
        <v>1</v>
      </c>
      <c r="L68" t="s">
        <v>1891</v>
      </c>
      <c r="N68" t="s">
        <v>1893</v>
      </c>
      <c r="O68" t="s">
        <v>5709</v>
      </c>
      <c r="P68" t="s">
        <v>8867</v>
      </c>
      <c r="Q68" s="1">
        <v>1</v>
      </c>
      <c r="R68" t="str">
        <f>"Update Collaborator_Group Set Organisation = '"&amp;E68&amp;"' where Group_ID = '"&amp;A68&amp;"'; "</f>
        <v xml:space="preserve">Update Collaborator_Group Set Organisation = 'Karolinska Institute' where Group_ID = 'CG00067'; </v>
      </c>
      <c r="S68" t="str">
        <f>"Update Collaborator_Group Set Group_Name = '"&amp;I68&amp;"' where Group_ID = '"&amp;A68&amp;"'; "</f>
        <v xml:space="preserve">Update Collaborator_Group Set Group_Name = 'HelledayT_Karolinska' where Group_ID = 'CG00067'; </v>
      </c>
      <c r="T68" t="str">
        <f>"Update dcollab.collab_group Set group_code = '"&amp;I68&amp;"' where Group_ID = '"&amp;B68&amp;"'; "</f>
        <v xml:space="preserve">Update dcollab.collab_group Set group_code = 'HelledayT_Karolinska' where Group_ID = 'CGRP00068'; </v>
      </c>
    </row>
    <row r="69" spans="1:20">
      <c r="A69" t="s">
        <v>769</v>
      </c>
      <c r="B69" t="s">
        <v>8954</v>
      </c>
      <c r="D69" t="s">
        <v>2155</v>
      </c>
      <c r="E69" t="s">
        <v>8760</v>
      </c>
      <c r="F69">
        <f>LEN(I69)</f>
        <v>11</v>
      </c>
      <c r="G69" t="str">
        <f>VLOOKUP(E69,Organisation!$A$2:$C$499,3,FALSE)</f>
        <v>CORG00071</v>
      </c>
      <c r="H69" t="str">
        <f>VLOOKUP(G69,Organisation!$C$2:$E$318,3,FALSE)</f>
        <v>HEI</v>
      </c>
      <c r="I69" t="s">
        <v>5741</v>
      </c>
      <c r="J69">
        <f t="shared" si="1"/>
        <v>1</v>
      </c>
      <c r="L69" t="s">
        <v>2158</v>
      </c>
      <c r="M69" t="s">
        <v>2159</v>
      </c>
      <c r="N69" t="s">
        <v>704</v>
      </c>
      <c r="P69" t="s">
        <v>8866</v>
      </c>
      <c r="Q69" s="1">
        <v>1</v>
      </c>
      <c r="R69" t="str">
        <f>"Update Collaborator_Group Set Organisation = '"&amp;E69&amp;"' where Group_ID = '"&amp;A69&amp;"'; "</f>
        <v xml:space="preserve">Update Collaborator_Group Set Organisation = 'Hautes Etudes Ingénieur' where Group_ID = 'CG00068'; </v>
      </c>
      <c r="S69" t="str">
        <f>"Update Collaborator_Group Set Group_Name = '"&amp;I69&amp;"' where Group_ID = '"&amp;A69&amp;"'; "</f>
        <v xml:space="preserve">Update Collaborator_Group Set Group_Name = 'GhinetA_HEI' where Group_ID = 'CG00068'; </v>
      </c>
      <c r="T69" t="str">
        <f>"Update dcollab.collab_group Set group_code = '"&amp;I69&amp;"' where Group_ID = '"&amp;B69&amp;"'; "</f>
        <v xml:space="preserve">Update dcollab.collab_group Set group_code = 'GhinetA_HEI' where Group_ID = 'CGRP00069'; </v>
      </c>
    </row>
    <row r="70" spans="1:20">
      <c r="A70" t="s">
        <v>1172</v>
      </c>
      <c r="B70" t="s">
        <v>9197</v>
      </c>
      <c r="D70" t="s">
        <v>1361</v>
      </c>
      <c r="E70" t="s">
        <v>362</v>
      </c>
      <c r="F70">
        <f>LEN(I70)</f>
        <v>9</v>
      </c>
      <c r="G70" t="str">
        <f>VLOOKUP(E70,Organisation!$A$2:$C$499,3,FALSE)</f>
        <v>CORG00001</v>
      </c>
      <c r="H70" t="str">
        <f>VLOOKUP(G70,Organisation!$C$2:$E$318,3,FALSE)</f>
        <v>UQ</v>
      </c>
      <c r="I70" t="s">
        <v>5542</v>
      </c>
      <c r="J70">
        <f t="shared" si="1"/>
        <v>1</v>
      </c>
      <c r="L70" t="s">
        <v>416</v>
      </c>
      <c r="M70" t="s">
        <v>1363</v>
      </c>
      <c r="N70" t="s">
        <v>14</v>
      </c>
      <c r="P70" t="s">
        <v>8866</v>
      </c>
      <c r="Q70" s="1">
        <v>1</v>
      </c>
      <c r="R70" t="str">
        <f>"Update Collaborator_Group Set Organisation = '"&amp;E70&amp;"' where Group_ID = '"&amp;A70&amp;"'; "</f>
        <v xml:space="preserve">Update Collaborator_Group Set Organisation = 'University of Queensland' where Group_ID = 'CG00069'; </v>
      </c>
      <c r="S70" t="str">
        <f>"Update Collaborator_Group Set Group_Name = '"&amp;I70&amp;"' where Group_ID = '"&amp;A70&amp;"'; "</f>
        <v xml:space="preserve">Update Collaborator_Group Set Group_Name = 'CraikD_UQ' where Group_ID = 'CG00069'; </v>
      </c>
      <c r="T70" t="str">
        <f>"Update dcollab.collab_group Set group_code = '"&amp;I70&amp;"' where Group_ID = '"&amp;B70&amp;"'; "</f>
        <v xml:space="preserve">Update dcollab.collab_group Set group_code = 'CraikD_UQ' where Group_ID = 'CGRP00070'; </v>
      </c>
    </row>
    <row r="71" spans="1:20">
      <c r="A71" t="s">
        <v>2143</v>
      </c>
      <c r="B71" t="s">
        <v>9013</v>
      </c>
      <c r="D71" t="s">
        <v>2142</v>
      </c>
      <c r="E71" t="s">
        <v>2146</v>
      </c>
      <c r="F71">
        <f>LEN(I71)</f>
        <v>25</v>
      </c>
      <c r="G71" t="str">
        <f>VLOOKUP(E71,Organisation!$A$2:$C$499,3,FALSE)</f>
        <v>CORG00120</v>
      </c>
      <c r="H71" t="str">
        <f>VLOOKUP(G71,Organisation!$C$2:$E$318,3,FALSE)</f>
        <v>MUNewfoundland</v>
      </c>
      <c r="I71" t="s">
        <v>5687</v>
      </c>
      <c r="J71">
        <f t="shared" si="1"/>
        <v>1</v>
      </c>
      <c r="L71" t="s">
        <v>84</v>
      </c>
      <c r="M71" t="s">
        <v>2147</v>
      </c>
      <c r="N71" t="s">
        <v>75</v>
      </c>
      <c r="P71" t="s">
        <v>8866</v>
      </c>
      <c r="Q71" s="1">
        <v>1</v>
      </c>
      <c r="R71" t="str">
        <f>"Update Collaborator_Group Set Organisation = '"&amp;E71&amp;"' where Group_ID = '"&amp;A71&amp;"'; "</f>
        <v xml:space="preserve">Update Collaborator_Group Set Organisation = 'Memorial University of Newfoundland' where Group_ID = 'CG00070'; </v>
      </c>
      <c r="S71" t="str">
        <f>"Update Collaborator_Group Set Group_Name = '"&amp;I71&amp;"' where Group_ID = '"&amp;A71&amp;"'; "</f>
        <v xml:space="preserve">Update Collaborator_Group Set Group_Name = 'GeorghiouP_MUNewfoundland' where Group_ID = 'CG00070'; </v>
      </c>
      <c r="T71" t="str">
        <f>"Update dcollab.collab_group Set group_code = '"&amp;I71&amp;"' where Group_ID = '"&amp;B71&amp;"'; "</f>
        <v xml:space="preserve">Update dcollab.collab_group Set group_code = 'GeorghiouP_MUNewfoundland' where Group_ID = 'CGRP00071'; </v>
      </c>
    </row>
    <row r="72" spans="1:20">
      <c r="A72" t="s">
        <v>48</v>
      </c>
      <c r="B72" t="s">
        <v>8941</v>
      </c>
      <c r="D72" t="s">
        <v>47</v>
      </c>
      <c r="E72" t="s">
        <v>52</v>
      </c>
      <c r="F72">
        <f>LEN(I72)</f>
        <v>14</v>
      </c>
      <c r="G72" t="str">
        <f>VLOOKUP(E72,Organisation!$A$2:$C$499,3,FALSE)</f>
        <v>CORG00064</v>
      </c>
      <c r="H72" t="str">
        <f>VLOOKUP(G72,Organisation!$C$2:$E$318,3,FALSE)</f>
        <v>GUCairo</v>
      </c>
      <c r="I72" t="s">
        <v>5745</v>
      </c>
      <c r="J72">
        <f t="shared" si="1"/>
        <v>1</v>
      </c>
      <c r="L72" t="s">
        <v>53</v>
      </c>
      <c r="M72" t="s">
        <v>54</v>
      </c>
      <c r="N72" t="s">
        <v>55</v>
      </c>
      <c r="P72" t="s">
        <v>8866</v>
      </c>
      <c r="Q72" s="1">
        <v>1</v>
      </c>
      <c r="R72" t="str">
        <f>"Update Collaborator_Group Set Organisation = '"&amp;E72&amp;"' where Group_ID = '"&amp;A72&amp;"'; "</f>
        <v xml:space="preserve">Update Collaborator_Group Set Organisation = 'German University in Cairo' where Group_ID = 'CG00071'; </v>
      </c>
      <c r="S72" t="str">
        <f>"Update Collaborator_Group Set Group_Name = '"&amp;I72&amp;"' where Group_ID = '"&amp;A72&amp;"'; "</f>
        <v xml:space="preserve">Update Collaborator_Group Set Group_Name = 'AbadiA_GUCairo' where Group_ID = 'CG00071'; </v>
      </c>
      <c r="T72" t="str">
        <f>"Update dcollab.collab_group Set group_code = '"&amp;I72&amp;"' where Group_ID = '"&amp;B72&amp;"'; "</f>
        <v xml:space="preserve">Update dcollab.collab_group Set group_code = 'AbadiA_GUCairo' where Group_ID = 'CGRP00072'; </v>
      </c>
    </row>
    <row r="73" spans="1:20">
      <c r="A73" t="s">
        <v>820</v>
      </c>
      <c r="B73" t="s">
        <v>8932</v>
      </c>
      <c r="D73" t="s">
        <v>819</v>
      </c>
      <c r="E73" t="s">
        <v>823</v>
      </c>
      <c r="F73">
        <f>LEN(I73)</f>
        <v>9</v>
      </c>
      <c r="G73" t="str">
        <f>VLOOKUP(E73,Organisation!$A$2:$C$499,3,FALSE)</f>
        <v>CORG00054</v>
      </c>
      <c r="H73" t="str">
        <f>VLOOKUP(G73,Organisation!$C$2:$E$318,3,FALSE)</f>
        <v>ETH</v>
      </c>
      <c r="I73" t="s">
        <v>5629</v>
      </c>
      <c r="J73">
        <f t="shared" si="1"/>
        <v>1</v>
      </c>
      <c r="L73" t="s">
        <v>824</v>
      </c>
      <c r="N73" t="s">
        <v>253</v>
      </c>
      <c r="P73" t="s">
        <v>8866</v>
      </c>
      <c r="Q73" s="1">
        <v>1</v>
      </c>
      <c r="R73" t="str">
        <f>"Update Collaborator_Group Set Organisation = '"&amp;E73&amp;"' where Group_ID = '"&amp;A73&amp;"'; "</f>
        <v xml:space="preserve">Update Collaborator_Group Set Organisation = 'ETH Zurich' where Group_ID = 'CG00072'; </v>
      </c>
      <c r="S73" t="str">
        <f>"Update Collaborator_Group Set Group_Name = '"&amp;I73&amp;"' where Group_ID = '"&amp;A73&amp;"'; "</f>
        <v xml:space="preserve">Update Collaborator_Group Set Group_Name = 'BodeJ_ETH' where Group_ID = 'CG00072'; </v>
      </c>
      <c r="T73" t="str">
        <f>"Update dcollab.collab_group Set group_code = '"&amp;I73&amp;"' where Group_ID = '"&amp;B73&amp;"'; "</f>
        <v xml:space="preserve">Update dcollab.collab_group Set group_code = 'BodeJ_ETH' where Group_ID = 'CGRP00073'; </v>
      </c>
    </row>
    <row r="74" spans="1:20">
      <c r="A74" t="s">
        <v>941</v>
      </c>
      <c r="B74" t="s">
        <v>8898</v>
      </c>
      <c r="D74" t="s">
        <v>4831</v>
      </c>
      <c r="E74" t="s">
        <v>943</v>
      </c>
      <c r="F74">
        <f>LEN(I74)</f>
        <v>15</v>
      </c>
      <c r="G74" t="str">
        <f>VLOOKUP(E74,Organisation!$A$2:$C$499,3,FALSE)</f>
        <v>CORG00022</v>
      </c>
      <c r="H74" t="str">
        <f>VLOOKUP(G74,Organisation!$C$2:$E$318,3,FALSE)</f>
        <v>BostonU</v>
      </c>
      <c r="I74" t="s">
        <v>5777</v>
      </c>
      <c r="J74">
        <f t="shared" si="1"/>
        <v>1</v>
      </c>
      <c r="L74" t="s">
        <v>944</v>
      </c>
      <c r="M74" t="s">
        <v>945</v>
      </c>
      <c r="N74" t="s">
        <v>8808</v>
      </c>
      <c r="O74" t="s">
        <v>5776</v>
      </c>
      <c r="P74" t="s">
        <v>8867</v>
      </c>
      <c r="Q74" s="1">
        <v>1</v>
      </c>
      <c r="R74" t="str">
        <f>"Update Collaborator_Group Set Organisation = '"&amp;E74&amp;"' where Group_ID = '"&amp;A74&amp;"'; "</f>
        <v xml:space="preserve">Update Collaborator_Group Set Organisation = 'Boston University' where Group_ID = 'CG00073'; </v>
      </c>
      <c r="S74" t="str">
        <f>"Update Collaborator_Group Set Group_Name = '"&amp;I74&amp;"' where Group_ID = '"&amp;A74&amp;"'; "</f>
        <v xml:space="preserve">Update Collaborator_Group Set Group_Name = 'SnyderJ_BostonU' where Group_ID = 'CG00073'; </v>
      </c>
      <c r="T74" t="str">
        <f>"Update dcollab.collab_group Set group_code = '"&amp;I74&amp;"' where Group_ID = '"&amp;B74&amp;"'; "</f>
        <v xml:space="preserve">Update dcollab.collab_group Set group_code = 'SnyderJ_BostonU' where Group_ID = 'CGRP00074'; </v>
      </c>
    </row>
    <row r="75" spans="1:20">
      <c r="A75" t="s">
        <v>853</v>
      </c>
      <c r="B75" t="s">
        <v>9069</v>
      </c>
      <c r="D75" t="s">
        <v>852</v>
      </c>
      <c r="E75" t="s">
        <v>857</v>
      </c>
      <c r="F75">
        <f>LEN(I75)</f>
        <v>17</v>
      </c>
      <c r="G75" t="str">
        <f>VLOOKUP(E75,Organisation!$A$2:$C$499,3,FALSE)</f>
        <v>CORG00166</v>
      </c>
      <c r="H75" t="str">
        <f>VLOOKUP(G75,Organisation!$C$2:$E$318,3,FALSE)</f>
        <v>RWTHAachenU</v>
      </c>
      <c r="I75" t="s">
        <v>5649</v>
      </c>
      <c r="J75">
        <f t="shared" si="1"/>
        <v>1</v>
      </c>
      <c r="L75" t="s">
        <v>84</v>
      </c>
      <c r="M75" t="s">
        <v>858</v>
      </c>
      <c r="N75" t="s">
        <v>557</v>
      </c>
      <c r="P75" t="s">
        <v>8866</v>
      </c>
      <c r="Q75" s="1">
        <v>1</v>
      </c>
      <c r="R75" t="str">
        <f>"Update Collaborator_Group Set Organisation = '"&amp;E75&amp;"' where Group_ID = '"&amp;A75&amp;"'; "</f>
        <v xml:space="preserve">Update Collaborator_Group Set Organisation = 'RWTH Aachen University' where Group_ID = 'CG00074'; </v>
      </c>
      <c r="S75" t="str">
        <f>"Update Collaborator_Group Set Group_Name = '"&amp;I75&amp;"' where Group_ID = '"&amp;A75&amp;"'; "</f>
        <v xml:space="preserve">Update Collaborator_Group Set Group_Name = 'BolmC_RWTHAachenU' where Group_ID = 'CG00074'; </v>
      </c>
      <c r="T75" t="str">
        <f>"Update dcollab.collab_group Set group_code = '"&amp;I75&amp;"' where Group_ID = '"&amp;B75&amp;"'; "</f>
        <v xml:space="preserve">Update dcollab.collab_group Set group_code = 'BolmC_RWTHAachenU' where Group_ID = 'CGRP00075'; </v>
      </c>
    </row>
    <row r="76" spans="1:20">
      <c r="A76" t="s">
        <v>2899</v>
      </c>
      <c r="B76" t="s">
        <v>9198</v>
      </c>
      <c r="D76" t="s">
        <v>2898</v>
      </c>
      <c r="E76" t="s">
        <v>362</v>
      </c>
      <c r="F76">
        <f>LEN(I76)</f>
        <v>10</v>
      </c>
      <c r="G76" t="str">
        <f>VLOOKUP(E76,Organisation!$A$2:$C$499,3,FALSE)</f>
        <v>CORG00001</v>
      </c>
      <c r="H76" t="str">
        <f>VLOOKUP(G76,Organisation!$C$2:$E$318,3,FALSE)</f>
        <v>UQ</v>
      </c>
      <c r="I76" t="s">
        <v>5544</v>
      </c>
      <c r="J76">
        <f t="shared" si="1"/>
        <v>1</v>
      </c>
      <c r="L76" t="s">
        <v>2902</v>
      </c>
      <c r="M76" t="s">
        <v>5543</v>
      </c>
      <c r="N76" t="s">
        <v>14</v>
      </c>
      <c r="P76" t="s">
        <v>8866</v>
      </c>
      <c r="Q76" s="1">
        <v>1</v>
      </c>
      <c r="R76" t="str">
        <f>"Update Collaborator_Group Set Organisation = '"&amp;E76&amp;"' where Group_ID = '"&amp;A76&amp;"'; "</f>
        <v xml:space="preserve">Update Collaborator_Group Set Organisation = 'University of Queensland' where Group_ID = 'CG00075'; </v>
      </c>
      <c r="S76" t="str">
        <f>"Update Collaborator_Group Set Group_Name = '"&amp;I76&amp;"' where Group_ID = '"&amp;A76&amp;"'; "</f>
        <v xml:space="preserve">Update Collaborator_Group Set Group_Name = 'KervenG_UQ' where Group_ID = 'CG00075'; </v>
      </c>
      <c r="T76" t="str">
        <f>"Update dcollab.collab_group Set group_code = '"&amp;I76&amp;"' where Group_ID = '"&amp;B76&amp;"'; "</f>
        <v xml:space="preserve">Update dcollab.collab_group Set group_code = 'KervenG_UQ' where Group_ID = 'CGRP00076'; </v>
      </c>
    </row>
    <row r="77" spans="1:20">
      <c r="A77" t="s">
        <v>2127</v>
      </c>
      <c r="B77" t="s">
        <v>9212</v>
      </c>
      <c r="D77" t="s">
        <v>2126</v>
      </c>
      <c r="E77" t="s">
        <v>2130</v>
      </c>
      <c r="F77">
        <f>LEN(I77)</f>
        <v>13</v>
      </c>
      <c r="G77" t="str">
        <f>VLOOKUP(E77,Organisation!$A$2:$C$499,3,FALSE)</f>
        <v>CORG00267</v>
      </c>
      <c r="H77" t="str">
        <f>VLOOKUP(G77,Organisation!$C$2:$E$318,3,FALSE)</f>
        <v>USiena</v>
      </c>
      <c r="I77" t="s">
        <v>5533</v>
      </c>
      <c r="J77">
        <f t="shared" si="1"/>
        <v>1</v>
      </c>
      <c r="L77" t="s">
        <v>2131</v>
      </c>
      <c r="M77" t="s">
        <v>2132</v>
      </c>
      <c r="N77" t="s">
        <v>355</v>
      </c>
      <c r="P77" t="s">
        <v>8866</v>
      </c>
      <c r="Q77" s="1">
        <v>1</v>
      </c>
      <c r="R77" t="str">
        <f>"Update Collaborator_Group Set Organisation = '"&amp;E77&amp;"' where Group_ID = '"&amp;A77&amp;"'; "</f>
        <v xml:space="preserve">Update Collaborator_Group Set Organisation = 'University of Siena' where Group_ID = 'CG00076'; </v>
      </c>
      <c r="S77" t="str">
        <f>"Update Collaborator_Group Set Group_Name = '"&amp;I77&amp;"' where Group_ID = '"&amp;A77&amp;"'; "</f>
        <v xml:space="preserve">Update Collaborator_Group Set Group_Name = 'GemmaS_USiena' where Group_ID = 'CG00076'; </v>
      </c>
      <c r="T77" t="str">
        <f>"Update dcollab.collab_group Set group_code = '"&amp;I77&amp;"' where Group_ID = '"&amp;B77&amp;"'; "</f>
        <v xml:space="preserve">Update dcollab.collab_group Set group_code = 'GemmaS_USiena' where Group_ID = 'CGRP00077'; </v>
      </c>
    </row>
    <row r="78" spans="1:20">
      <c r="A78" t="s">
        <v>3469</v>
      </c>
      <c r="B78" t="s">
        <v>9109</v>
      </c>
      <c r="D78" t="s">
        <v>3468</v>
      </c>
      <c r="E78" t="s">
        <v>3164</v>
      </c>
      <c r="F78">
        <f>LEN(I78)</f>
        <v>21</v>
      </c>
      <c r="G78" t="str">
        <f>VLOOKUP(E78,Organisation!$A$2:$C$499,3,FALSE)</f>
        <v>CORG00203</v>
      </c>
      <c r="H78" t="str">
        <f>VLOOKUP(G78,Organisation!$C$2:$E$318,3,FALSE)</f>
        <v>USherbrooke</v>
      </c>
      <c r="I78" t="s">
        <v>5508</v>
      </c>
      <c r="J78">
        <f t="shared" si="1"/>
        <v>1</v>
      </c>
      <c r="L78" t="s">
        <v>3472</v>
      </c>
      <c r="M78" t="s">
        <v>3473</v>
      </c>
      <c r="N78" t="s">
        <v>75</v>
      </c>
      <c r="O78" t="s">
        <v>5507</v>
      </c>
      <c r="P78" t="s">
        <v>8867</v>
      </c>
      <c r="Q78" s="1">
        <v>1</v>
      </c>
      <c r="R78" t="str">
        <f>"Update Collaborator_Group Set Organisation = '"&amp;E78&amp;"' where Group_ID = '"&amp;A78&amp;"'; "</f>
        <v xml:space="preserve">Update Collaborator_Group Set Organisation = 'Université de Sherbrooke' where Group_ID = 'CG00077'; </v>
      </c>
      <c r="S78" t="str">
        <f>"Update Collaborator_Group Set Group_Name = '"&amp;I78&amp;"' where Group_ID = '"&amp;A78&amp;"'; "</f>
        <v xml:space="preserve">Update Collaborator_Group Set Group_Name = 'MarsaultE_USherbrooke' where Group_ID = 'CG00077'; </v>
      </c>
      <c r="T78" t="str">
        <f>"Update dcollab.collab_group Set group_code = '"&amp;I78&amp;"' where Group_ID = '"&amp;B78&amp;"'; "</f>
        <v xml:space="preserve">Update dcollab.collab_group Set group_code = 'MarsaultE_USherbrooke' where Group_ID = 'CGRP00078'; </v>
      </c>
    </row>
    <row r="79" spans="1:20">
      <c r="A79" t="s">
        <v>3477</v>
      </c>
      <c r="B79" t="s">
        <v>9262</v>
      </c>
      <c r="D79" t="s">
        <v>3476</v>
      </c>
      <c r="E79" t="s">
        <v>3480</v>
      </c>
      <c r="F79">
        <f>LEN(I79)</f>
        <v>19</v>
      </c>
      <c r="G79" t="str">
        <f>VLOOKUP(E79,Organisation!$A$2:$C$499,3,FALSE)</f>
        <v>CORG00305</v>
      </c>
      <c r="H79" t="str">
        <f>VLOOKUP(G79,Organisation!$C$2:$E$318,3,FALSE)</f>
        <v>WUStLouis</v>
      </c>
      <c r="I79" t="s">
        <v>5498</v>
      </c>
      <c r="J79">
        <f t="shared" si="1"/>
        <v>1</v>
      </c>
      <c r="L79" t="s">
        <v>3481</v>
      </c>
      <c r="M79" t="s">
        <v>3482</v>
      </c>
      <c r="N79" t="s">
        <v>8808</v>
      </c>
      <c r="P79" t="s">
        <v>8866</v>
      </c>
      <c r="Q79" s="1">
        <v>1</v>
      </c>
      <c r="R79" t="str">
        <f>"Update Collaborator_Group Set Organisation = '"&amp;E79&amp;"' where Group_ID = '"&amp;A79&amp;"'; "</f>
        <v xml:space="preserve">Update Collaborator_Group Set Organisation = 'Washington University in Saint Louis' where Group_ID = 'CG00078'; </v>
      </c>
      <c r="S79" t="str">
        <f>"Update Collaborator_Group Set Group_Name = '"&amp;I79&amp;"' where Group_ID = '"&amp;A79&amp;"'; "</f>
        <v xml:space="preserve">Update Collaborator_Group Set Group_Name = 'MarshallG_WUStLouis' where Group_ID = 'CG00078'; </v>
      </c>
      <c r="T79" t="str">
        <f>"Update dcollab.collab_group Set group_code = '"&amp;I79&amp;"' where Group_ID = '"&amp;B79&amp;"'; "</f>
        <v xml:space="preserve">Update dcollab.collab_group Set group_code = 'MarshallG_WUStLouis' where Group_ID = 'CGRP00079'; </v>
      </c>
    </row>
    <row r="80" spans="1:20">
      <c r="A80" t="s">
        <v>4878</v>
      </c>
      <c r="B80" t="s">
        <v>9005</v>
      </c>
      <c r="D80" t="s">
        <v>4877</v>
      </c>
      <c r="E80" t="s">
        <v>4880</v>
      </c>
      <c r="F80">
        <f>LEN(I80)</f>
        <v>15</v>
      </c>
      <c r="G80" t="str">
        <f>VLOOKUP(E80,Organisation!$A$2:$C$499,3,FALSE)</f>
        <v>CORG00112</v>
      </c>
      <c r="H80" t="str">
        <f>VLOOKUP(G80,Organisation!$C$2:$E$318,3,FALSE)</f>
        <v>MKetchumU</v>
      </c>
      <c r="I80" t="s">
        <v>10431</v>
      </c>
      <c r="J80">
        <f t="shared" si="1"/>
        <v>1</v>
      </c>
      <c r="L80" t="s">
        <v>4508</v>
      </c>
      <c r="M80" t="s">
        <v>4881</v>
      </c>
      <c r="N80" t="s">
        <v>8808</v>
      </c>
      <c r="P80" t="s">
        <v>8866</v>
      </c>
      <c r="Q80" s="1">
        <v>1</v>
      </c>
      <c r="R80" t="str">
        <f>"Update Collaborator_Group Set Organisation = '"&amp;E80&amp;"' where Group_ID = '"&amp;A80&amp;"'; "</f>
        <v xml:space="preserve">Update Collaborator_Group Set Organisation = 'Marshall B. Ketchum University' where Group_ID = 'CG00079'; </v>
      </c>
      <c r="S80" t="str">
        <f>"Update Collaborator_Group Set Group_Name = '"&amp;I80&amp;"' where Group_ID = '"&amp;A80&amp;"'; "</f>
        <v xml:space="preserve">Update Collaborator_Group Set Group_Name = 'StecJ_MKetchumU' where Group_ID = 'CG00079'; </v>
      </c>
      <c r="T80" t="str">
        <f>"Update dcollab.collab_group Set group_code = '"&amp;I80&amp;"' where Group_ID = '"&amp;B80&amp;"'; "</f>
        <v xml:space="preserve">Update dcollab.collab_group Set group_code = 'StecJ_MKetchumU' where Group_ID = 'CGRP00080'; </v>
      </c>
    </row>
    <row r="81" spans="1:20">
      <c r="A81" t="s">
        <v>1222</v>
      </c>
      <c r="B81" t="s">
        <v>9178</v>
      </c>
      <c r="D81" t="s">
        <v>1221</v>
      </c>
      <c r="E81" t="s">
        <v>8745</v>
      </c>
      <c r="F81">
        <f>LEN(I81)</f>
        <v>18</v>
      </c>
      <c r="G81" t="str">
        <f>VLOOKUP(E81,Organisation!$A$2:$C$499,3,FALSE)</f>
        <v>CORG00254</v>
      </c>
      <c r="H81" t="str">
        <f>VLOOKUP(G81,Organisation!$C$2:$E$318,3,FALSE)</f>
        <v>UNSW|ADFA</v>
      </c>
      <c r="I81" t="s">
        <v>10432</v>
      </c>
      <c r="J81">
        <f t="shared" si="1"/>
        <v>1</v>
      </c>
      <c r="L81" t="s">
        <v>1226</v>
      </c>
      <c r="M81" t="s">
        <v>1227</v>
      </c>
      <c r="N81" t="s">
        <v>14</v>
      </c>
      <c r="P81" t="s">
        <v>8866</v>
      </c>
      <c r="Q81" s="1">
        <v>1</v>
      </c>
      <c r="R81" t="str">
        <f>"Update Collaborator_Group Set Organisation = '"&amp;E81&amp;"' where Group_ID = '"&amp;A81&amp;"'; "</f>
        <v xml:space="preserve">Update Collaborator_Group Set Organisation = 'University of New South Wales, Australian Defence Force Academy' where Group_ID = 'CG00080'; </v>
      </c>
      <c r="S81" t="str">
        <f>"Update Collaborator_Group Set Group_Name = '"&amp;I81&amp;"' where Group_ID = '"&amp;A81&amp;"'; "</f>
        <v xml:space="preserve">Update Collaborator_Group Set Group_Name = 'CollinsG_UNSW|ADFA' where Group_ID = 'CG00080'; </v>
      </c>
      <c r="T81" t="str">
        <f>"Update dcollab.collab_group Set group_code = '"&amp;I81&amp;"' where Group_ID = '"&amp;B81&amp;"'; "</f>
        <v xml:space="preserve">Update dcollab.collab_group Set group_code = 'CollinsG_UNSW|ADFA' where Group_ID = 'CGRP00081'; </v>
      </c>
    </row>
    <row r="82" spans="1:20">
      <c r="A82" t="s">
        <v>1488</v>
      </c>
      <c r="B82" t="s">
        <v>9179</v>
      </c>
      <c r="D82" t="s">
        <v>1487</v>
      </c>
      <c r="E82" t="s">
        <v>8745</v>
      </c>
      <c r="F82">
        <f>LEN(I82)</f>
        <v>14</v>
      </c>
      <c r="G82" t="str">
        <f>VLOOKUP(E82,Organisation!$A$2:$C$499,3,FALSE)</f>
        <v>CORG00254</v>
      </c>
      <c r="H82" t="str">
        <f>VLOOKUP(G82,Organisation!$C$2:$E$318,3,FALSE)</f>
        <v>UNSW|ADFA</v>
      </c>
      <c r="I82" t="s">
        <v>10433</v>
      </c>
      <c r="J82">
        <f t="shared" si="1"/>
        <v>1</v>
      </c>
      <c r="L82" t="s">
        <v>1492</v>
      </c>
      <c r="M82" t="s">
        <v>1493</v>
      </c>
      <c r="N82" t="s">
        <v>14</v>
      </c>
      <c r="P82" t="s">
        <v>8866</v>
      </c>
      <c r="Q82" s="1">
        <v>1</v>
      </c>
      <c r="R82" t="str">
        <f>"Update Collaborator_Group Set Organisation = '"&amp;E82&amp;"' where Group_ID = '"&amp;A82&amp;"'; "</f>
        <v xml:space="preserve">Update Collaborator_Group Set Organisation = 'University of New South Wales, Australian Defence Force Academy' where Group_ID = 'CG00081'; </v>
      </c>
      <c r="S82" t="str">
        <f>"Update Collaborator_Group Set Group_Name = '"&amp;I82&amp;"' where Group_ID = '"&amp;A82&amp;"'; "</f>
        <v xml:space="preserve">Update Collaborator_Group Set Group_Name = 'DayA_UNSW|ADFA' where Group_ID = 'CG00081'; </v>
      </c>
      <c r="T82" t="str">
        <f>"Update dcollab.collab_group Set group_code = '"&amp;I82&amp;"' where Group_ID = '"&amp;B82&amp;"'; "</f>
        <v xml:space="preserve">Update dcollab.collab_group Set group_code = 'DayA_UNSW|ADFA' where Group_ID = 'CGRP00082'; </v>
      </c>
    </row>
    <row r="83" spans="1:20">
      <c r="A83" t="s">
        <v>2343</v>
      </c>
      <c r="B83" t="s">
        <v>9044</v>
      </c>
      <c r="D83" t="s">
        <v>2342</v>
      </c>
      <c r="E83" t="s">
        <v>2345</v>
      </c>
      <c r="F83">
        <f>LEN(I83)</f>
        <v>16</v>
      </c>
      <c r="G83" t="str">
        <f>VLOOKUP(E83,Organisation!$A$2:$C$499,3,FALSE)</f>
        <v>CORG00141</v>
      </c>
      <c r="H83" t="str">
        <f>VLOOKUP(G83,Organisation!$C$2:$E$318,3,FALSE)</f>
        <v>NewcastleU</v>
      </c>
      <c r="I83" t="s">
        <v>5663</v>
      </c>
      <c r="J83">
        <f t="shared" si="1"/>
        <v>1</v>
      </c>
      <c r="L83" t="s">
        <v>170</v>
      </c>
      <c r="M83" t="s">
        <v>2346</v>
      </c>
      <c r="N83" t="s">
        <v>269</v>
      </c>
      <c r="P83" t="s">
        <v>8866</v>
      </c>
      <c r="Q83" s="1">
        <v>1</v>
      </c>
      <c r="R83" t="str">
        <f>"Update Collaborator_Group Set Organisation = '"&amp;E83&amp;"' where Group_ID = '"&amp;A83&amp;"'; "</f>
        <v xml:space="preserve">Update Collaborator_Group Set Organisation = 'Newcastle University' where Group_ID = 'CG00082'; </v>
      </c>
      <c r="S83" t="str">
        <f>"Update Collaborator_Group Set Group_Name = '"&amp;I83&amp;"' where Group_ID = '"&amp;A83&amp;"'; "</f>
        <v xml:space="preserve">Update Collaborator_Group Set Group_Name = 'HallM_NewcastleU' where Group_ID = 'CG00082'; </v>
      </c>
      <c r="T83" t="str">
        <f>"Update dcollab.collab_group Set group_code = '"&amp;I83&amp;"' where Group_ID = '"&amp;B83&amp;"'; "</f>
        <v xml:space="preserve">Update dcollab.collab_group Set group_code = 'HallM_NewcastleU' where Group_ID = 'CGRP00083'; </v>
      </c>
    </row>
    <row r="84" spans="1:20">
      <c r="A84" t="s">
        <v>1558</v>
      </c>
      <c r="B84" t="s">
        <v>9042</v>
      </c>
      <c r="D84" t="s">
        <v>1557</v>
      </c>
      <c r="E84" t="s">
        <v>457</v>
      </c>
      <c r="F84">
        <f>LEN(I84)</f>
        <v>9</v>
      </c>
      <c r="G84" t="str">
        <f>VLOOKUP(E84,Organisation!$A$2:$C$499,3,FALSE)</f>
        <v>CORG00140</v>
      </c>
      <c r="H84" t="str">
        <f>VLOOKUP(G84,Organisation!$C$2:$E$318,3,FALSE)</f>
        <v>NUS</v>
      </c>
      <c r="I84" t="s">
        <v>5666</v>
      </c>
      <c r="J84">
        <f t="shared" si="1"/>
        <v>1</v>
      </c>
      <c r="L84" t="s">
        <v>1561</v>
      </c>
      <c r="N84" t="s">
        <v>459</v>
      </c>
      <c r="O84" t="s">
        <v>5665</v>
      </c>
      <c r="P84" t="s">
        <v>8867</v>
      </c>
      <c r="Q84" s="1">
        <v>1</v>
      </c>
      <c r="R84" t="str">
        <f>"Update Collaborator_Group Set Organisation = '"&amp;E84&amp;"' where Group_ID = '"&amp;A84&amp;"'; "</f>
        <v xml:space="preserve">Update Collaborator_Group Set Organisation = 'National University of Singapore' where Group_ID = 'CG00083'; </v>
      </c>
      <c r="S84" t="str">
        <f>"Update Collaborator_Group Set Group_Name = '"&amp;I84&amp;"' where Group_ID = '"&amp;A84&amp;"'; "</f>
        <v xml:space="preserve">Update Collaborator_Group Set Group_Name = 'DickT_NUS' where Group_ID = 'CG00083'; </v>
      </c>
      <c r="T84" t="str">
        <f>"Update dcollab.collab_group Set group_code = '"&amp;I84&amp;"' where Group_ID = '"&amp;B84&amp;"'; "</f>
        <v xml:space="preserve">Update dcollab.collab_group Set group_code = 'DickT_NUS' where Group_ID = 'CGRP00084'; </v>
      </c>
    </row>
    <row r="85" spans="1:20">
      <c r="A85" t="s">
        <v>3233</v>
      </c>
      <c r="B85" t="s">
        <v>9014</v>
      </c>
      <c r="D85" t="s">
        <v>3232</v>
      </c>
      <c r="E85" t="s">
        <v>2146</v>
      </c>
      <c r="F85">
        <f>LEN(I85)</f>
        <v>19</v>
      </c>
      <c r="G85" t="str">
        <f>VLOOKUP(E85,Organisation!$A$2:$C$499,3,FALSE)</f>
        <v>CORG00120</v>
      </c>
      <c r="H85" t="str">
        <f>VLOOKUP(G85,Organisation!$C$2:$E$318,3,FALSE)</f>
        <v>MUNewfoundland</v>
      </c>
      <c r="I85" t="s">
        <v>5686</v>
      </c>
      <c r="J85">
        <f t="shared" si="1"/>
        <v>1</v>
      </c>
      <c r="L85" t="s">
        <v>84</v>
      </c>
      <c r="M85" t="s">
        <v>5685</v>
      </c>
      <c r="N85" t="s">
        <v>75</v>
      </c>
      <c r="P85" t="s">
        <v>8866</v>
      </c>
      <c r="Q85" s="1">
        <v>1</v>
      </c>
      <c r="R85" t="str">
        <f>"Update Collaborator_Group Set Organisation = '"&amp;E85&amp;"' where Group_ID = '"&amp;A85&amp;"'; "</f>
        <v xml:space="preserve">Update Collaborator_Group Set Organisation = 'Memorial University of Newfoundland' where Group_ID = 'CG00084'; </v>
      </c>
      <c r="S85" t="str">
        <f>"Update Collaborator_Group Set Group_Name = '"&amp;I85&amp;"' where Group_ID = '"&amp;A85&amp;"'; "</f>
        <v xml:space="preserve">Update Collaborator_Group Set Group_Name = 'LiuY_MUNewfoundland' where Group_ID = 'CG00084'; </v>
      </c>
      <c r="T85" t="str">
        <f>"Update dcollab.collab_group Set group_code = '"&amp;I85&amp;"' where Group_ID = '"&amp;B85&amp;"'; "</f>
        <v xml:space="preserve">Update dcollab.collab_group Set group_code = 'LiuY_MUNewfoundland' where Group_ID = 'CGRP00085'; </v>
      </c>
    </row>
    <row r="86" spans="1:20">
      <c r="A86" t="s">
        <v>2893</v>
      </c>
      <c r="B86" t="s">
        <v>9015</v>
      </c>
      <c r="D86" t="s">
        <v>2892</v>
      </c>
      <c r="E86" t="s">
        <v>2146</v>
      </c>
      <c r="F86">
        <f>LEN(I86)</f>
        <v>22</v>
      </c>
      <c r="G86" t="str">
        <f>VLOOKUP(E86,Organisation!$A$2:$C$499,3,FALSE)</f>
        <v>CORG00120</v>
      </c>
      <c r="H86" t="str">
        <f>VLOOKUP(G86,Organisation!$C$2:$E$318,3,FALSE)</f>
        <v>MUNewfoundland</v>
      </c>
      <c r="I86" t="s">
        <v>5684</v>
      </c>
      <c r="J86">
        <f t="shared" si="1"/>
        <v>1</v>
      </c>
      <c r="L86" t="s">
        <v>84</v>
      </c>
      <c r="N86" t="s">
        <v>75</v>
      </c>
      <c r="P86" t="s">
        <v>8866</v>
      </c>
      <c r="Q86" s="1">
        <v>1</v>
      </c>
      <c r="R86" t="str">
        <f>"Update Collaborator_Group Set Organisation = '"&amp;E86&amp;"' where Group_ID = '"&amp;A86&amp;"'; "</f>
        <v xml:space="preserve">Update Collaborator_Group Set Organisation = 'Memorial University of Newfoundland' where Group_ID = 'CG00085'; </v>
      </c>
      <c r="S86" t="str">
        <f>"Update Collaborator_Group Set Group_Name = '"&amp;I86&amp;"' where Group_ID = '"&amp;A86&amp;"'; "</f>
        <v xml:space="preserve">Update Collaborator_Group Set Group_Name = 'KertonF_MUNewfoundland' where Group_ID = 'CG00085'; </v>
      </c>
      <c r="T86" t="str">
        <f>"Update dcollab.collab_group Set group_code = '"&amp;I86&amp;"' where Group_ID = '"&amp;B86&amp;"'; "</f>
        <v xml:space="preserve">Update dcollab.collab_group Set group_code = 'KertonF_MUNewfoundland' where Group_ID = 'CGRP00086'; </v>
      </c>
    </row>
    <row r="87" spans="1:20">
      <c r="A87" t="s">
        <v>3460</v>
      </c>
      <c r="B87" t="s">
        <v>8972</v>
      </c>
      <c r="D87" t="s">
        <v>3459</v>
      </c>
      <c r="E87" t="s">
        <v>8773</v>
      </c>
      <c r="F87">
        <f>LEN(I87)</f>
        <v>21</v>
      </c>
      <c r="G87" t="str">
        <f>VLOOKUP(E87,Organisation!$A$2:$C$499,3,FALSE)</f>
        <v>CORG00087</v>
      </c>
      <c r="H87" t="str">
        <f>VLOOKUP(G87,Organisation!$C$2:$E$318,3,FALSE)</f>
        <v>IQOG</v>
      </c>
      <c r="I87" t="s">
        <v>10434</v>
      </c>
      <c r="J87">
        <f t="shared" si="1"/>
        <v>1</v>
      </c>
      <c r="L87" t="s">
        <v>3464</v>
      </c>
      <c r="M87" t="s">
        <v>3465</v>
      </c>
      <c r="N87" t="s">
        <v>1256</v>
      </c>
      <c r="P87" t="s">
        <v>8866</v>
      </c>
      <c r="Q87" s="1">
        <v>1</v>
      </c>
      <c r="R87" t="str">
        <f>"Update Collaborator_Group Set Organisation = '"&amp;E87&amp;"' where Group_ID = '"&amp;A87&amp;"'; "</f>
        <v xml:space="preserve">Update Collaborator_Group Set Organisation = 'Instituto de Química Orgánica General' where Group_ID = 'CG00086'; </v>
      </c>
      <c r="S87" t="str">
        <f>"Update Collaborator_Group Set Group_Name = '"&amp;I87&amp;"' where Group_ID = '"&amp;A87&amp;"'; "</f>
        <v xml:space="preserve">Update Collaborator_Group Set Group_Name = 'Marco-ContellesJ_IQOG' where Group_ID = 'CG00086'; </v>
      </c>
      <c r="T87" t="str">
        <f>"Update dcollab.collab_group Set group_code = '"&amp;I87&amp;"' where Group_ID = '"&amp;B87&amp;"'; "</f>
        <v xml:space="preserve">Update dcollab.collab_group Set group_code = 'Marco-ContellesJ_IQOG' where Group_ID = 'CGRP00087'; </v>
      </c>
    </row>
    <row r="88" spans="1:20">
      <c r="A88" t="s">
        <v>3524</v>
      </c>
      <c r="B88" t="s">
        <v>8923</v>
      </c>
      <c r="D88" t="s">
        <v>3523</v>
      </c>
      <c r="E88" t="s">
        <v>3526</v>
      </c>
      <c r="F88">
        <f>LEN(I88)</f>
        <v>14</v>
      </c>
      <c r="G88" t="str">
        <f>VLOOKUP(E88,Organisation!$A$2:$C$499,3,FALSE)</f>
        <v>CORG00045</v>
      </c>
      <c r="H88" t="str">
        <f>VLOOKUP(G88,Organisation!$C$2:$E$318,3,FALSE)</f>
        <v>CurtinU</v>
      </c>
      <c r="I88" t="s">
        <v>5759</v>
      </c>
      <c r="J88">
        <f t="shared" si="1"/>
        <v>1</v>
      </c>
      <c r="L88" t="s">
        <v>73</v>
      </c>
      <c r="M88" t="s">
        <v>3527</v>
      </c>
      <c r="N88" t="s">
        <v>14</v>
      </c>
      <c r="P88" t="s">
        <v>8866</v>
      </c>
      <c r="Q88" s="1">
        <v>1</v>
      </c>
      <c r="R88" t="str">
        <f>"Update Collaborator_Group Set Organisation = '"&amp;E88&amp;"' where Group_ID = '"&amp;A88&amp;"'; "</f>
        <v xml:space="preserve">Update Collaborator_Group Set Organisation = 'Curtin University' where Group_ID = 'CG00087'; </v>
      </c>
      <c r="S88" t="str">
        <f>"Update Collaborator_Group Set Group_Name = '"&amp;I88&amp;"' where Group_ID = '"&amp;A88&amp;"'; "</f>
        <v xml:space="preserve">Update Collaborator_Group Set Group_Name = 'MassiM_CurtinU' where Group_ID = 'CG00087'; </v>
      </c>
      <c r="T88" t="str">
        <f>"Update dcollab.collab_group Set group_code = '"&amp;I88&amp;"' where Group_ID = '"&amp;B88&amp;"'; "</f>
        <v xml:space="preserve">Update dcollab.collab_group Set group_code = 'MassiM_CurtinU' where Group_ID = 'CGRP00088'; </v>
      </c>
    </row>
    <row r="89" spans="1:20">
      <c r="A89" t="s">
        <v>1239</v>
      </c>
      <c r="B89" t="s">
        <v>9114</v>
      </c>
      <c r="D89" t="s">
        <v>1238</v>
      </c>
      <c r="E89" t="s">
        <v>1243</v>
      </c>
      <c r="F89">
        <f>LEN(I89)</f>
        <v>13</v>
      </c>
      <c r="G89" t="str">
        <f>VLOOKUP(E89,Organisation!$A$2:$C$499,3,FALSE)</f>
        <v>CORG00207</v>
      </c>
      <c r="H89" t="str">
        <f>VLOOKUP(G89,Organisation!$C$2:$E$318,3,FALSE)</f>
        <v>ULyon1</v>
      </c>
      <c r="I89" t="s">
        <v>5512</v>
      </c>
      <c r="J89">
        <f t="shared" si="1"/>
        <v>1</v>
      </c>
      <c r="L89" t="s">
        <v>1244</v>
      </c>
      <c r="M89" t="s">
        <v>1245</v>
      </c>
      <c r="N89" t="s">
        <v>704</v>
      </c>
      <c r="O89" t="s">
        <v>5511</v>
      </c>
      <c r="P89" t="s">
        <v>8867</v>
      </c>
      <c r="Q89" s="1">
        <v>1</v>
      </c>
      <c r="R89" t="str">
        <f>"Update Collaborator_Group Set Organisation = '"&amp;E89&amp;"' where Group_ID = '"&amp;A89&amp;"'; "</f>
        <v xml:space="preserve">Update Collaborator_Group Set Organisation = 'Université Lyon 1' where Group_ID = 'CG00088'; </v>
      </c>
      <c r="S89" t="str">
        <f>"Update Collaborator_Group Set Group_Name = '"&amp;I89&amp;"' where Group_ID = '"&amp;A89&amp;"'; "</f>
        <v xml:space="preserve">Update Collaborator_Group Set Group_Name = 'ComteA_ULyon1' where Group_ID = 'CG00088'; </v>
      </c>
      <c r="T89" t="str">
        <f>"Update dcollab.collab_group Set group_code = '"&amp;I89&amp;"' where Group_ID = '"&amp;B89&amp;"'; "</f>
        <v xml:space="preserve">Update dcollab.collab_group Set group_code = 'ComteA_ULyon1' where Group_ID = 'CGRP00089'; </v>
      </c>
    </row>
    <row r="90" spans="1:20">
      <c r="A90" t="s">
        <v>988</v>
      </c>
      <c r="B90" t="s">
        <v>9134</v>
      </c>
      <c r="D90" t="s">
        <v>987</v>
      </c>
      <c r="E90" t="s">
        <v>991</v>
      </c>
      <c r="F90">
        <f>LEN(I90)</f>
        <v>11</v>
      </c>
      <c r="G90" t="str">
        <f>VLOOKUP(E90,Organisation!$A$2:$C$499,3,FALSE)</f>
        <v>CORG00217</v>
      </c>
      <c r="H90" t="str">
        <f>VLOOKUP(G90,Organisation!$C$2:$E$318,3,FALSE)</f>
        <v>UBath</v>
      </c>
      <c r="I90" t="s">
        <v>5597</v>
      </c>
      <c r="J90">
        <f t="shared" si="1"/>
        <v>1</v>
      </c>
      <c r="L90" t="s">
        <v>84</v>
      </c>
      <c r="N90" t="s">
        <v>269</v>
      </c>
      <c r="P90" t="s">
        <v>8866</v>
      </c>
      <c r="Q90" s="1">
        <v>1</v>
      </c>
      <c r="R90" t="str">
        <f>"Update Collaborator_Group Set Organisation = '"&amp;E90&amp;"' where Group_ID = '"&amp;A90&amp;"'; "</f>
        <v xml:space="preserve">Update Collaborator_Group Set Organisation = 'University of Bath' where Group_ID = 'CG00089'; </v>
      </c>
      <c r="S90" t="str">
        <f>"Update Collaborator_Group Set Group_Name = '"&amp;I90&amp;"' where Group_ID = '"&amp;A90&amp;"'; "</f>
        <v xml:space="preserve">Update Collaborator_Group Set Group_Name = 'BullS_UBath' where Group_ID = 'CG00089'; </v>
      </c>
      <c r="T90" t="str">
        <f>"Update dcollab.collab_group Set group_code = '"&amp;I90&amp;"' where Group_ID = '"&amp;B90&amp;"'; "</f>
        <v xml:space="preserve">Update dcollab.collab_group Set group_code = 'BullS_UBath' where Group_ID = 'CGRP00090'; </v>
      </c>
    </row>
    <row r="91" spans="1:20">
      <c r="A91" t="s">
        <v>3312</v>
      </c>
      <c r="B91" t="s">
        <v>9049</v>
      </c>
      <c r="D91" t="s">
        <v>5231</v>
      </c>
      <c r="E91" t="s">
        <v>3315</v>
      </c>
      <c r="F91">
        <f>LEN(I91)</f>
        <v>22</v>
      </c>
      <c r="G91" t="str">
        <f>VLOOKUP(E91,Organisation!$A$2:$C$499,3,FALSE)</f>
        <v>CORG00146</v>
      </c>
      <c r="H91" t="str">
        <f>VLOOKUP(G91,Organisation!$C$2:$E$318,3,FALSE)</f>
        <v>NovosibirskIOC</v>
      </c>
      <c r="I91" t="s">
        <v>5662</v>
      </c>
      <c r="J91">
        <f t="shared" si="1"/>
        <v>1</v>
      </c>
      <c r="L91" t="s">
        <v>650</v>
      </c>
      <c r="M91" t="s">
        <v>3316</v>
      </c>
      <c r="N91" t="s">
        <v>1600</v>
      </c>
      <c r="P91" t="s">
        <v>8866</v>
      </c>
      <c r="Q91" s="1">
        <v>1</v>
      </c>
      <c r="R91" t="str">
        <f>"Update Collaborator_Group Set Organisation = '"&amp;E91&amp;"' where Group_ID = '"&amp;A91&amp;"'; "</f>
        <v xml:space="preserve">Update Collaborator_Group Set Organisation = 'Novosibirsk Institute of Organic Chemistry' where Group_ID = 'CG00090'; </v>
      </c>
      <c r="S91" t="str">
        <f>"Update Collaborator_Group Set Group_Name = '"&amp;I91&amp;"' where Group_ID = '"&amp;A91&amp;"'; "</f>
        <v xml:space="preserve">Update Collaborator_Group Set Group_Name = 'VolchoK_NovosibirskIOC' where Group_ID = 'CG00090'; </v>
      </c>
      <c r="T91" t="str">
        <f>"Update dcollab.collab_group Set group_code = '"&amp;I91&amp;"' where Group_ID = '"&amp;B91&amp;"'; "</f>
        <v xml:space="preserve">Update dcollab.collab_group Set group_code = 'VolchoK_NovosibirskIOC' where Group_ID = 'CGRP00091'; </v>
      </c>
    </row>
    <row r="92" spans="1:20">
      <c r="A92" t="s">
        <v>5661</v>
      </c>
      <c r="B92" t="s">
        <v>10554</v>
      </c>
      <c r="D92" t="s">
        <v>4964</v>
      </c>
      <c r="E92" t="s">
        <v>3315</v>
      </c>
      <c r="F92">
        <f>LEN(I92)</f>
        <v>22</v>
      </c>
      <c r="G92" t="str">
        <f>VLOOKUP(E92,Organisation!$A$2:$C$499,3,FALSE)</f>
        <v>CORG00146</v>
      </c>
      <c r="H92" t="str">
        <f>VLOOKUP(G92,Organisation!$C$2:$E$318,3,FALSE)</f>
        <v>NovosibirskIOC</v>
      </c>
      <c r="I92" t="s">
        <v>5660</v>
      </c>
      <c r="J92">
        <f t="shared" si="1"/>
        <v>1</v>
      </c>
      <c r="L92" t="s">
        <v>650</v>
      </c>
      <c r="N92" t="s">
        <v>1600</v>
      </c>
      <c r="P92" t="s">
        <v>8866</v>
      </c>
      <c r="Q92" s="1">
        <v>1</v>
      </c>
      <c r="R92" t="str">
        <f>"Update Collaborator_Group Set Organisation = '"&amp;E92&amp;"' where Group_ID = '"&amp;A92&amp;"'; "</f>
        <v xml:space="preserve">Update Collaborator_Group Set Organisation = 'Novosibirsk Institute of Organic Chemistry' where Group_ID = 'CG00091'; </v>
      </c>
      <c r="S92" t="str">
        <f>"Update Collaborator_Group Set Group_Name = '"&amp;I92&amp;"' where Group_ID = '"&amp;A92&amp;"'; "</f>
        <v xml:space="preserve">Update Collaborator_Group Set Group_Name = 'SuslovE_NovosibirskIOC' where Group_ID = 'CG00091'; </v>
      </c>
      <c r="T92" t="str">
        <f>"Update dcollab.collab_group Set group_code = '"&amp;I92&amp;"' where Group_ID = '"&amp;B92&amp;"'; "</f>
        <v xml:space="preserve">Update dcollab.collab_group Set group_code = 'SuslovE_NovosibirskIOC' where Group_ID = 'CGRP00092'; </v>
      </c>
    </row>
    <row r="93" spans="1:20">
      <c r="A93" t="s">
        <v>3085</v>
      </c>
      <c r="B93" t="s">
        <v>9050</v>
      </c>
      <c r="D93" t="s">
        <v>3084</v>
      </c>
      <c r="E93" t="s">
        <v>3088</v>
      </c>
      <c r="F93">
        <f>LEN(I93)</f>
        <v>16</v>
      </c>
      <c r="G93" t="str">
        <f>VLOOKUP(E93,Organisation!$A$2:$C$499,3,FALSE)</f>
        <v>CORG00147</v>
      </c>
      <c r="H93" t="str">
        <f>VLOOKUP(G93,Organisation!$C$2:$E$318,3,FALSE)</f>
        <v>NSHM</v>
      </c>
      <c r="I93" t="s">
        <v>5672</v>
      </c>
      <c r="J93">
        <f t="shared" si="1"/>
        <v>1</v>
      </c>
      <c r="L93" t="s">
        <v>1031</v>
      </c>
      <c r="M93" t="s">
        <v>3089</v>
      </c>
      <c r="N93" t="s">
        <v>211</v>
      </c>
      <c r="P93" t="s">
        <v>8866</v>
      </c>
      <c r="Q93" s="1">
        <v>1</v>
      </c>
      <c r="R93" t="str">
        <f>"Update Collaborator_Group Set Organisation = '"&amp;E93&amp;"' where Group_ID = '"&amp;A93&amp;"'; "</f>
        <v xml:space="preserve">Update Collaborator_Group Set Organisation = 'NSHM College of Pharmaceutical Technology' where Group_ID = 'CG00092'; </v>
      </c>
      <c r="S93" t="str">
        <f>"Update Collaborator_Group Set Group_Name = '"&amp;I93&amp;"' where Group_ID = '"&amp;A93&amp;"'; "</f>
        <v xml:space="preserve">Update Collaborator_Group Set Group_Name = 'KumarasamyD_NSHM' where Group_ID = 'CG00092'; </v>
      </c>
      <c r="T93" t="str">
        <f>"Update dcollab.collab_group Set group_code = '"&amp;I93&amp;"' where Group_ID = '"&amp;B93&amp;"'; "</f>
        <v xml:space="preserve">Update dcollab.collab_group Set group_code = 'KumarasamyD_NSHM' where Group_ID = 'CGRP00093'; </v>
      </c>
    </row>
    <row r="94" spans="1:20">
      <c r="A94" t="s">
        <v>1276</v>
      </c>
      <c r="B94" t="s">
        <v>8993</v>
      </c>
      <c r="D94" t="s">
        <v>1275</v>
      </c>
      <c r="E94" t="s">
        <v>1279</v>
      </c>
      <c r="F94">
        <f>LEN(I94)</f>
        <v>18</v>
      </c>
      <c r="G94" t="str">
        <f>VLOOKUP(E94,Organisation!$A$2:$C$499,3,FALSE)</f>
        <v>CORG00104</v>
      </c>
      <c r="H94" t="str">
        <f>VLOOKUP(G94,Organisation!$C$2:$E$318,3,FALSE)</f>
        <v>LancasterU</v>
      </c>
      <c r="I94" t="s">
        <v>5704</v>
      </c>
      <c r="J94">
        <f t="shared" si="1"/>
        <v>1</v>
      </c>
      <c r="L94" t="s">
        <v>84</v>
      </c>
      <c r="M94" t="s">
        <v>1280</v>
      </c>
      <c r="N94" t="s">
        <v>269</v>
      </c>
      <c r="P94" t="s">
        <v>8866</v>
      </c>
      <c r="Q94" s="1">
        <v>1</v>
      </c>
      <c r="R94" t="str">
        <f>"Update Collaborator_Group Set Organisation = '"&amp;E94&amp;"' where Group_ID = '"&amp;A94&amp;"'; "</f>
        <v xml:space="preserve">Update Collaborator_Group Set Organisation = 'Lancaster University' where Group_ID = 'CG00093'; </v>
      </c>
      <c r="S94" t="str">
        <f>"Update Collaborator_Group Set Group_Name = '"&amp;I94&amp;"' where Group_ID = '"&amp;A94&amp;"'; "</f>
        <v xml:space="preserve">Update Collaborator_Group Set Group_Name = 'CooganM_LancasterU' where Group_ID = 'CG00093'; </v>
      </c>
      <c r="T94" t="str">
        <f>"Update dcollab.collab_group Set group_code = '"&amp;I94&amp;"' where Group_ID = '"&amp;B94&amp;"'; "</f>
        <v xml:space="preserve">Update dcollab.collab_group Set group_code = 'CooganM_LancasterU' where Group_ID = 'CGRP00094'; </v>
      </c>
    </row>
    <row r="95" spans="1:20">
      <c r="A95" t="s">
        <v>4177</v>
      </c>
      <c r="B95" t="s">
        <v>9135</v>
      </c>
      <c r="D95" t="s">
        <v>4176</v>
      </c>
      <c r="E95" t="s">
        <v>991</v>
      </c>
      <c r="F95">
        <f>LEN(I95)</f>
        <v>13</v>
      </c>
      <c r="G95" t="str">
        <f>VLOOKUP(E95,Organisation!$A$2:$C$499,3,FALSE)</f>
        <v>CORG00217</v>
      </c>
      <c r="H95" t="str">
        <f>VLOOKUP(G95,Organisation!$C$2:$E$318,3,FALSE)</f>
        <v>UBath</v>
      </c>
      <c r="I95" t="s">
        <v>5598</v>
      </c>
      <c r="J95">
        <f t="shared" si="1"/>
        <v>1</v>
      </c>
      <c r="L95" t="s">
        <v>4180</v>
      </c>
      <c r="N95" t="s">
        <v>269</v>
      </c>
      <c r="P95" t="s">
        <v>8866</v>
      </c>
      <c r="Q95" s="1">
        <v>1</v>
      </c>
      <c r="R95" t="str">
        <f>"Update Collaborator_Group Set Organisation = '"&amp;E95&amp;"' where Group_ID = '"&amp;A95&amp;"'; "</f>
        <v xml:space="preserve">Update Collaborator_Group Set Organisation = 'University of Bath' where Group_ID = 'CG00094'; </v>
      </c>
      <c r="S95" t="str">
        <f>"Update Collaborator_Group Set Group_Name = '"&amp;I95&amp;"' where Group_ID = '"&amp;A95&amp;"'; "</f>
        <v xml:space="preserve">Update Collaborator_Group Set Group_Name = 'PotterB_UBath' where Group_ID = 'CG00094'; </v>
      </c>
      <c r="T95" t="str">
        <f>"Update dcollab.collab_group Set group_code = '"&amp;I95&amp;"' where Group_ID = '"&amp;B95&amp;"'; "</f>
        <v xml:space="preserve">Update dcollab.collab_group Set group_code = 'PotterB_UBath' where Group_ID = 'CGRP00095'; </v>
      </c>
    </row>
    <row r="96" spans="1:20">
      <c r="A96" t="s">
        <v>4782</v>
      </c>
      <c r="B96" t="s">
        <v>8940</v>
      </c>
      <c r="D96" t="s">
        <v>4872</v>
      </c>
      <c r="E96" t="s">
        <v>4784</v>
      </c>
      <c r="F96">
        <f>LEN(I96)</f>
        <v>21</v>
      </c>
      <c r="G96" t="str">
        <f>VLOOKUP(E96,Organisation!$A$2:$C$499,3,FALSE)</f>
        <v>CORG00063</v>
      </c>
      <c r="H96" t="str">
        <f>VLOOKUP(G96,Organisation!$C$2:$E$318,3,FALSE)</f>
        <v>GeorgiaIT</v>
      </c>
      <c r="I96" t="s">
        <v>5746</v>
      </c>
      <c r="J96">
        <f t="shared" si="1"/>
        <v>1</v>
      </c>
      <c r="L96" t="s">
        <v>4785</v>
      </c>
      <c r="M96" t="s">
        <v>4786</v>
      </c>
      <c r="N96" t="s">
        <v>8808</v>
      </c>
      <c r="P96" t="s">
        <v>8866</v>
      </c>
      <c r="Q96" s="1">
        <v>1</v>
      </c>
      <c r="R96" t="str">
        <f>"Update Collaborator_Group Set Organisation = '"&amp;E96&amp;"' where Group_ID = '"&amp;A96&amp;"'; "</f>
        <v xml:space="preserve">Update Collaborator_Group Set Organisation = 'Georgia Institute of Technology' where Group_ID = 'CG00095'; </v>
      </c>
      <c r="S96" t="str">
        <f>"Update Collaborator_Group Set Group_Name = '"&amp;I96&amp;"' where Group_ID = '"&amp;A96&amp;"'; "</f>
        <v xml:space="preserve">Update Collaborator_Group Set Group_Name = 'SrinivasanB_GeorgiaIT' where Group_ID = 'CG00095'; </v>
      </c>
      <c r="T96" t="str">
        <f>"Update dcollab.collab_group Set group_code = '"&amp;I96&amp;"' where Group_ID = '"&amp;B96&amp;"'; "</f>
        <v xml:space="preserve">Update dcollab.collab_group Set group_code = 'SrinivasanB_GeorgiaIT' where Group_ID = 'CGRP00096'; </v>
      </c>
    </row>
    <row r="97" spans="1:20">
      <c r="A97" t="s">
        <v>1725</v>
      </c>
      <c r="B97" t="s">
        <v>8965</v>
      </c>
      <c r="D97" t="s">
        <v>1724</v>
      </c>
      <c r="E97" t="s">
        <v>8762</v>
      </c>
      <c r="F97">
        <f>LEN(I97)</f>
        <v>15</v>
      </c>
      <c r="G97" t="str">
        <f>VLOOKUP(E97,Organisation!$A$2:$C$499,3,FALSE)</f>
        <v>CORG00081</v>
      </c>
      <c r="H97" t="str">
        <f>VLOOKUP(G97,Organisation!$C$2:$E$318,3,FALSE)</f>
        <v>ICIQ</v>
      </c>
      <c r="I97" t="s">
        <v>5738</v>
      </c>
      <c r="J97">
        <f t="shared" si="1"/>
        <v>1</v>
      </c>
      <c r="L97" t="s">
        <v>1728</v>
      </c>
      <c r="M97" t="s">
        <v>1729</v>
      </c>
      <c r="N97" t="s">
        <v>1256</v>
      </c>
      <c r="P97" t="s">
        <v>8866</v>
      </c>
      <c r="Q97" s="1">
        <v>1</v>
      </c>
      <c r="R97" t="str">
        <f>"Update Collaborator_Group Set Organisation = '"&amp;E97&amp;"' where Group_ID = '"&amp;A97&amp;"'; "</f>
        <v xml:space="preserve">Update Collaborator_Group Set Organisation = 'Institut Català Investigació Química' where Group_ID = 'CG00096'; </v>
      </c>
      <c r="S97" t="str">
        <f>"Update Collaborator_Group Set Group_Name = '"&amp;I97&amp;"' where Group_ID = '"&amp;A97&amp;"'; "</f>
        <v xml:space="preserve">Update Collaborator_Group Set Group_Name = 'EchavarreA_ICIQ' where Group_ID = 'CG00096'; </v>
      </c>
      <c r="T97" t="str">
        <f>"Update dcollab.collab_group Set group_code = '"&amp;I97&amp;"' where Group_ID = '"&amp;B97&amp;"'; "</f>
        <v xml:space="preserve">Update dcollab.collab_group Set group_code = 'EchavarreA_ICIQ' where Group_ID = 'CGRP00097'; </v>
      </c>
    </row>
    <row r="98" spans="1:20">
      <c r="A98" t="s">
        <v>4295</v>
      </c>
      <c r="B98" t="s">
        <v>8902</v>
      </c>
      <c r="D98" t="s">
        <v>4294</v>
      </c>
      <c r="E98" t="s">
        <v>4297</v>
      </c>
      <c r="F98">
        <f>LEN(I98)</f>
        <v>12</v>
      </c>
      <c r="G98" t="str">
        <f>VLOOKUP(E98,Organisation!$A$2:$C$499,3,FALSE)</f>
        <v>CORG00025</v>
      </c>
      <c r="H98" t="str">
        <f>VLOOKUP(G98,Organisation!$C$2:$E$318,3,FALSE)</f>
        <v>CESCP</v>
      </c>
      <c r="I98" t="s">
        <v>10435</v>
      </c>
      <c r="J98">
        <f t="shared" si="1"/>
        <v>1</v>
      </c>
      <c r="L98" t="s">
        <v>35</v>
      </c>
      <c r="M98" t="s">
        <v>4298</v>
      </c>
      <c r="N98" t="s">
        <v>211</v>
      </c>
      <c r="P98" t="s">
        <v>8866</v>
      </c>
      <c r="Q98" s="1">
        <v>1</v>
      </c>
      <c r="R98" t="str">
        <f>"Update Collaborator_Group Set Organisation = '"&amp;E98&amp;"' where Group_ID = '"&amp;A98&amp;"'; "</f>
        <v xml:space="preserve">Update Collaborator_Group Set Organisation = 'C.E.S College of Pharmacy' where Group_ID = 'CG00097'; </v>
      </c>
      <c r="S98" t="str">
        <f>"Update Collaborator_Group Set Group_Name = '"&amp;I98&amp;"' where Group_ID = '"&amp;A98&amp;"'; "</f>
        <v xml:space="preserve">Update Collaborator_Group Set Group_Name = 'ReddyS_CESCP' where Group_ID = 'CG00097'; </v>
      </c>
      <c r="T98" t="str">
        <f>"Update dcollab.collab_group Set group_code = '"&amp;I98&amp;"' where Group_ID = '"&amp;B98&amp;"'; "</f>
        <v xml:space="preserve">Update dcollab.collab_group Set group_code = 'ReddyS_CESCP' where Group_ID = 'CGRP00098'; </v>
      </c>
    </row>
    <row r="99" spans="1:20">
      <c r="A99" t="s">
        <v>3873</v>
      </c>
      <c r="B99" t="s">
        <v>9121</v>
      </c>
      <c r="D99" t="s">
        <v>5014</v>
      </c>
      <c r="E99" t="s">
        <v>3876</v>
      </c>
      <c r="F99">
        <f>LEN(I99)</f>
        <v>15</v>
      </c>
      <c r="G99" t="str">
        <f>VLOOKUP(E99,Organisation!$A$2:$C$499,3,FALSE)</f>
        <v>CORG00210</v>
      </c>
      <c r="H99" t="str">
        <f>VLOOKUP(G99,Organisation!$C$2:$E$318,3,FALSE)</f>
        <v>UCDublin</v>
      </c>
      <c r="I99" t="s">
        <v>10436</v>
      </c>
      <c r="J99">
        <f t="shared" si="1"/>
        <v>1</v>
      </c>
      <c r="L99" t="s">
        <v>170</v>
      </c>
      <c r="M99" t="s">
        <v>5017</v>
      </c>
      <c r="N99" t="s">
        <v>1235</v>
      </c>
      <c r="P99" t="s">
        <v>8866</v>
      </c>
      <c r="Q99" s="1">
        <v>1</v>
      </c>
      <c r="R99" t="str">
        <f>"Update Collaborator_Group Set Organisation = '"&amp;E99&amp;"' where Group_ID = '"&amp;A99&amp;"'; "</f>
        <v xml:space="preserve">Update Collaborator_Group Set Organisation = 'University College Dublin' where Group_ID = 'CG00098'; </v>
      </c>
      <c r="S99" t="str">
        <f>"Update Collaborator_Group Set Group_Name = '"&amp;I99&amp;"' where Group_ID = '"&amp;A99&amp;"'; "</f>
        <v xml:space="preserve">Update Collaborator_Group Set Group_Name = 'TackeM_UCDublin' where Group_ID = 'CG00098'; </v>
      </c>
      <c r="T99" t="str">
        <f>"Update dcollab.collab_group Set group_code = '"&amp;I99&amp;"' where Group_ID = '"&amp;B99&amp;"'; "</f>
        <v xml:space="preserve">Update dcollab.collab_group Set group_code = 'TackeM_UCDublin' where Group_ID = 'CGRP00099'; </v>
      </c>
    </row>
    <row r="100" spans="1:20">
      <c r="A100" t="s">
        <v>2961</v>
      </c>
      <c r="B100" t="s">
        <v>9160</v>
      </c>
      <c r="D100" t="s">
        <v>2960</v>
      </c>
      <c r="E100" t="s">
        <v>2965</v>
      </c>
      <c r="F100">
        <f>LEN(I100)</f>
        <v>21</v>
      </c>
      <c r="G100" t="str">
        <f>VLOOKUP(E100,Organisation!$A$2:$C$499,3,FALSE)</f>
        <v>CORG00239</v>
      </c>
      <c r="H100" t="str">
        <f>VLOOKUP(G100,Organisation!$C$2:$E$318,3,FALSE)</f>
        <v>ULoughborough</v>
      </c>
      <c r="I100" t="s">
        <v>5578</v>
      </c>
      <c r="J100">
        <f t="shared" si="1"/>
        <v>1</v>
      </c>
      <c r="L100" t="s">
        <v>73</v>
      </c>
      <c r="M100" t="s">
        <v>2966</v>
      </c>
      <c r="N100" t="s">
        <v>269</v>
      </c>
      <c r="P100" t="s">
        <v>8866</v>
      </c>
      <c r="Q100" s="1">
        <v>1</v>
      </c>
      <c r="R100" t="str">
        <f>"Update Collaborator_Group Set Organisation = '"&amp;E100&amp;"' where Group_ID = '"&amp;A100&amp;"'; "</f>
        <v xml:space="preserve">Update Collaborator_Group Set Organisation = 'University of Loughborough' where Group_ID = 'CG00099'; </v>
      </c>
      <c r="S100" t="str">
        <f>"Update Collaborator_Group Set Group_Name = '"&amp;I100&amp;"' where Group_ID = '"&amp;A100&amp;"'; "</f>
        <v xml:space="preserve">Update Collaborator_Group Set Group_Name = 'KimberM_ULoughborough' where Group_ID = 'CG00099'; </v>
      </c>
      <c r="T100" t="str">
        <f>"Update dcollab.collab_group Set group_code = '"&amp;I100&amp;"' where Group_ID = '"&amp;B100&amp;"'; "</f>
        <v xml:space="preserve">Update dcollab.collab_group Set group_code = 'KimberM_ULoughborough' where Group_ID = 'CGRP00100'; </v>
      </c>
    </row>
    <row r="101" spans="1:20">
      <c r="A101" t="s">
        <v>68</v>
      </c>
      <c r="B101" t="s">
        <v>9191</v>
      </c>
      <c r="D101" t="s">
        <v>256</v>
      </c>
      <c r="E101" t="s">
        <v>72</v>
      </c>
      <c r="F101">
        <f>LEN(I101)</f>
        <v>22</v>
      </c>
      <c r="G101" t="str">
        <f>VLOOKUP(E101,Organisation!$A$2:$C$499,3,FALSE)</f>
        <v>CORG00263</v>
      </c>
      <c r="H101" t="str">
        <f>VLOOKUP(G101,Organisation!$C$2:$E$318,3,FALSE)</f>
        <v>UPrEdwardIsl</v>
      </c>
      <c r="I101" t="s">
        <v>10437</v>
      </c>
      <c r="J101">
        <f t="shared" si="1"/>
        <v>1</v>
      </c>
      <c r="L101" t="s">
        <v>73</v>
      </c>
      <c r="M101" t="s">
        <v>74</v>
      </c>
      <c r="N101" t="s">
        <v>75</v>
      </c>
      <c r="P101" t="s">
        <v>8866</v>
      </c>
      <c r="Q101" s="1">
        <v>1</v>
      </c>
      <c r="R101" t="str">
        <f>"Update Collaborator_Group Set Organisation = '"&amp;E101&amp;"' where Group_ID = '"&amp;A101&amp;"'; "</f>
        <v xml:space="preserve">Update Collaborator_Group Set Organisation = 'University of Prince Edward Island' where Group_ID = 'CG00100'; </v>
      </c>
      <c r="S101" t="str">
        <f>"Update Collaborator_Group Set Group_Name = '"&amp;I101&amp;"' where Group_ID = '"&amp;A101&amp;"'; "</f>
        <v xml:space="preserve">Update Collaborator_Group Set Group_Name = 'AgatemorC_UPrEdwardIsl' where Group_ID = 'CG00100'; </v>
      </c>
      <c r="T101" t="str">
        <f>"Update dcollab.collab_group Set group_code = '"&amp;I101&amp;"' where Group_ID = '"&amp;B101&amp;"'; "</f>
        <v xml:space="preserve">Update dcollab.collab_group Set group_code = 'AgatemorC_UPrEdwardIsl' where Group_ID = 'CGRP00101'; </v>
      </c>
    </row>
    <row r="102" spans="1:20">
      <c r="A102" t="s">
        <v>3293</v>
      </c>
      <c r="B102" t="s">
        <v>9054</v>
      </c>
      <c r="D102" t="s">
        <v>3292</v>
      </c>
      <c r="E102" t="s">
        <v>3296</v>
      </c>
      <c r="F102">
        <f>LEN(I102)</f>
        <v>12</v>
      </c>
      <c r="G102" t="str">
        <f>VLOOKUP(E102,Organisation!$A$2:$C$499,3,FALSE)</f>
        <v>CORG00152</v>
      </c>
      <c r="H102" t="str">
        <f>VLOOKUP(G102,Organisation!$C$2:$E$318,3,FALSE)</f>
        <v>PekingU</v>
      </c>
      <c r="I102" t="s">
        <v>5657</v>
      </c>
      <c r="J102">
        <f t="shared" si="1"/>
        <v>1</v>
      </c>
      <c r="L102" t="s">
        <v>3297</v>
      </c>
      <c r="N102" t="s">
        <v>748</v>
      </c>
      <c r="P102" t="s">
        <v>8866</v>
      </c>
      <c r="Q102" s="1">
        <v>1</v>
      </c>
      <c r="R102" t="str">
        <f>"Update Collaborator_Group Set Organisation = '"&amp;E102&amp;"' where Group_ID = '"&amp;A102&amp;"'; "</f>
        <v xml:space="preserve">Update Collaborator_Group Set Organisation = 'Peking University' where Group_ID = 'CG00101'; </v>
      </c>
      <c r="S102" t="str">
        <f>"Update Collaborator_Group Set Group_Name = '"&amp;I102&amp;"' where Group_ID = '"&amp;A102&amp;"'; "</f>
        <v xml:space="preserve">Update Collaborator_Group Set Group_Name = 'LuoT_PekingU' where Group_ID = 'CG00101'; </v>
      </c>
      <c r="T102" t="str">
        <f>"Update dcollab.collab_group Set group_code = '"&amp;I102&amp;"' where Group_ID = '"&amp;B102&amp;"'; "</f>
        <v xml:space="preserve">Update dcollab.collab_group Set group_code = 'LuoT_PekingU' where Group_ID = 'CGRP00102'; </v>
      </c>
    </row>
    <row r="103" spans="1:20">
      <c r="A103" t="s">
        <v>1749</v>
      </c>
      <c r="B103" t="s">
        <v>9037</v>
      </c>
      <c r="D103" t="s">
        <v>1748</v>
      </c>
      <c r="E103" t="s">
        <v>1752</v>
      </c>
      <c r="F103">
        <f>LEN(I103)</f>
        <v>12</v>
      </c>
      <c r="G103" t="str">
        <f>VLOOKUP(E103,Organisation!$A$2:$C$499,3,FALSE)</f>
        <v>CORG00136</v>
      </c>
      <c r="H103" t="str">
        <f>VLOOKUP(G103,Organisation!$C$2:$E$318,3,FALSE)</f>
        <v>NRC</v>
      </c>
      <c r="I103" t="s">
        <v>10534</v>
      </c>
      <c r="J103">
        <f t="shared" si="1"/>
        <v>1</v>
      </c>
      <c r="L103" t="s">
        <v>1753</v>
      </c>
      <c r="M103" t="s">
        <v>1754</v>
      </c>
      <c r="N103" t="s">
        <v>55</v>
      </c>
      <c r="P103" t="s">
        <v>8866</v>
      </c>
      <c r="Q103" s="1">
        <v>1</v>
      </c>
      <c r="R103" t="str">
        <f>"Update Collaborator_Group Set Organisation = '"&amp;E103&amp;"' where Group_ID = '"&amp;A103&amp;"'; "</f>
        <v xml:space="preserve">Update Collaborator_Group Set Organisation = 'National Research Centre' where Group_ID = 'CG00102'; </v>
      </c>
      <c r="S103" t="str">
        <f>"Update Collaborator_Group Set Group_Name = '"&amp;I103&amp;"' where Group_ID = '"&amp;A103&amp;"'; "</f>
        <v xml:space="preserve">Update Collaborator_Group Set Group_Name = 'ElSayedM_NRC' where Group_ID = 'CG00102'; </v>
      </c>
      <c r="T103" t="str">
        <f>"Update dcollab.collab_group Set group_code = '"&amp;I103&amp;"' where Group_ID = '"&amp;B103&amp;"'; "</f>
        <v xml:space="preserve">Update dcollab.collab_group Set group_code = 'ElSayedM_NRC' where Group_ID = 'CGRP00103'; </v>
      </c>
    </row>
    <row r="104" spans="1:20">
      <c r="A104" t="s">
        <v>2202</v>
      </c>
      <c r="B104" t="s">
        <v>8918</v>
      </c>
      <c r="D104" t="s">
        <v>2201</v>
      </c>
      <c r="E104" t="s">
        <v>2206</v>
      </c>
      <c r="F104">
        <f>LEN(I104)</f>
        <v>19</v>
      </c>
      <c r="G104" t="str">
        <f>VLOOKUP(E104,Organisation!$A$2:$C$499,3,FALSE)</f>
        <v>CORG00040</v>
      </c>
      <c r="H104" t="str">
        <f>VLOOKUP(G104,Organisation!$C$2:$E$318,3,FALSE)</f>
        <v>CSIC</v>
      </c>
      <c r="I104" t="s">
        <v>10535</v>
      </c>
      <c r="J104">
        <f t="shared" si="1"/>
        <v>1</v>
      </c>
      <c r="L104" t="s">
        <v>2207</v>
      </c>
      <c r="M104" t="s">
        <v>2208</v>
      </c>
      <c r="N104" t="s">
        <v>1256</v>
      </c>
      <c r="P104" t="s">
        <v>8866</v>
      </c>
      <c r="Q104" s="1">
        <v>1</v>
      </c>
      <c r="R104" t="str">
        <f>"Update Collaborator_Group Set Organisation = '"&amp;E104&amp;"' where Group_ID = '"&amp;A104&amp;"'; "</f>
        <v xml:space="preserve">Update Collaborator_Group Set Organisation = 'Consejo Superior de Investigaciones Científicas' where Group_ID = 'CG00103'; </v>
      </c>
      <c r="S104" t="str">
        <f>"Update Collaborator_Group Set Group_Name = '"&amp;I104&amp;"' where Group_ID = '"&amp;A104&amp;"'; "</f>
        <v xml:space="preserve">Update Collaborator_Group Set Group_Name = 'GonzálezMuñizR_CSIC' where Group_ID = 'CG00103'; </v>
      </c>
      <c r="T104" t="str">
        <f>"Update dcollab.collab_group Set group_code = '"&amp;I104&amp;"' where Group_ID = '"&amp;B104&amp;"'; "</f>
        <v xml:space="preserve">Update dcollab.collab_group Set group_code = 'GonzálezMuñizR_CSIC' where Group_ID = 'CGRP00104'; </v>
      </c>
    </row>
    <row r="105" spans="1:20">
      <c r="A105" t="s">
        <v>17</v>
      </c>
      <c r="B105" t="s">
        <v>9170</v>
      </c>
      <c r="D105" t="s">
        <v>40</v>
      </c>
      <c r="E105" t="s">
        <v>22</v>
      </c>
      <c r="F105">
        <f>LEN(I105)</f>
        <v>14</v>
      </c>
      <c r="G105" t="str">
        <f>VLOOKUP(E105,Organisation!$A$2:$C$499,3,FALSE)</f>
        <v>CORG00248</v>
      </c>
      <c r="H105" t="str">
        <f>VLOOKUP(G105,Organisation!$C$2:$E$318,3,FALSE)</f>
        <v>UMosul</v>
      </c>
      <c r="I105" t="s">
        <v>5570</v>
      </c>
      <c r="J105">
        <f t="shared" si="1"/>
        <v>1</v>
      </c>
      <c r="L105" t="s">
        <v>44</v>
      </c>
      <c r="M105" t="s">
        <v>24</v>
      </c>
      <c r="N105" t="s">
        <v>25</v>
      </c>
      <c r="P105" t="s">
        <v>8866</v>
      </c>
      <c r="Q105" s="1">
        <v>1</v>
      </c>
      <c r="R105" t="str">
        <f>"Update Collaborator_Group Set Organisation = '"&amp;E105&amp;"' where Group_ID = '"&amp;A105&amp;"'; "</f>
        <v xml:space="preserve">Update Collaborator_Group Set Organisation = 'University of Mosul' where Group_ID = 'CG00104'; </v>
      </c>
      <c r="S105" t="str">
        <f>"Update Collaborator_Group Set Group_Name = '"&amp;I105&amp;"' where Group_ID = '"&amp;A105&amp;"'; "</f>
        <v xml:space="preserve">Update Collaborator_Group Set Group_Name = 'AbachiF_UMosul' where Group_ID = 'CG00104'; </v>
      </c>
      <c r="T105" t="str">
        <f>"Update dcollab.collab_group Set group_code = '"&amp;I105&amp;"' where Group_ID = '"&amp;B105&amp;"'; "</f>
        <v xml:space="preserve">Update dcollab.collab_group Set group_code = 'AbachiF_UMosul' where Group_ID = 'CGRP00105'; </v>
      </c>
    </row>
    <row r="106" spans="1:20">
      <c r="A106" t="s">
        <v>2947</v>
      </c>
      <c r="B106" t="s">
        <v>9066</v>
      </c>
      <c r="D106" t="s">
        <v>2946</v>
      </c>
      <c r="E106" t="s">
        <v>2949</v>
      </c>
      <c r="F106">
        <f>LEN(I106)</f>
        <v>13</v>
      </c>
      <c r="G106" t="str">
        <f>VLOOKUP(E106,Organisation!$A$2:$C$499,3,FALSE)</f>
        <v>CORG00163</v>
      </c>
      <c r="H106" t="str">
        <f>VLOOKUP(G106,Organisation!$C$2:$E$318,3,FALSE)</f>
        <v>RTM</v>
      </c>
      <c r="I106" t="s">
        <v>5650</v>
      </c>
      <c r="J106">
        <f t="shared" si="1"/>
        <v>1</v>
      </c>
      <c r="L106" t="s">
        <v>1263</v>
      </c>
      <c r="N106" t="s">
        <v>211</v>
      </c>
      <c r="P106" t="s">
        <v>8866</v>
      </c>
      <c r="Q106" s="1">
        <v>1</v>
      </c>
      <c r="R106" t="str">
        <f>"Update Collaborator_Group Set Organisation = '"&amp;E106&amp;"' where Group_ID = '"&amp;A106&amp;"'; "</f>
        <v xml:space="preserve">Update Collaborator_Group Set Organisation = 'RTM Nagpur University' where Group_ID = 'CG00105'; </v>
      </c>
      <c r="S106" t="str">
        <f>"Update Collaborator_Group Set Group_Name = '"&amp;I106&amp;"' where Group_ID = '"&amp;A106&amp;"'; "</f>
        <v xml:space="preserve">Update Collaborator_Group Set Group_Name = 'KhedekarP_RTM' where Group_ID = 'CG00105'; </v>
      </c>
      <c r="T106" t="str">
        <f>"Update dcollab.collab_group Set group_code = '"&amp;I106&amp;"' where Group_ID = '"&amp;B106&amp;"'; "</f>
        <v xml:space="preserve">Update dcollab.collab_group Set group_code = 'KhedekarP_RTM' where Group_ID = 'CGRP00106'; </v>
      </c>
    </row>
    <row r="107" spans="1:20">
      <c r="A107" t="s">
        <v>660</v>
      </c>
      <c r="B107" t="s">
        <v>9236</v>
      </c>
      <c r="D107" t="s">
        <v>659</v>
      </c>
      <c r="E107" t="s">
        <v>8154</v>
      </c>
      <c r="F107">
        <f>LEN(I107)</f>
        <v>27</v>
      </c>
      <c r="G107" t="str">
        <f>VLOOKUP(E107,Organisation!$A$2:$C$499,3,FALSE)</f>
        <v>CORG00287</v>
      </c>
      <c r="H107" t="str">
        <f>VLOOKUP(G107,Organisation!$C$2:$E$318,3,FALSE)</f>
        <v>UVirginiaCollWise</v>
      </c>
      <c r="I107" t="s">
        <v>5524</v>
      </c>
      <c r="J107">
        <f t="shared" si="1"/>
        <v>1</v>
      </c>
      <c r="L107" t="s">
        <v>5523</v>
      </c>
      <c r="M107" t="s">
        <v>665</v>
      </c>
      <c r="N107" t="s">
        <v>8808</v>
      </c>
      <c r="P107" t="s">
        <v>8866</v>
      </c>
      <c r="Q107" s="1">
        <v>1</v>
      </c>
      <c r="R107" t="str">
        <f>"Update Collaborator_Group Set Organisation = '"&amp;E107&amp;"' where Group_ID = '"&amp;A107&amp;"'; "</f>
        <v xml:space="preserve">Update Collaborator_Group Set Organisation = 'University of Virginia College at Wise' where Group_ID = 'CG00106'; </v>
      </c>
      <c r="S107" t="str">
        <f>"Update Collaborator_Group Set Group_Name = '"&amp;I107&amp;"' where Group_ID = '"&amp;A107&amp;"'; "</f>
        <v xml:space="preserve">Update Collaborator_Group Set Group_Name = 'BeckfordF_UVirginiaCollWise' where Group_ID = 'CG00106'; </v>
      </c>
      <c r="T107" t="str">
        <f>"Update dcollab.collab_group Set group_code = '"&amp;I107&amp;"' where Group_ID = '"&amp;B107&amp;"'; "</f>
        <v xml:space="preserve">Update dcollab.collab_group Set group_code = 'BeckfordF_UVirginiaCollWise' where Group_ID = 'CGRP00107'; </v>
      </c>
    </row>
    <row r="108" spans="1:20">
      <c r="A108" t="s">
        <v>4172</v>
      </c>
      <c r="B108" t="s">
        <v>8899</v>
      </c>
      <c r="D108" t="s">
        <v>4171</v>
      </c>
      <c r="E108" t="s">
        <v>943</v>
      </c>
      <c r="F108">
        <f>LEN(I108)</f>
        <v>14</v>
      </c>
      <c r="G108" t="str">
        <f>VLOOKUP(E108,Organisation!$A$2:$C$499,3,FALSE)</f>
        <v>CORG00022</v>
      </c>
      <c r="H108" t="str">
        <f>VLOOKUP(G108,Organisation!$C$2:$E$318,3,FALSE)</f>
        <v>BostonU</v>
      </c>
      <c r="I108" t="s">
        <v>5775</v>
      </c>
      <c r="J108">
        <f t="shared" si="1"/>
        <v>1</v>
      </c>
      <c r="L108" t="s">
        <v>944</v>
      </c>
      <c r="M108" t="s">
        <v>945</v>
      </c>
      <c r="N108" t="s">
        <v>8808</v>
      </c>
      <c r="O108" t="s">
        <v>5774</v>
      </c>
      <c r="P108" t="s">
        <v>8867</v>
      </c>
      <c r="Q108" s="1">
        <v>1</v>
      </c>
      <c r="R108" t="str">
        <f>"Update Collaborator_Group Set Organisation = '"&amp;E108&amp;"' where Group_ID = '"&amp;A108&amp;"'; "</f>
        <v xml:space="preserve">Update Collaborator_Group Set Organisation = 'Boston University' where Group_ID = 'CG00107'; </v>
      </c>
      <c r="S108" t="str">
        <f>"Update Collaborator_Group Set Group_Name = '"&amp;I108&amp;"' where Group_ID = '"&amp;A108&amp;"'; "</f>
        <v xml:space="preserve">Update Collaborator_Group Set Group_Name = 'PorcoJ_BostonU' where Group_ID = 'CG00107'; </v>
      </c>
      <c r="T108" t="str">
        <f>"Update dcollab.collab_group Set group_code = '"&amp;I108&amp;"' where Group_ID = '"&amp;B108&amp;"'; "</f>
        <v xml:space="preserve">Update dcollab.collab_group Set group_code = 'PorcoJ_BostonU' where Group_ID = 'CGRP00108'; </v>
      </c>
    </row>
    <row r="109" spans="1:20">
      <c r="A109" t="s">
        <v>2405</v>
      </c>
      <c r="B109" t="s">
        <v>9253</v>
      </c>
      <c r="D109" t="s">
        <v>2404</v>
      </c>
      <c r="E109" t="s">
        <v>1105</v>
      </c>
      <c r="F109">
        <f>LEN(I109)</f>
        <v>19</v>
      </c>
      <c r="G109" t="str">
        <f>VLOOKUP(E109,Organisation!$A$2:$C$499,3,FALSE)</f>
        <v>CORG00299</v>
      </c>
      <c r="H109" t="str">
        <f>VLOOKUP(G109,Organisation!$C$2:$E$318,3,FALSE)</f>
        <v>VanderbiltU</v>
      </c>
      <c r="I109" t="s">
        <v>5505</v>
      </c>
      <c r="J109">
        <f t="shared" si="1"/>
        <v>1</v>
      </c>
      <c r="L109" t="s">
        <v>73</v>
      </c>
      <c r="M109" t="s">
        <v>2407</v>
      </c>
      <c r="N109" t="s">
        <v>8808</v>
      </c>
      <c r="P109" t="s">
        <v>8866</v>
      </c>
      <c r="Q109" s="1">
        <v>1</v>
      </c>
      <c r="R109" t="str">
        <f>"Update Collaborator_Group Set Organisation = '"&amp;E109&amp;"' where Group_ID = '"&amp;A109&amp;"'; "</f>
        <v xml:space="preserve">Update Collaborator_Group Set Organisation = 'Vanderbilt University' where Group_ID = 'CG00108'; </v>
      </c>
      <c r="S109" t="str">
        <f>"Update Collaborator_Group Set Group_Name = '"&amp;I109&amp;"' where Group_ID = '"&amp;A109&amp;"'; "</f>
        <v xml:space="preserve">Update Collaborator_Group Set Group_Name = 'HarrisT_VanderbiltU' where Group_ID = 'CG00108'; </v>
      </c>
      <c r="T109" t="str">
        <f>"Update dcollab.collab_group Set group_code = '"&amp;I109&amp;"' where Group_ID = '"&amp;B109&amp;"'; "</f>
        <v xml:space="preserve">Update dcollab.collab_group Set group_code = 'HarrisT_VanderbiltU' where Group_ID = 'CGRP00109'; </v>
      </c>
    </row>
    <row r="110" spans="1:20">
      <c r="A110" t="s">
        <v>468</v>
      </c>
      <c r="B110" t="s">
        <v>9035</v>
      </c>
      <c r="D110" t="s">
        <v>5187</v>
      </c>
      <c r="E110" t="s">
        <v>8771</v>
      </c>
      <c r="F110">
        <f>LEN(I110)</f>
        <v>12</v>
      </c>
      <c r="G110" t="str">
        <f>VLOOKUP(E110,Organisation!$A$2:$C$499,3,FALSE)</f>
        <v>CORG00135</v>
      </c>
      <c r="H110" t="str">
        <f>VLOOKUP(G110,Organisation!$C$2:$E$318,3,FALSE)</f>
        <v>NITW</v>
      </c>
      <c r="I110" t="s">
        <v>10438</v>
      </c>
      <c r="J110">
        <f t="shared" si="1"/>
        <v>1</v>
      </c>
      <c r="L110" t="s">
        <v>73</v>
      </c>
      <c r="M110" t="s">
        <v>5179</v>
      </c>
      <c r="N110" t="s">
        <v>211</v>
      </c>
      <c r="P110" t="s">
        <v>8866</v>
      </c>
      <c r="Q110" s="1">
        <v>1</v>
      </c>
      <c r="R110" t="str">
        <f>"Update Collaborator_Group Set Organisation = '"&amp;E110&amp;"' where Group_ID = '"&amp;A110&amp;"'; "</f>
        <v xml:space="preserve">Update Collaborator_Group Set Organisation = 'National Institute of Technology Warangal' where Group_ID = 'CG00109'; </v>
      </c>
      <c r="S110" t="str">
        <f>"Update Collaborator_Group Set Group_Name = '"&amp;I110&amp;"' where Group_ID = '"&amp;A110&amp;"'; "</f>
        <v xml:space="preserve">Update Collaborator_Group Set Group_Name = 'VedulaR_NITW' where Group_ID = 'CG00109'; </v>
      </c>
      <c r="T110" t="str">
        <f>"Update dcollab.collab_group Set group_code = '"&amp;I110&amp;"' where Group_ID = '"&amp;B110&amp;"'; "</f>
        <v xml:space="preserve">Update dcollab.collab_group Set group_code = 'VedulaR_NITW' where Group_ID = 'CGRP00110'; </v>
      </c>
    </row>
    <row r="111" spans="1:20">
      <c r="A111" t="s">
        <v>1917</v>
      </c>
      <c r="B111" t="s">
        <v>8960</v>
      </c>
      <c r="D111" t="s">
        <v>1916</v>
      </c>
      <c r="E111" t="s">
        <v>1920</v>
      </c>
      <c r="F111">
        <f>LEN(I111)</f>
        <v>14</v>
      </c>
      <c r="G111" t="str">
        <f>VLOOKUP(E111,Organisation!$A$2:$C$499,3,FALSE)</f>
        <v>CORG00076</v>
      </c>
      <c r="H111" t="str">
        <f>VLOOKUP(G111,Organisation!$C$2:$E$318,3,FALSE)</f>
        <v>IR</v>
      </c>
      <c r="I111" t="s">
        <v>10439</v>
      </c>
      <c r="J111">
        <f t="shared" si="1"/>
        <v>1</v>
      </c>
      <c r="L111" t="s">
        <v>1920</v>
      </c>
      <c r="M111" t="s">
        <v>1921</v>
      </c>
      <c r="N111" t="s">
        <v>211</v>
      </c>
      <c r="P111" t="s">
        <v>8866</v>
      </c>
      <c r="Q111" s="1">
        <v>1</v>
      </c>
      <c r="R111" t="str">
        <f>"Update Collaborator_Group Set Organisation = '"&amp;E111&amp;"' where Group_ID = '"&amp;A111&amp;"'; "</f>
        <v xml:space="preserve">Update Collaborator_Group Set Organisation = 'Independent Researcher' where Group_ID = 'CG00110'; </v>
      </c>
      <c r="S111" t="str">
        <f>"Update Collaborator_Group Set Group_Name = '"&amp;I111&amp;"' where Group_ID = '"&amp;A111&amp;"'; "</f>
        <v xml:space="preserve">Update Collaborator_Group Set Group_Name = 'FakhruddinM_IR' where Group_ID = 'CG00110'; </v>
      </c>
      <c r="T111" t="str">
        <f>"Update dcollab.collab_group Set group_code = '"&amp;I111&amp;"' where Group_ID = '"&amp;B111&amp;"'; "</f>
        <v xml:space="preserve">Update dcollab.collab_group Set group_code = 'FakhruddinM_IR' where Group_ID = 'CGRP00111'; </v>
      </c>
    </row>
    <row r="112" spans="1:20">
      <c r="A112" t="s">
        <v>968</v>
      </c>
      <c r="B112" t="s">
        <v>8983</v>
      </c>
      <c r="D112" t="s">
        <v>967</v>
      </c>
      <c r="E112" t="s">
        <v>8764</v>
      </c>
      <c r="F112">
        <f>LEN(I112)</f>
        <v>10</v>
      </c>
      <c r="G112" t="str">
        <f>VLOOKUP(E112,Organisation!$A$2:$C$499,3,FALSE)</f>
        <v>CORG00095</v>
      </c>
      <c r="H112" t="str">
        <f>VLOOKUP(G112,Organisation!$C$2:$E$318,3,FALSE)</f>
        <v>KIT</v>
      </c>
      <c r="I112" t="s">
        <v>10440</v>
      </c>
      <c r="J112">
        <f t="shared" si="1"/>
        <v>1</v>
      </c>
      <c r="L112" t="s">
        <v>972</v>
      </c>
      <c r="M112" t="s">
        <v>973</v>
      </c>
      <c r="N112" t="s">
        <v>557</v>
      </c>
      <c r="O112" t="s">
        <v>5712</v>
      </c>
      <c r="P112" t="s">
        <v>8867</v>
      </c>
      <c r="Q112" s="1">
        <v>1</v>
      </c>
      <c r="R112" t="str">
        <f>"Update Collaborator_Group Set Organisation = '"&amp;E112&amp;"' where Group_ID = '"&amp;A112&amp;"'; "</f>
        <v xml:space="preserve">Update Collaborator_Group Set Organisation = 'Karlsruhe Institute of Technology' where Group_ID = 'CG00111'; </v>
      </c>
      <c r="S112" t="str">
        <f>"Update Collaborator_Group Set Group_Name = '"&amp;I112&amp;"' where Group_ID = '"&amp;A112&amp;"'; "</f>
        <v xml:space="preserve">Update Collaborator_Group Set Group_Name = 'BräseS_KIT' where Group_ID = 'CG00111'; </v>
      </c>
      <c r="T112" t="str">
        <f>"Update dcollab.collab_group Set group_code = '"&amp;I112&amp;"' where Group_ID = '"&amp;B112&amp;"'; "</f>
        <v xml:space="preserve">Update dcollab.collab_group Set group_code = 'BräseS_KIT' where Group_ID = 'CGRP00112'; </v>
      </c>
    </row>
    <row r="113" spans="1:20">
      <c r="A113" t="s">
        <v>1260</v>
      </c>
      <c r="B113" t="s">
        <v>9173</v>
      </c>
      <c r="D113" t="s">
        <v>1259</v>
      </c>
      <c r="E113" t="s">
        <v>1262</v>
      </c>
      <c r="F113">
        <f>LEN(I113)</f>
        <v>27</v>
      </c>
      <c r="G113" t="str">
        <f>VLOOKUP(E113,Organisation!$A$2:$C$499,3,FALSE)</f>
        <v>CORG00251</v>
      </c>
      <c r="H113" t="str">
        <f>VLOOKUP(G113,Organisation!$C$2:$E$318,3,FALSE)</f>
        <v>UNebraskaMC</v>
      </c>
      <c r="I113" t="s">
        <v>5566</v>
      </c>
      <c r="J113">
        <f t="shared" si="1"/>
        <v>1</v>
      </c>
      <c r="L113" t="s">
        <v>1263</v>
      </c>
      <c r="M113" t="s">
        <v>1264</v>
      </c>
      <c r="N113" t="s">
        <v>8808</v>
      </c>
      <c r="P113" t="s">
        <v>8866</v>
      </c>
      <c r="Q113" s="1">
        <v>1</v>
      </c>
      <c r="R113" t="str">
        <f>"Update Collaborator_Group Set Organisation = '"&amp;E113&amp;"' where Group_ID = '"&amp;A113&amp;"'; "</f>
        <v xml:space="preserve">Update Collaborator_Group Set Organisation = 'University of Nebraska Medical Center' where Group_ID = 'CG00112'; </v>
      </c>
      <c r="S113" t="str">
        <f>"Update Collaborator_Group Set Group_Name = '"&amp;I113&amp;"' where Group_ID = '"&amp;A113&amp;"'; "</f>
        <v xml:space="preserve">Update Collaborator_Group Set Group_Name = 'Conda-SheridanM_UNebraskaMC' where Group_ID = 'CG00112'; </v>
      </c>
      <c r="T113" t="str">
        <f>"Update dcollab.collab_group Set group_code = '"&amp;I113&amp;"' where Group_ID = '"&amp;B113&amp;"'; "</f>
        <v xml:space="preserve">Update dcollab.collab_group Set group_code = 'Conda-SheridanM_UNebraskaMC' where Group_ID = 'CGRP00113'; </v>
      </c>
    </row>
    <row r="114" spans="1:20">
      <c r="A114" t="s">
        <v>1468</v>
      </c>
      <c r="B114" t="s">
        <v>9252</v>
      </c>
      <c r="D114" t="s">
        <v>4656</v>
      </c>
      <c r="E114" t="s">
        <v>4658</v>
      </c>
      <c r="F114">
        <f>LEN(I114)</f>
        <v>17</v>
      </c>
      <c r="G114" t="str">
        <f>VLOOKUP(E114,Organisation!$A$2:$C$499,3,FALSE)</f>
        <v>CORG00298</v>
      </c>
      <c r="H114" t="str">
        <f>VLOOKUP(G114,Organisation!$C$2:$E$318,3,FALSE)</f>
        <v>KKharivNU</v>
      </c>
      <c r="I114" t="s">
        <v>5506</v>
      </c>
      <c r="J114">
        <f t="shared" si="1"/>
        <v>1</v>
      </c>
      <c r="L114" t="s">
        <v>692</v>
      </c>
      <c r="M114" t="s">
        <v>4659</v>
      </c>
      <c r="N114" t="s">
        <v>427</v>
      </c>
      <c r="P114" t="s">
        <v>8866</v>
      </c>
      <c r="Q114" s="1">
        <v>1</v>
      </c>
      <c r="R114" t="str">
        <f>"Update Collaborator_Group Set Organisation = '"&amp;E114&amp;"' where Group_ID = '"&amp;A114&amp;"'; "</f>
        <v xml:space="preserve">Update Collaborator_Group Set Organisation = 'V.N. Karazin Kharkiv National University' where Group_ID = 'CG00113'; </v>
      </c>
      <c r="S114" t="str">
        <f>"Update Collaborator_Group Set Group_Name = '"&amp;I114&amp;"' where Group_ID = '"&amp;A114&amp;"'; "</f>
        <v xml:space="preserve">Update Collaborator_Group Set Group_Name = 'SergiyK_KKharivNU' where Group_ID = 'CG00113'; </v>
      </c>
      <c r="T114" t="str">
        <f>"Update dcollab.collab_group Set group_code = '"&amp;I114&amp;"' where Group_ID = '"&amp;B114&amp;"'; "</f>
        <v xml:space="preserve">Update dcollab.collab_group Set group_code = 'SergiyK_KKharivNU' where Group_ID = 'CGRP00114'; </v>
      </c>
    </row>
    <row r="115" spans="1:20">
      <c r="A115" t="s">
        <v>3586</v>
      </c>
      <c r="B115" t="s">
        <v>9116</v>
      </c>
      <c r="D115" t="s">
        <v>3585</v>
      </c>
      <c r="E115" t="s">
        <v>1234</v>
      </c>
      <c r="F115">
        <f>LEN(I115)</f>
        <v>17</v>
      </c>
      <c r="G115" t="str">
        <f>VLOOKUP(E115,Organisation!$A$2:$C$499,3,FALSE)</f>
        <v>CORG00209</v>
      </c>
      <c r="H115" t="str">
        <f>VLOOKUP(G115,Organisation!$C$2:$E$318,3,FALSE)</f>
        <v>UCCork</v>
      </c>
      <c r="I115" t="s">
        <v>10441</v>
      </c>
      <c r="J115">
        <f t="shared" si="1"/>
        <v>1</v>
      </c>
      <c r="L115" t="s">
        <v>712</v>
      </c>
      <c r="M115" t="s">
        <v>3589</v>
      </c>
      <c r="N115" t="s">
        <v>1235</v>
      </c>
      <c r="P115" t="s">
        <v>8866</v>
      </c>
      <c r="Q115" s="1">
        <v>1</v>
      </c>
      <c r="R115" t="str">
        <f>"Update Collaborator_Group Set Organisation = '"&amp;E115&amp;"' where Group_ID = '"&amp;A115&amp;"'; "</f>
        <v xml:space="preserve">Update Collaborator_Group Set Organisation = 'University College Cork' where Group_ID = 'CG00114'; </v>
      </c>
      <c r="S115" t="str">
        <f>"Update Collaborator_Group Set Group_Name = '"&amp;I115&amp;"' where Group_ID = '"&amp;A115&amp;"'; "</f>
        <v xml:space="preserve">Update Collaborator_Group Set Group_Name = 'McGlackenG_UCCork' where Group_ID = 'CG00114'; </v>
      </c>
      <c r="T115" t="str">
        <f>"Update dcollab.collab_group Set group_code = '"&amp;I115&amp;"' where Group_ID = '"&amp;B115&amp;"'; "</f>
        <v xml:space="preserve">Update dcollab.collab_group Set group_code = 'McGlackenG_UCCork' where Group_ID = 'CGRP00115'; </v>
      </c>
    </row>
    <row r="116" spans="1:20">
      <c r="A116" t="s">
        <v>3058</v>
      </c>
      <c r="B116" t="s">
        <v>8994</v>
      </c>
      <c r="D116" t="s">
        <v>3057</v>
      </c>
      <c r="E116" t="s">
        <v>3062</v>
      </c>
      <c r="F116">
        <f>LEN(I116)</f>
        <v>21</v>
      </c>
      <c r="G116" t="str">
        <f>VLOOKUP(E116,Organisation!$A$2:$C$499,3,FALSE)</f>
        <v>CORG00105</v>
      </c>
      <c r="H116" t="str">
        <f>VLOOKUP(G116,Organisation!$C$2:$E$318,3,FALSE)</f>
        <v>ULueneberg</v>
      </c>
      <c r="I116" t="s">
        <v>5703</v>
      </c>
      <c r="J116">
        <f t="shared" si="1"/>
        <v>1</v>
      </c>
      <c r="L116" t="s">
        <v>3063</v>
      </c>
      <c r="M116" t="s">
        <v>3064</v>
      </c>
      <c r="N116" t="s">
        <v>557</v>
      </c>
      <c r="P116" t="s">
        <v>8866</v>
      </c>
      <c r="Q116" s="1">
        <v>1</v>
      </c>
      <c r="R116" t="str">
        <f>"Update Collaborator_Group Set Organisation = '"&amp;E116&amp;"' where Group_ID = '"&amp;A116&amp;"'; "</f>
        <v xml:space="preserve">Update Collaborator_Group Set Organisation = 'Leuphana University Lueneburg' where Group_ID = 'CG00115'; </v>
      </c>
      <c r="S116" t="str">
        <f>"Update Collaborator_Group Set Group_Name = '"&amp;I116&amp;"' where Group_ID = '"&amp;A116&amp;"'; "</f>
        <v xml:space="preserve">Update Collaborator_Group Set Group_Name = 'KuemmererK_ULueneberg' where Group_ID = 'CG00115'; </v>
      </c>
      <c r="T116" t="str">
        <f>"Update dcollab.collab_group Set group_code = '"&amp;I116&amp;"' where Group_ID = '"&amp;B116&amp;"'; "</f>
        <v xml:space="preserve">Update dcollab.collab_group Set group_code = 'KuemmererK_ULueneberg' where Group_ID = 'CGRP00116'; </v>
      </c>
    </row>
    <row r="117" spans="1:20">
      <c r="A117" t="s">
        <v>1110</v>
      </c>
      <c r="B117" t="s">
        <v>8996</v>
      </c>
      <c r="D117" t="s">
        <v>1109</v>
      </c>
      <c r="E117" t="s">
        <v>1114</v>
      </c>
      <c r="F117">
        <f>LEN(I117)</f>
        <v>20</v>
      </c>
      <c r="G117" t="str">
        <f>VLOOKUP(E117,Organisation!$A$2:$C$499,3,FALSE)</f>
        <v>CORG00106</v>
      </c>
      <c r="H117" t="str">
        <f>VLOOKUP(G117,Organisation!$C$2:$E$318,3,FALSE)</f>
        <v>MacquarieU</v>
      </c>
      <c r="I117" t="s">
        <v>5702</v>
      </c>
      <c r="J117">
        <f t="shared" si="1"/>
        <v>1</v>
      </c>
      <c r="L117" t="s">
        <v>1115</v>
      </c>
      <c r="M117" t="s">
        <v>1116</v>
      </c>
      <c r="N117" t="s">
        <v>14</v>
      </c>
      <c r="P117" t="s">
        <v>8866</v>
      </c>
      <c r="Q117" s="1">
        <v>1</v>
      </c>
      <c r="R117" t="str">
        <f>"Update Collaborator_Group Set Organisation = '"&amp;E117&amp;"' where Group_ID = '"&amp;A117&amp;"'; "</f>
        <v xml:space="preserve">Update Collaborator_Group Set Organisation = 'Macquarie University' where Group_ID = 'CG00116'; </v>
      </c>
      <c r="S117" t="str">
        <f>"Update Collaborator_Group Set Group_Name = '"&amp;I117&amp;"' where Group_ID = '"&amp;A117&amp;"'; "</f>
        <v xml:space="preserve">Update Collaborator_Group Set Group_Name = 'CharlsonA_MacquarieU' where Group_ID = 'CG00116'; </v>
      </c>
      <c r="T117" t="str">
        <f>"Update dcollab.collab_group Set group_code = '"&amp;I117&amp;"' where Group_ID = '"&amp;B117&amp;"'; "</f>
        <v xml:space="preserve">Update dcollab.collab_group Set group_code = 'CharlsonA_MacquarieU' where Group_ID = 'CGRP00117'; </v>
      </c>
    </row>
    <row r="118" spans="1:20">
      <c r="A118" t="s">
        <v>4824</v>
      </c>
      <c r="B118" t="s">
        <v>9144</v>
      </c>
      <c r="D118" t="s">
        <v>4823</v>
      </c>
      <c r="E118" t="s">
        <v>3052</v>
      </c>
      <c r="F118">
        <f>LEN(I118)</f>
        <v>22</v>
      </c>
      <c r="G118" t="str">
        <f>VLOOKUP(E118,Organisation!$A$2:$C$499,3,FALSE)</f>
        <v>CORG00225</v>
      </c>
      <c r="H118" t="str">
        <f>VLOOKUP(G118,Organisation!$C$2:$E$318,3,FALSE)</f>
        <v>UCentLancashire</v>
      </c>
      <c r="I118" t="s">
        <v>10442</v>
      </c>
      <c r="J118">
        <f t="shared" si="1"/>
        <v>1</v>
      </c>
      <c r="L118" t="s">
        <v>4827</v>
      </c>
      <c r="M118" t="s">
        <v>4828</v>
      </c>
      <c r="N118" t="s">
        <v>269</v>
      </c>
      <c r="P118" t="s">
        <v>8866</v>
      </c>
      <c r="Q118" s="1">
        <v>1</v>
      </c>
      <c r="R118" t="str">
        <f>"Update Collaborator_Group Set Organisation = '"&amp;E118&amp;"' where Group_ID = '"&amp;A118&amp;"'; "</f>
        <v xml:space="preserve">Update Collaborator_Group Set Organisation = 'University of Central Lancashire' where Group_ID = 'CG00117'; </v>
      </c>
      <c r="S118" t="str">
        <f>"Update Collaborator_Group Set Group_Name = '"&amp;I118&amp;"' where Group_ID = '"&amp;A118&amp;"'; "</f>
        <v xml:space="preserve">Update Collaborator_Group Set Group_Name = 'SnapeT_UCentLancashire' where Group_ID = 'CG00117'; </v>
      </c>
      <c r="T118" t="str">
        <f>"Update dcollab.collab_group Set group_code = '"&amp;I118&amp;"' where Group_ID = '"&amp;B118&amp;"'; "</f>
        <v xml:space="preserve">Update dcollab.collab_group Set group_code = 'SnapeT_UCentLancashire' where Group_ID = 'CGRP00118'; </v>
      </c>
    </row>
    <row r="119" spans="1:20">
      <c r="A119" t="s">
        <v>1984</v>
      </c>
      <c r="B119" t="s">
        <v>9112</v>
      </c>
      <c r="D119" t="s">
        <v>1983</v>
      </c>
      <c r="E119" t="s">
        <v>8153</v>
      </c>
      <c r="F119">
        <f>LEN(I119)</f>
        <v>38</v>
      </c>
      <c r="G119" t="str">
        <f>VLOOKUP(E119,Organisation!$A$2:$C$499,3,FALSE)</f>
        <v>CORG00205</v>
      </c>
      <c r="H119" t="str">
        <f>VLOOKUP(G119,Organisation!$C$2:$E$318,3,FALSE)</f>
        <v>ULittoralCoteOpale</v>
      </c>
      <c r="I119" t="s">
        <v>10443</v>
      </c>
      <c r="J119">
        <f t="shared" si="1"/>
        <v>1</v>
      </c>
      <c r="L119" t="s">
        <v>1987</v>
      </c>
      <c r="M119" t="s">
        <v>1988</v>
      </c>
      <c r="N119" t="s">
        <v>704</v>
      </c>
      <c r="P119" t="s">
        <v>8866</v>
      </c>
      <c r="Q119" s="1">
        <v>1</v>
      </c>
      <c r="R119" t="str">
        <f>"Update Collaborator_Group Set Organisation = '"&amp;E119&amp;"' where Group_ID = '"&amp;A119&amp;"'; "</f>
        <v xml:space="preserve">Update Collaborator_Group Set Organisation = 'Universite du Littoral-Cote Opale' where Group_ID = 'CG00118'; </v>
      </c>
      <c r="S119" t="str">
        <f>"Update Collaborator_Group Set Group_Name = '"&amp;I119&amp;"' where Group_ID = '"&amp;A119&amp;"'; "</f>
        <v xml:space="preserve">Update Collaborator_Group Set Group_Name = 'Fourmentin-LamotteS_ULittoralCoteOpale' where Group_ID = 'CG00118'; </v>
      </c>
      <c r="T119" t="str">
        <f>"Update dcollab.collab_group Set group_code = '"&amp;I119&amp;"' where Group_ID = '"&amp;B119&amp;"'; "</f>
        <v xml:space="preserve">Update dcollab.collab_group Set group_code = 'Fourmentin-LamotteS_ULittoralCoteOpale' where Group_ID = 'CGRP00119'; </v>
      </c>
    </row>
    <row r="120" spans="1:20">
      <c r="A120" t="s">
        <v>289</v>
      </c>
      <c r="B120" t="s">
        <v>8979</v>
      </c>
      <c r="D120" t="s">
        <v>288</v>
      </c>
      <c r="E120" t="s">
        <v>283</v>
      </c>
      <c r="F120">
        <f>LEN(I120)</f>
        <v>20</v>
      </c>
      <c r="G120" t="str">
        <f>VLOOKUP(E120,Organisation!$A$2:$C$499,3,FALSE)</f>
        <v>CORG00092</v>
      </c>
      <c r="H120" t="str">
        <f>VLOOKUP(G120,Organisation!$C$2:$E$318,3,FALSE)</f>
        <v>JamiaHamdard</v>
      </c>
      <c r="I120" t="s">
        <v>5717</v>
      </c>
      <c r="J120">
        <f t="shared" si="1"/>
        <v>1</v>
      </c>
      <c r="L120" t="s">
        <v>53</v>
      </c>
      <c r="M120" t="s">
        <v>291</v>
      </c>
      <c r="N120" t="s">
        <v>211</v>
      </c>
      <c r="P120" t="s">
        <v>8866</v>
      </c>
      <c r="Q120" s="1">
        <v>1</v>
      </c>
      <c r="R120" t="str">
        <f>"Update Collaborator_Group Set Organisation = '"&amp;E120&amp;"' where Group_ID = '"&amp;A120&amp;"'; "</f>
        <v xml:space="preserve">Update Collaborator_Group Set Organisation = 'Jamia Hamdard' where Group_ID = 'CG00119'; </v>
      </c>
      <c r="S120" t="str">
        <f>"Update Collaborator_Group Set Group_Name = '"&amp;I120&amp;"' where Group_ID = '"&amp;A120&amp;"'; "</f>
        <v xml:space="preserve">Update Collaborator_Group Set Group_Name = 'AkhterM_JamiaHamdard' where Group_ID = 'CG00119'; </v>
      </c>
      <c r="T120" t="str">
        <f>"Update dcollab.collab_group Set group_code = '"&amp;I120&amp;"' where Group_ID = '"&amp;B120&amp;"'; "</f>
        <v xml:space="preserve">Update dcollab.collab_group Set group_code = 'AkhterM_JamiaHamdard' where Group_ID = 'CGRP00120'; </v>
      </c>
    </row>
    <row r="121" spans="1:20">
      <c r="A121" t="s">
        <v>215</v>
      </c>
      <c r="B121" t="s">
        <v>9255</v>
      </c>
      <c r="D121" t="s">
        <v>214</v>
      </c>
      <c r="E121" t="s">
        <v>220</v>
      </c>
      <c r="F121">
        <f>LEN(I121)</f>
        <v>22</v>
      </c>
      <c r="G121" t="str">
        <f>VLOOKUP(E121,Organisation!$A$2:$C$499,3,FALSE)</f>
        <v>CORG00300</v>
      </c>
      <c r="H121" t="str">
        <f>VLOOKUP(G121,Organisation!$C$2:$E$318,3,FALSE)</f>
        <v>VUWellington</v>
      </c>
      <c r="I121" t="s">
        <v>5502</v>
      </c>
      <c r="J121">
        <f t="shared" si="1"/>
        <v>1</v>
      </c>
      <c r="L121" t="s">
        <v>221</v>
      </c>
      <c r="M121" t="s">
        <v>222</v>
      </c>
      <c r="N121" t="s">
        <v>223</v>
      </c>
      <c r="P121" t="s">
        <v>8866</v>
      </c>
      <c r="Q121" s="1">
        <v>1</v>
      </c>
      <c r="R121" t="str">
        <f>"Update Collaborator_Group Set Organisation = '"&amp;E121&amp;"' where Group_ID = '"&amp;A121&amp;"'; "</f>
        <v xml:space="preserve">Update Collaborator_Group Set Organisation = 'Victoria University of Wellington' where Group_ID = 'CG00120'; </v>
      </c>
      <c r="S121" t="str">
        <f>"Update Collaborator_Group Set Group_Name = '"&amp;I121&amp;"' where Group_ID = '"&amp;A121&amp;"'; "</f>
        <v xml:space="preserve">Update Collaborator_Group Set Group_Name = 'AckerleyD_VUWellington' where Group_ID = 'CG00120'; </v>
      </c>
      <c r="T121" t="str">
        <f>"Update dcollab.collab_group Set group_code = '"&amp;I121&amp;"' where Group_ID = '"&amp;B121&amp;"'; "</f>
        <v xml:space="preserve">Update dcollab.collab_group Set group_code = 'AckerleyD_VUWellington' where Group_ID = 'CGRP00121'; </v>
      </c>
    </row>
    <row r="122" spans="1:20">
      <c r="A122" t="s">
        <v>3493</v>
      </c>
      <c r="B122" t="s">
        <v>8904</v>
      </c>
      <c r="D122" t="s">
        <v>4912</v>
      </c>
      <c r="E122" t="s">
        <v>8754</v>
      </c>
      <c r="F122">
        <f>LEN(I122)</f>
        <v>15</v>
      </c>
      <c r="G122" t="str">
        <f>VLOOKUP(E122,Organisation!$A$2:$C$499,3,FALSE)</f>
        <v>CORG00027</v>
      </c>
      <c r="H122" t="str">
        <f>VLOOKUP(G122,Organisation!$C$2:$E$318,3,FALSE)</f>
        <v>Caltech</v>
      </c>
      <c r="I122" t="s">
        <v>5772</v>
      </c>
      <c r="J122">
        <f t="shared" si="1"/>
        <v>1</v>
      </c>
      <c r="L122" t="s">
        <v>3497</v>
      </c>
      <c r="M122" t="s">
        <v>3498</v>
      </c>
      <c r="N122" t="s">
        <v>8808</v>
      </c>
      <c r="P122" t="s">
        <v>8866</v>
      </c>
      <c r="Q122" s="1">
        <v>1</v>
      </c>
      <c r="R122" t="str">
        <f>"Update Collaborator_Group Set Organisation = '"&amp;E122&amp;"' where Group_ID = '"&amp;A122&amp;"'; "</f>
        <v xml:space="preserve">Update Collaborator_Group Set Organisation = 'California Institute of Technology' where Group_ID = 'CG00121'; </v>
      </c>
      <c r="S122" t="str">
        <f>"Update Collaborator_Group Set Group_Name = '"&amp;I122&amp;"' where Group_ID = '"&amp;A122&amp;"'; "</f>
        <v xml:space="preserve">Update Collaborator_Group Set Group_Name = 'StoltzB_CalTech' where Group_ID = 'CG00121'; </v>
      </c>
      <c r="T122" t="str">
        <f>"Update dcollab.collab_group Set group_code = '"&amp;I122&amp;"' where Group_ID = '"&amp;B122&amp;"'; "</f>
        <v xml:space="preserve">Update dcollab.collab_group Set group_code = 'StoltzB_CalTech' where Group_ID = 'CGRP00122'; </v>
      </c>
    </row>
    <row r="123" spans="1:20">
      <c r="A123" t="s">
        <v>1375</v>
      </c>
      <c r="B123" t="s">
        <v>9105</v>
      </c>
      <c r="D123" t="s">
        <v>2232</v>
      </c>
      <c r="E123" t="s">
        <v>1253</v>
      </c>
      <c r="F123">
        <f>LEN(I123)</f>
        <v>19</v>
      </c>
      <c r="G123" t="str">
        <f>VLOOKUP(E123,Organisation!$A$2:$C$499,3,FALSE)</f>
        <v>CORG00200</v>
      </c>
      <c r="H123" t="str">
        <f>VLOOKUP(G123,Organisation!$C$2:$E$318,3,FALSE)</f>
        <v>UBarcelona</v>
      </c>
      <c r="I123" t="s">
        <v>5614</v>
      </c>
      <c r="J123">
        <f t="shared" si="1"/>
        <v>1</v>
      </c>
      <c r="L123" t="s">
        <v>1378</v>
      </c>
      <c r="N123" t="s">
        <v>1256</v>
      </c>
      <c r="P123" t="s">
        <v>8866</v>
      </c>
      <c r="Q123" s="1">
        <v>1</v>
      </c>
      <c r="R123" t="str">
        <f>"Update Collaborator_Group Set Organisation = '"&amp;E123&amp;"' where Group_ID = '"&amp;A123&amp;"'; "</f>
        <v xml:space="preserve">Update Collaborator_Group Set Organisation = 'Universitat de Barcelona' where Group_ID = 'CG00122'; </v>
      </c>
      <c r="S123" t="str">
        <f>"Update Collaborator_Group Set Group_Name = '"&amp;I123&amp;"' where Group_ID = '"&amp;A123&amp;"'; "</f>
        <v xml:space="preserve">Update Collaborator_Group Set Group_Name = 'GranellJ_UBarcelona' where Group_ID = 'CG00122'; </v>
      </c>
      <c r="T123" t="str">
        <f>"Update dcollab.collab_group Set group_code = '"&amp;I123&amp;"' where Group_ID = '"&amp;B123&amp;"'; "</f>
        <v xml:space="preserve">Update dcollab.collab_group Set group_code = 'GranellJ_UBarcelona' where Group_ID = 'CGRP00123'; </v>
      </c>
    </row>
    <row r="124" spans="1:20">
      <c r="A124" t="s">
        <v>3393</v>
      </c>
      <c r="B124" t="s">
        <v>9086</v>
      </c>
      <c r="D124" t="s">
        <v>3392</v>
      </c>
      <c r="E124" t="s">
        <v>3396</v>
      </c>
      <c r="F124">
        <f>LEN(I124)</f>
        <v>17</v>
      </c>
      <c r="G124" t="str">
        <f>VLOOKUP(E124,Organisation!$A$2:$C$499,3,FALSE)</f>
        <v>CORG00182</v>
      </c>
      <c r="H124" t="str">
        <f>VLOOKUP(G124,Organisation!$C$2:$E$318,3,FALSE)</f>
        <v>TamlukC</v>
      </c>
      <c r="I124" t="s">
        <v>10444</v>
      </c>
      <c r="J124">
        <f t="shared" si="1"/>
        <v>1</v>
      </c>
      <c r="L124" t="s">
        <v>73</v>
      </c>
      <c r="M124" t="s">
        <v>3397</v>
      </c>
      <c r="N124" t="s">
        <v>211</v>
      </c>
      <c r="P124" t="s">
        <v>8866</v>
      </c>
      <c r="Q124" s="1">
        <v>1</v>
      </c>
      <c r="R124" t="str">
        <f>"Update Collaborator_Group Set Organisation = '"&amp;E124&amp;"' where Group_ID = '"&amp;A124&amp;"'; "</f>
        <v xml:space="preserve">Update Collaborator_Group Set Organisation = 'Tamluk College' where Group_ID = 'CG00123'; </v>
      </c>
      <c r="S124" t="str">
        <f>"Update Collaborator_Group Set Group_Name = '"&amp;I124&amp;"' where Group_ID = '"&amp;A124&amp;"'; "</f>
        <v xml:space="preserve">Update Collaborator_Group Set Group_Name = 'MajumdarD_TamlukC' where Group_ID = 'CG00123'; </v>
      </c>
      <c r="T124" t="str">
        <f>"Update dcollab.collab_group Set group_code = '"&amp;I124&amp;"' where Group_ID = '"&amp;B124&amp;"'; "</f>
        <v xml:space="preserve">Update dcollab.collab_group Set group_code = 'MajumdarD_TamlukC' where Group_ID = 'CGRP00124'; </v>
      </c>
    </row>
    <row r="125" spans="1:20">
      <c r="A125" t="s">
        <v>776</v>
      </c>
      <c r="B125" t="s">
        <v>9226</v>
      </c>
      <c r="D125" t="s">
        <v>775</v>
      </c>
      <c r="E125" t="s">
        <v>780</v>
      </c>
      <c r="F125">
        <f>LEN(I125)</f>
        <v>28</v>
      </c>
      <c r="G125" t="str">
        <f>VLOOKUP(E125,Organisation!$A$2:$C$499,3,FALSE)</f>
        <v>CORG00276</v>
      </c>
      <c r="H125" t="str">
        <f>VLOOKUP(G125,Organisation!$C$2:$E$318,3,FALSE)</f>
        <v>UPhilippinesManila</v>
      </c>
      <c r="I125" t="s">
        <v>5517</v>
      </c>
      <c r="J125">
        <f t="shared" si="1"/>
        <v>1</v>
      </c>
      <c r="L125" t="s">
        <v>781</v>
      </c>
      <c r="N125" t="s">
        <v>782</v>
      </c>
      <c r="P125" t="s">
        <v>8866</v>
      </c>
      <c r="Q125" s="1">
        <v>1</v>
      </c>
      <c r="R125" t="str">
        <f>"Update Collaborator_Group Set Organisation = '"&amp;E125&amp;"' where Group_ID = '"&amp;A125&amp;"'; "</f>
        <v xml:space="preserve">Update Collaborator_Group Set Organisation = 'University of the Philippines-Manila' where Group_ID = 'CG00124'; </v>
      </c>
      <c r="S125" t="str">
        <f>"Update Collaborator_Group Set Group_Name = '"&amp;I125&amp;"' where Group_ID = '"&amp;A125&amp;"'; "</f>
        <v xml:space="preserve">Update Collaborator_Group Set Group_Name = 'BillonesJ_UPhilippinesManila' where Group_ID = 'CG00124'; </v>
      </c>
      <c r="T125" t="str">
        <f>"Update dcollab.collab_group Set group_code = '"&amp;I125&amp;"' where Group_ID = '"&amp;B125&amp;"'; "</f>
        <v xml:space="preserve">Update dcollab.collab_group Set group_code = 'BillonesJ_UPhilippinesManila' where Group_ID = 'CGRP00125'; </v>
      </c>
    </row>
    <row r="126" spans="1:20">
      <c r="A126" t="s">
        <v>2080</v>
      </c>
      <c r="B126" t="s">
        <v>8963</v>
      </c>
      <c r="D126" t="s">
        <v>4637</v>
      </c>
      <c r="E126" t="s">
        <v>8148</v>
      </c>
      <c r="F126">
        <f>LEN(I126)</f>
        <v>17</v>
      </c>
      <c r="G126" t="str">
        <f>VLOOKUP(E126,Organisation!$A$2:$C$499,3,FALSE)</f>
        <v>CORG00079</v>
      </c>
      <c r="H126" t="str">
        <f>VLOOKUP(G126,Organisation!$C$2:$E$318,3,FALSE)</f>
        <v>IUPIndiana</v>
      </c>
      <c r="I126" t="s">
        <v>5730</v>
      </c>
      <c r="J126">
        <f t="shared" si="1"/>
        <v>1</v>
      </c>
      <c r="L126" t="s">
        <v>3882</v>
      </c>
      <c r="M126" t="s">
        <v>3883</v>
      </c>
      <c r="N126" t="s">
        <v>8808</v>
      </c>
      <c r="P126" t="s">
        <v>8866</v>
      </c>
      <c r="Q126" s="1">
        <v>1</v>
      </c>
      <c r="R126" t="str">
        <f>"Update Collaborator_Group Set Organisation = '"&amp;E126&amp;"' where Group_ID = '"&amp;A126&amp;"'; "</f>
        <v xml:space="preserve">Update Collaborator_Group Set Organisation = 'Indiana University' where Group_ID = 'CG00125'; </v>
      </c>
      <c r="S126" t="str">
        <f>"Update Collaborator_Group Set Group_Name = '"&amp;I126&amp;"' where Group_ID = '"&amp;A126&amp;"'; "</f>
        <v xml:space="preserve">Update Collaborator_Group Set Group_Name = 'ScottW_IUPIndiana' where Group_ID = 'CG00125'; </v>
      </c>
      <c r="T126" t="str">
        <f>"Update dcollab.collab_group Set group_code = '"&amp;I126&amp;"' where Group_ID = '"&amp;B126&amp;"'; "</f>
        <v xml:space="preserve">Update dcollab.collab_group Set group_code = 'ScottW_IUPIndiana' where Group_ID = 'CGRP00126'; </v>
      </c>
    </row>
    <row r="127" spans="1:20">
      <c r="A127" t="s">
        <v>3128</v>
      </c>
      <c r="B127" t="s">
        <v>8949</v>
      </c>
      <c r="D127" t="s">
        <v>4183</v>
      </c>
      <c r="E127" t="s">
        <v>1327</v>
      </c>
      <c r="F127">
        <f>LEN(I127)</f>
        <v>4</v>
      </c>
      <c r="G127" t="str">
        <f>VLOOKUP(E127,Organisation!$A$2:$C$499,3,FALSE)</f>
        <v>CORG00067</v>
      </c>
      <c r="H127" t="str">
        <f>VLOOKUP(G127,Organisation!$C$2:$E$318,3,FALSE)</f>
        <v>GriffithU</v>
      </c>
      <c r="I127" t="s">
        <v>5743</v>
      </c>
      <c r="J127">
        <f t="shared" si="1"/>
        <v>1</v>
      </c>
      <c r="L127" t="s">
        <v>3119</v>
      </c>
      <c r="M127" t="s">
        <v>1329</v>
      </c>
      <c r="N127" t="s">
        <v>14</v>
      </c>
      <c r="P127" t="s">
        <v>8866</v>
      </c>
      <c r="Q127" s="1">
        <v>1</v>
      </c>
      <c r="R127" t="str">
        <f>"Update Collaborator_Group Set Organisation = '"&amp;E127&amp;"' where Group_ID = '"&amp;A127&amp;"'; "</f>
        <v xml:space="preserve">Update Collaborator_Group Set Organisation = 'Griffith University' where Group_ID = 'CG00126'; </v>
      </c>
      <c r="S127" t="str">
        <f>"Update Collaborator_Group Set Group_Name = '"&amp;I127&amp;"' where Group_ID = '"&amp;A127&amp;"'; "</f>
        <v xml:space="preserve">Update Collaborator_Group Set Group_Name = 'CpOz' where Group_ID = 'CG00126'; </v>
      </c>
      <c r="T127" t="str">
        <f>"Update dcollab.collab_group Set group_code = '"&amp;I127&amp;"' where Group_ID = '"&amp;B127&amp;"'; "</f>
        <v xml:space="preserve">Update dcollab.collab_group Set group_code = 'CpOz' where Group_ID = 'CGRP00127'; </v>
      </c>
    </row>
    <row r="128" spans="1:20">
      <c r="A128" t="s">
        <v>3011</v>
      </c>
      <c r="B128" t="s">
        <v>9172</v>
      </c>
      <c r="D128" t="s">
        <v>3010</v>
      </c>
      <c r="E128" t="s">
        <v>8746</v>
      </c>
      <c r="F128">
        <f>LEN(I128)</f>
        <v>11</v>
      </c>
      <c r="G128" t="str">
        <f>VLOOKUP(E128,Organisation!$A$2:$C$499,3,FALSE)</f>
        <v>CORG00250</v>
      </c>
      <c r="H128" t="str">
        <f>VLOOKUP(G128,Organisation!$C$2:$E$318,3,FALSE)</f>
        <v>BOKU</v>
      </c>
      <c r="I128" t="s">
        <v>5569</v>
      </c>
      <c r="J128">
        <f t="shared" si="1"/>
        <v>1</v>
      </c>
      <c r="L128" t="s">
        <v>73</v>
      </c>
      <c r="M128" t="s">
        <v>3014</v>
      </c>
      <c r="N128" t="s">
        <v>694</v>
      </c>
      <c r="P128" t="s">
        <v>8866</v>
      </c>
      <c r="Q128" s="1">
        <v>1</v>
      </c>
      <c r="R128" t="str">
        <f>"Update Collaborator_Group Set Organisation = '"&amp;E128&amp;"' where Group_ID = '"&amp;A128&amp;"'; "</f>
        <v xml:space="preserve">Update Collaborator_Group Set Organisation = 'University of Natural Resources and Life' where Group_ID = 'CG00127'; </v>
      </c>
      <c r="S128" t="str">
        <f>"Update Collaborator_Group Set Group_Name = '"&amp;I128&amp;"' where Group_ID = '"&amp;A128&amp;"'; "</f>
        <v xml:space="preserve">Update Collaborator_Group Set Group_Name = 'KosmaP_BOKU' where Group_ID = 'CG00127'; </v>
      </c>
      <c r="T128" t="str">
        <f>"Update dcollab.collab_group Set group_code = '"&amp;I128&amp;"' where Group_ID = '"&amp;B128&amp;"'; "</f>
        <v xml:space="preserve">Update dcollab.collab_group Set group_code = 'KosmaP_BOKU' where Group_ID = 'CGRP00128'; </v>
      </c>
    </row>
    <row r="129" spans="1:20">
      <c r="A129" t="s">
        <v>2560</v>
      </c>
      <c r="B129" t="s">
        <v>9248</v>
      </c>
      <c r="D129" t="s">
        <v>2720</v>
      </c>
      <c r="E129" t="s">
        <v>2564</v>
      </c>
      <c r="F129">
        <f>LEN(I129)</f>
        <v>21</v>
      </c>
      <c r="G129" t="str">
        <f>VLOOKUP(E129,Organisation!$A$2:$C$499,3,FALSE)</f>
        <v>CORG00293</v>
      </c>
      <c r="H129" t="str">
        <f>VLOOKUP(G129,Organisation!$C$2:$E$318,3,FALSE)</f>
        <v>UWolverhampton</v>
      </c>
      <c r="I129" t="s">
        <v>5519</v>
      </c>
      <c r="J129">
        <f t="shared" si="1"/>
        <v>1</v>
      </c>
      <c r="L129" t="s">
        <v>435</v>
      </c>
      <c r="M129" t="s">
        <v>2724</v>
      </c>
      <c r="N129" t="s">
        <v>269</v>
      </c>
      <c r="P129" t="s">
        <v>8866</v>
      </c>
      <c r="Q129" s="1">
        <v>1</v>
      </c>
      <c r="R129" t="str">
        <f>"Update Collaborator_Group Set Organisation = '"&amp;E129&amp;"' where Group_ID = '"&amp;A129&amp;"'; "</f>
        <v xml:space="preserve">Update Collaborator_Group Set Organisation = 'University of Wolverhampton' where Group_ID = 'CG00128'; </v>
      </c>
      <c r="S129" t="str">
        <f>"Update Collaborator_Group Set Group_Name = '"&amp;I129&amp;"' where Group_ID = '"&amp;A129&amp;"'; "</f>
        <v xml:space="preserve">Update Collaborator_Group Set Group_Name = 'JonesS_UWolverhampton' where Group_ID = 'CG00128'; </v>
      </c>
      <c r="T129" t="str">
        <f>"Update dcollab.collab_group Set group_code = '"&amp;I129&amp;"' where Group_ID = '"&amp;B129&amp;"'; "</f>
        <v xml:space="preserve">Update dcollab.collab_group Set group_code = 'JonesS_UWolverhampton' where Group_ID = 'CGRP00129'; </v>
      </c>
    </row>
    <row r="130" spans="1:20">
      <c r="A130" t="s">
        <v>4023</v>
      </c>
      <c r="B130" t="s">
        <v>8975</v>
      </c>
      <c r="D130" t="s">
        <v>4022</v>
      </c>
      <c r="E130" t="s">
        <v>208</v>
      </c>
      <c r="F130">
        <f>LEN(I130)</f>
        <v>12</v>
      </c>
      <c r="G130" t="str">
        <f>VLOOKUP(E130,Organisation!$A$2:$C$499,3,FALSE)</f>
        <v>CORG00090</v>
      </c>
      <c r="H130" t="str">
        <f>VLOOKUP(G130,Organisation!$C$2:$E$318,3,FALSE)</f>
        <v>JainU</v>
      </c>
      <c r="I130" t="s">
        <v>5722</v>
      </c>
      <c r="J130">
        <f t="shared" si="1"/>
        <v>1</v>
      </c>
      <c r="L130" t="s">
        <v>1585</v>
      </c>
      <c r="M130" t="s">
        <v>4025</v>
      </c>
      <c r="N130" t="s">
        <v>211</v>
      </c>
      <c r="P130" t="s">
        <v>8866</v>
      </c>
      <c r="Q130" s="1">
        <v>1</v>
      </c>
      <c r="R130" t="str">
        <f>"Update Collaborator_Group Set Organisation = '"&amp;E130&amp;"' where Group_ID = '"&amp;A130&amp;"'; "</f>
        <v xml:space="preserve">Update Collaborator_Group Set Organisation = 'Jain University' where Group_ID = 'CG00129'; </v>
      </c>
      <c r="S130" t="str">
        <f>"Update Collaborator_Group Set Group_Name = '"&amp;I130&amp;"' where Group_ID = '"&amp;A130&amp;"'; "</f>
        <v xml:space="preserve">Update Collaborator_Group Set Group_Name = 'PatilS_JainU' where Group_ID = 'CG00129'; </v>
      </c>
      <c r="T130" t="str">
        <f>"Update dcollab.collab_group Set group_code = '"&amp;I130&amp;"' where Group_ID = '"&amp;B130&amp;"'; "</f>
        <v xml:space="preserve">Update dcollab.collab_group Set group_code = 'PatilS_JainU' where Group_ID = 'CGRP00130'; </v>
      </c>
    </row>
    <row r="131" spans="1:20">
      <c r="A131" t="s">
        <v>688</v>
      </c>
      <c r="B131" t="s">
        <v>9234</v>
      </c>
      <c r="D131" t="s">
        <v>3543</v>
      </c>
      <c r="E131" t="s">
        <v>691</v>
      </c>
      <c r="F131">
        <f>LEN(I131)</f>
        <v>16</v>
      </c>
      <c r="G131" t="str">
        <f>VLOOKUP(E131,Organisation!$A$2:$C$499,3,FALSE)</f>
        <v>CORG00286</v>
      </c>
      <c r="H131" t="str">
        <f>VLOOKUP(G131,Organisation!$C$2:$E$318,3,FALSE)</f>
        <v>UVienna</v>
      </c>
      <c r="I131" t="s">
        <v>5525</v>
      </c>
      <c r="J131">
        <f t="shared" ref="J131:J194" si="2">COUNTIF($I$2:$I$416,I131)</f>
        <v>1</v>
      </c>
      <c r="L131" t="s">
        <v>692</v>
      </c>
      <c r="N131" t="s">
        <v>694</v>
      </c>
      <c r="P131" t="s">
        <v>8866</v>
      </c>
      <c r="Q131" s="1">
        <v>1</v>
      </c>
      <c r="R131" t="str">
        <f>"Update Collaborator_Group Set Organisation = '"&amp;E131&amp;"' where Group_ID = '"&amp;A131&amp;"'; "</f>
        <v xml:space="preserve">Update Collaborator_Group Set Organisation = 'University of Vienna' where Group_ID = 'CG00130'; </v>
      </c>
      <c r="S131" t="str">
        <f>"Update Collaborator_Group Set Group_Name = '"&amp;I131&amp;"' where Group_ID = '"&amp;A131&amp;"'; "</f>
        <v xml:space="preserve">Update Collaborator_Group Set Group_Name = 'MaulideN_UVienna' where Group_ID = 'CG00130'; </v>
      </c>
      <c r="T131" t="str">
        <f>"Update dcollab.collab_group Set group_code = '"&amp;I131&amp;"' where Group_ID = '"&amp;B131&amp;"'; "</f>
        <v xml:space="preserve">Update dcollab.collab_group Set group_code = 'MaulideN_UVienna' where Group_ID = 'CGRP00131'; </v>
      </c>
    </row>
    <row r="132" spans="1:20">
      <c r="A132" t="s">
        <v>1249</v>
      </c>
      <c r="B132" t="s">
        <v>9106</v>
      </c>
      <c r="D132" t="s">
        <v>1248</v>
      </c>
      <c r="E132" t="s">
        <v>1253</v>
      </c>
      <c r="F132">
        <f>LEN(I132)</f>
        <v>22</v>
      </c>
      <c r="G132" t="str">
        <f>VLOOKUP(E132,Organisation!$A$2:$C$499,3,FALSE)</f>
        <v>CORG00200</v>
      </c>
      <c r="H132" t="str">
        <f>VLOOKUP(G132,Organisation!$C$2:$E$318,3,FALSE)</f>
        <v>UBarcelona</v>
      </c>
      <c r="I132" t="s">
        <v>10445</v>
      </c>
      <c r="J132">
        <f t="shared" si="2"/>
        <v>1</v>
      </c>
      <c r="L132" t="s">
        <v>1254</v>
      </c>
      <c r="M132" t="s">
        <v>1255</v>
      </c>
      <c r="N132" t="s">
        <v>1256</v>
      </c>
      <c r="P132" t="s">
        <v>8866</v>
      </c>
      <c r="Q132" s="1">
        <v>1</v>
      </c>
      <c r="R132" t="str">
        <f>"Update Collaborator_Group Set Organisation = '"&amp;E132&amp;"' where Group_ID = '"&amp;A132&amp;"'; "</f>
        <v xml:space="preserve">Update Collaborator_Group Set Organisation = 'Universitat de Barcelona' where Group_ID = 'CG00131'; </v>
      </c>
      <c r="S132" t="str">
        <f>"Update Collaborator_Group Set Group_Name = '"&amp;I132&amp;"' where Group_ID = '"&amp;A132&amp;"'; "</f>
        <v xml:space="preserve">Update Collaborator_Group Set Group_Name = 'ConcepciónL_UBarcelona' where Group_ID = 'CG00131'; </v>
      </c>
      <c r="T132" t="str">
        <f>"Update dcollab.collab_group Set group_code = '"&amp;I132&amp;"' where Group_ID = '"&amp;B132&amp;"'; "</f>
        <v xml:space="preserve">Update dcollab.collab_group Set group_code = 'ConcepciónL_UBarcelona' where Group_ID = 'CGRP00132'; </v>
      </c>
    </row>
    <row r="133" spans="1:20">
      <c r="A133" t="s">
        <v>3188</v>
      </c>
      <c r="B133" t="s">
        <v>9259</v>
      </c>
      <c r="D133" t="s">
        <v>3187</v>
      </c>
      <c r="E133" t="s">
        <v>8791</v>
      </c>
      <c r="F133">
        <f>LEN(I133)</f>
        <v>18</v>
      </c>
      <c r="G133" t="str">
        <f>VLOOKUP(E133,Organisation!$A$2:$C$499,3,FALSE)</f>
        <v>CORG00302</v>
      </c>
      <c r="H133" t="str">
        <f>VLOOKUP(G133,Organisation!$C$2:$E$318,3,FALSE)</f>
        <v>VUAmsterdam</v>
      </c>
      <c r="I133" t="s">
        <v>10446</v>
      </c>
      <c r="J133">
        <f t="shared" si="2"/>
        <v>1</v>
      </c>
      <c r="L133" t="s">
        <v>3193</v>
      </c>
      <c r="N133" t="s">
        <v>3194</v>
      </c>
      <c r="P133" t="s">
        <v>8866</v>
      </c>
      <c r="Q133" s="1">
        <v>1</v>
      </c>
      <c r="R133" t="str">
        <f>"Update Collaborator_Group Set Organisation = '"&amp;E133&amp;"' where Group_ID = '"&amp;A133&amp;"'; "</f>
        <v xml:space="preserve">Update Collaborator_Group Set Organisation = 'Vrije Universiteit Amsterdam' where Group_ID = 'CG00132'; </v>
      </c>
      <c r="S133" t="str">
        <f>"Update Collaborator_Group Set Group_Name = '"&amp;I133&amp;"' where Group_ID = '"&amp;A133&amp;"'; "</f>
        <v xml:space="preserve">Update Collaborator_Group Set Group_Name = 'LeursR_VUAmsterdam' where Group_ID = 'CG00132'; </v>
      </c>
      <c r="T133" t="str">
        <f>"Update dcollab.collab_group Set group_code = '"&amp;I133&amp;"' where Group_ID = '"&amp;B133&amp;"'; "</f>
        <v xml:space="preserve">Update dcollab.collab_group Set group_code = 'LeursR_VUAmsterdam' where Group_ID = 'CGRP00133'; </v>
      </c>
    </row>
    <row r="134" spans="1:20">
      <c r="A134" t="s">
        <v>1300</v>
      </c>
      <c r="B134" t="s">
        <v>9046</v>
      </c>
      <c r="D134" t="s">
        <v>1299</v>
      </c>
      <c r="E134" t="s">
        <v>8772</v>
      </c>
      <c r="F134">
        <f>LEN(I134)</f>
        <v>10</v>
      </c>
      <c r="G134" t="str">
        <f>VLOOKUP(E134,Organisation!$A$2:$C$499,3,FALSE)</f>
        <v>CORG00143</v>
      </c>
      <c r="H134" t="str">
        <f>VLOOKUP(G134,Organisation!$C$2:$E$318,3,FALSE)</f>
        <v>NDSU</v>
      </c>
      <c r="I134" t="s">
        <v>10447</v>
      </c>
      <c r="J134">
        <f t="shared" si="2"/>
        <v>1</v>
      </c>
      <c r="L134" t="s">
        <v>640</v>
      </c>
      <c r="M134" t="s">
        <v>1304</v>
      </c>
      <c r="N134" t="s">
        <v>8808</v>
      </c>
      <c r="P134" t="s">
        <v>8866</v>
      </c>
      <c r="Q134" s="1">
        <v>1</v>
      </c>
      <c r="R134" t="str">
        <f>"Update Collaborator_Group Set Organisation = '"&amp;E134&amp;"' where Group_ID = '"&amp;A134&amp;"'; "</f>
        <v xml:space="preserve">Update Collaborator_Group Set Organisation = 'North Dakota State University' where Group_ID = 'CG00133'; </v>
      </c>
      <c r="S134" t="str">
        <f>"Update Collaborator_Group Set Group_Name = '"&amp;I134&amp;"' where Group_ID = '"&amp;A134&amp;"'; "</f>
        <v xml:space="preserve">Update Collaborator_Group Set Group_Name = 'CookG_NDSU' where Group_ID = 'CG00133'; </v>
      </c>
      <c r="T134" t="str">
        <f>"Update dcollab.collab_group Set group_code = '"&amp;I134&amp;"' where Group_ID = '"&amp;B134&amp;"'; "</f>
        <v xml:space="preserve">Update dcollab.collab_group Set group_code = 'CookG_NDSU' where Group_ID = 'CGRP00134'; </v>
      </c>
    </row>
    <row r="135" spans="1:20">
      <c r="A135" t="s">
        <v>1292</v>
      </c>
      <c r="B135" t="s">
        <v>9186</v>
      </c>
      <c r="D135" t="s">
        <v>1291</v>
      </c>
      <c r="E135" t="s">
        <v>1294</v>
      </c>
      <c r="F135">
        <f>LEN(I135)</f>
        <v>12</v>
      </c>
      <c r="G135" t="str">
        <f>VLOOKUP(E135,Organisation!$A$2:$C$499,3,FALSE)</f>
        <v>CORG00260</v>
      </c>
      <c r="H135" t="str">
        <f>VLOOKUP(G135,Organisation!$C$2:$E$318,3,FALSE)</f>
        <v>UOtago</v>
      </c>
      <c r="I135" t="s">
        <v>5558</v>
      </c>
      <c r="J135">
        <f t="shared" si="2"/>
        <v>1</v>
      </c>
      <c r="L135" t="s">
        <v>1295</v>
      </c>
      <c r="M135" t="s">
        <v>1296</v>
      </c>
      <c r="N135" t="s">
        <v>223</v>
      </c>
      <c r="P135" t="s">
        <v>8866</v>
      </c>
      <c r="Q135" s="1">
        <v>1</v>
      </c>
      <c r="R135" t="str">
        <f>"Update Collaborator_Group Set Organisation = '"&amp;E135&amp;"' where Group_ID = '"&amp;A135&amp;"'; "</f>
        <v xml:space="preserve">Update Collaborator_Group Set Organisation = 'University of Otago' where Group_ID = 'CG00134'; </v>
      </c>
      <c r="S135" t="str">
        <f>"Update Collaborator_Group Set Group_Name = '"&amp;I135&amp;"' where Group_ID = '"&amp;A135&amp;"'; "</f>
        <v xml:space="preserve">Update Collaborator_Group Set Group_Name = 'CookG_UOtago' where Group_ID = 'CG00134'; </v>
      </c>
      <c r="T135" t="str">
        <f>"Update dcollab.collab_group Set group_code = '"&amp;I135&amp;"' where Group_ID = '"&amp;B135&amp;"'; "</f>
        <v xml:space="preserve">Update dcollab.collab_group Set group_code = 'CookG_UOtago' where Group_ID = 'CGRP00135'; </v>
      </c>
    </row>
    <row r="136" spans="1:20">
      <c r="A136" t="s">
        <v>1284</v>
      </c>
      <c r="B136" t="s">
        <v>9251</v>
      </c>
      <c r="D136" t="s">
        <v>1283</v>
      </c>
      <c r="E136" t="s">
        <v>1287</v>
      </c>
      <c r="F136">
        <f>LEN(I136)</f>
        <v>17</v>
      </c>
      <c r="G136" t="str">
        <f>VLOOKUP(E136,Organisation!$A$2:$C$499,3,FALSE)</f>
        <v>CORG00297</v>
      </c>
      <c r="H136" t="str">
        <f>VLOOKUP(G136,Organisation!$C$2:$E$318,3,FALSE)</f>
        <v>UWMilwaukee</v>
      </c>
      <c r="I136" t="s">
        <v>5620</v>
      </c>
      <c r="J136">
        <f t="shared" si="2"/>
        <v>1</v>
      </c>
      <c r="L136" t="s">
        <v>1288</v>
      </c>
      <c r="N136" t="s">
        <v>8808</v>
      </c>
      <c r="P136" t="s">
        <v>8866</v>
      </c>
      <c r="Q136" s="1">
        <v>1</v>
      </c>
      <c r="R136" t="str">
        <f>"Update Collaborator_Group Set Organisation = '"&amp;E136&amp;"' where Group_ID = '"&amp;A136&amp;"'; "</f>
        <v xml:space="preserve">Update Collaborator_Group Set Organisation = 'UW-Milwaukee' where Group_ID = 'CG00135'; </v>
      </c>
      <c r="S136" t="str">
        <f>"Update Collaborator_Group Set Group_Name = '"&amp;I136&amp;"' where Group_ID = '"&amp;A136&amp;"'; "</f>
        <v xml:space="preserve">Update Collaborator_Group Set Group_Name = 'CookJ_UWMilwaukee' where Group_ID = 'CG00135'; </v>
      </c>
      <c r="T136" t="str">
        <f>"Update dcollab.collab_group Set group_code = '"&amp;I136&amp;"' where Group_ID = '"&amp;B136&amp;"'; "</f>
        <v xml:space="preserve">Update dcollab.collab_group Set group_code = 'CookJ_UWMilwaukee' where Group_ID = 'CGRP00136'; </v>
      </c>
    </row>
    <row r="137" spans="1:20">
      <c r="A137" t="s">
        <v>3701</v>
      </c>
      <c r="B137" t="s">
        <v>9182</v>
      </c>
      <c r="D137" t="s">
        <v>3700</v>
      </c>
      <c r="E137" t="s">
        <v>3704</v>
      </c>
      <c r="F137">
        <f>LEN(I137)</f>
        <v>21</v>
      </c>
      <c r="G137" t="str">
        <f>VLOOKUP(E137,Organisation!$A$2:$C$499,3,FALSE)</f>
        <v>CORG00257</v>
      </c>
      <c r="H137" t="str">
        <f>VLOOKUP(G137,Organisation!$C$2:$E$318,3,FALSE)</f>
        <v>UNCWilmington</v>
      </c>
      <c r="I137" t="s">
        <v>10448</v>
      </c>
      <c r="J137">
        <f t="shared" si="2"/>
        <v>1</v>
      </c>
      <c r="L137" t="s">
        <v>640</v>
      </c>
      <c r="N137" t="s">
        <v>8808</v>
      </c>
      <c r="O137" t="s">
        <v>5563</v>
      </c>
      <c r="P137" t="s">
        <v>8867</v>
      </c>
      <c r="Q137" s="1">
        <v>1</v>
      </c>
      <c r="R137" t="str">
        <f>"Update Collaborator_Group Set Organisation = '"&amp;E137&amp;"' where Group_ID = '"&amp;A137&amp;"'; "</f>
        <v xml:space="preserve">Update Collaborator_Group Set Organisation = 'University of North Carolina Wilmington' where Group_ID = 'CG00136'; </v>
      </c>
      <c r="S137" t="str">
        <f>"Update Collaborator_Group Set Group_Name = '"&amp;I137&amp;"' where Group_ID = '"&amp;A137&amp;"'; "</f>
        <v xml:space="preserve">Update Collaborator_Group Set Group_Name = 'MorganJ_UNCWilmington' where Group_ID = 'CG00136'; </v>
      </c>
      <c r="T137" t="str">
        <f>"Update dcollab.collab_group Set group_code = '"&amp;I137&amp;"' where Group_ID = '"&amp;B137&amp;"'; "</f>
        <v xml:space="preserve">Update dcollab.collab_group Set group_code = 'MorganJ_UNCWilmington' where Group_ID = 'CGRP00137'; </v>
      </c>
    </row>
    <row r="138" spans="1:20">
      <c r="A138" t="s">
        <v>669</v>
      </c>
      <c r="B138" t="s">
        <v>9123</v>
      </c>
      <c r="D138" t="s">
        <v>668</v>
      </c>
      <c r="E138" t="s">
        <v>169</v>
      </c>
      <c r="F138">
        <f>LEN(I138)</f>
        <v>15</v>
      </c>
      <c r="G138" t="str">
        <f>VLOOKUP(E138,Organisation!$A$2:$C$499,3,FALSE)</f>
        <v>CORG00212</v>
      </c>
      <c r="H138" t="str">
        <f>VLOOKUP(G138,Organisation!$C$2:$E$318,3,FALSE)</f>
        <v>UAdelaide</v>
      </c>
      <c r="I138" t="s">
        <v>5610</v>
      </c>
      <c r="J138">
        <f t="shared" si="2"/>
        <v>1</v>
      </c>
      <c r="L138" t="s">
        <v>673</v>
      </c>
      <c r="M138" t="s">
        <v>674</v>
      </c>
      <c r="N138" t="s">
        <v>14</v>
      </c>
      <c r="P138" t="s">
        <v>8866</v>
      </c>
      <c r="Q138" s="1">
        <v>1</v>
      </c>
      <c r="R138" t="str">
        <f>"Update Collaborator_Group Set Organisation = '"&amp;E138&amp;"' where Group_ID = '"&amp;A138&amp;"'; "</f>
        <v xml:space="preserve">Update Collaborator_Group Set Organisation = 'University of Adelaide' where Group_ID = 'CG00137'; </v>
      </c>
      <c r="S138" t="str">
        <f>"Update Collaborator_Group Set Group_Name = '"&amp;I138&amp;"' where Group_ID = '"&amp;A138&amp;"'; "</f>
        <v xml:space="preserve">Update Collaborator_Group Set Group_Name = 'BellS_UAdelaide' where Group_ID = 'CG00137'; </v>
      </c>
      <c r="T138" t="str">
        <f>"Update dcollab.collab_group Set group_code = '"&amp;I138&amp;"' where Group_ID = '"&amp;B138&amp;"'; "</f>
        <v xml:space="preserve">Update dcollab.collab_group Set group_code = 'BellS_UAdelaide' where Group_ID = 'CGRP00138'; </v>
      </c>
    </row>
    <row r="139" spans="1:20">
      <c r="A139" t="s">
        <v>678</v>
      </c>
      <c r="B139" t="s">
        <v>8895</v>
      </c>
      <c r="D139" t="s">
        <v>5395</v>
      </c>
      <c r="E139" t="s">
        <v>8753</v>
      </c>
      <c r="F139">
        <f>LEN(I139)</f>
        <v>12</v>
      </c>
      <c r="G139" t="str">
        <f>VLOOKUP(E139,Organisation!$A$2:$C$499,3,FALSE)</f>
        <v>CORG00019</v>
      </c>
      <c r="H139" t="str">
        <f>VLOOKUP(G139,Organisation!$C$2:$E$318,3,FALSE)</f>
        <v>CRBt</v>
      </c>
      <c r="I139" t="s">
        <v>5779</v>
      </c>
      <c r="J139">
        <f t="shared" si="2"/>
        <v>1</v>
      </c>
      <c r="L139" t="s">
        <v>682</v>
      </c>
      <c r="M139" t="s">
        <v>683</v>
      </c>
      <c r="N139" t="s">
        <v>684</v>
      </c>
      <c r="P139" t="s">
        <v>8866</v>
      </c>
      <c r="Q139" s="1">
        <v>1</v>
      </c>
      <c r="R139" t="str">
        <f>"Update Collaborator_Group Set Organisation = '"&amp;E139&amp;"' where Group_ID = '"&amp;A139&amp;"'; "</f>
        <v xml:space="preserve">Update Collaborator_Group Set Organisation = 'Biotechnology Research Centre' where Group_ID = 'CG00138'; </v>
      </c>
      <c r="S139" t="str">
        <f>"Update Collaborator_Group Set Group_Name = '"&amp;I139&amp;"' where Group_ID = '"&amp;A139&amp;"'; "</f>
        <v xml:space="preserve">Update Collaborator_Group Set Group_Name = 'YousfiT_CRBt' where Group_ID = 'CG00138'; </v>
      </c>
      <c r="T139" t="str">
        <f>"Update dcollab.collab_group Set group_code = '"&amp;I139&amp;"' where Group_ID = '"&amp;B139&amp;"'; "</f>
        <v xml:space="preserve">Update dcollab.collab_group Set group_code = 'YousfiT_CRBt' where Group_ID = 'CGRP00139'; </v>
      </c>
    </row>
    <row r="140" spans="1:20">
      <c r="A140" t="s">
        <v>2327</v>
      </c>
      <c r="B140" t="s">
        <v>9100</v>
      </c>
      <c r="D140" t="s">
        <v>2326</v>
      </c>
      <c r="E140" t="s">
        <v>2330</v>
      </c>
      <c r="F140">
        <f>LEN(I140)</f>
        <v>14</v>
      </c>
      <c r="G140" t="str">
        <f>VLOOKUP(E140,Organisation!$A$2:$C$499,3,FALSE)</f>
        <v>CORG00195</v>
      </c>
      <c r="H140" t="str">
        <f>VLOOKUP(G140,Organisation!$C$2:$E$318,3,FALSE)</f>
        <v>UNorte</v>
      </c>
      <c r="I140" t="s">
        <v>10449</v>
      </c>
      <c r="J140">
        <f t="shared" si="2"/>
        <v>1</v>
      </c>
      <c r="L140" t="s">
        <v>2331</v>
      </c>
      <c r="M140" t="s">
        <v>2332</v>
      </c>
      <c r="N140" t="s">
        <v>2333</v>
      </c>
      <c r="P140" t="s">
        <v>8866</v>
      </c>
      <c r="Q140" s="1">
        <v>1</v>
      </c>
      <c r="R140" t="str">
        <f>"Update Collaborator_Group Set Organisation = '"&amp;E140&amp;"' where Group_ID = '"&amp;A140&amp;"'; "</f>
        <v xml:space="preserve">Update Collaborator_Group Set Organisation = 'Universidad del Norte' where Group_ID = 'CG00139'; </v>
      </c>
      <c r="S140" t="str">
        <f>"Update Collaborator_Group Set Group_Name = '"&amp;I140&amp;"' where Group_ID = '"&amp;A140&amp;"'; "</f>
        <v xml:space="preserve">Update Collaborator_Group Set Group_Name = 'GuzmanJ_UNorte' where Group_ID = 'CG00139'; </v>
      </c>
      <c r="T140" t="str">
        <f>"Update dcollab.collab_group Set group_code = '"&amp;I140&amp;"' where Group_ID = '"&amp;B140&amp;"'; "</f>
        <v xml:space="preserve">Update dcollab.collab_group Set group_code = 'GuzmanJ_UNorte' where Group_ID = 'CGRP00140'; </v>
      </c>
    </row>
    <row r="141" spans="1:20">
      <c r="A141" t="s">
        <v>1973</v>
      </c>
      <c r="B141" t="s">
        <v>8910</v>
      </c>
      <c r="D141" t="s">
        <v>4194</v>
      </c>
      <c r="E141" t="s">
        <v>1977</v>
      </c>
      <c r="F141">
        <f>LEN(I141)</f>
        <v>24</v>
      </c>
      <c r="G141" t="str">
        <f>VLOOKUP(E141,Organisation!$A$2:$C$499,3,FALSE)</f>
        <v>CORG00034</v>
      </c>
      <c r="H141" t="str">
        <f>VLOOKUP(G141,Organisation!$C$2:$E$318,3,FALSE)</f>
        <v>CIATEJ</v>
      </c>
      <c r="I141" t="s">
        <v>10536</v>
      </c>
      <c r="J141">
        <f t="shared" si="2"/>
        <v>1</v>
      </c>
      <c r="L141" t="s">
        <v>1978</v>
      </c>
      <c r="M141" t="s">
        <v>1979</v>
      </c>
      <c r="N141" t="s">
        <v>1980</v>
      </c>
      <c r="O141" t="s">
        <v>5766</v>
      </c>
      <c r="P141" t="s">
        <v>8867</v>
      </c>
      <c r="Q141" s="1">
        <v>1</v>
      </c>
      <c r="R141" t="str">
        <f>"Update Collaborator_Group Set Organisation = '"&amp;E141&amp;"' where Group_ID = '"&amp;A141&amp;"'; "</f>
        <v xml:space="preserve">Update Collaborator_Group Set Organisation = 'Ciatej AC, Conacyt' where Group_ID = 'CG00140'; </v>
      </c>
      <c r="S141" t="str">
        <f>"Update Collaborator_Group Set Group_Name = '"&amp;I141&amp;"' where Group_ID = '"&amp;A141&amp;"'; "</f>
        <v xml:space="preserve">Update Collaborator_Group Set Group_Name = 'PradoMontesdeOcaE_CIATEJ' where Group_ID = 'CG00140'; </v>
      </c>
      <c r="T141" t="str">
        <f>"Update dcollab.collab_group Set group_code = '"&amp;I141&amp;"' where Group_ID = '"&amp;B141&amp;"'; "</f>
        <v xml:space="preserve">Update dcollab.collab_group Set group_code = 'PradoMontesdeOcaE_CIATEJ' where Group_ID = 'CGRP00141'; </v>
      </c>
    </row>
    <row r="142" spans="1:20">
      <c r="A142" t="s">
        <v>3277</v>
      </c>
      <c r="B142" t="s">
        <v>8909</v>
      </c>
      <c r="D142" t="s">
        <v>3276</v>
      </c>
      <c r="E142" t="s">
        <v>3281</v>
      </c>
      <c r="F142">
        <f>LEN(I142)</f>
        <v>30</v>
      </c>
      <c r="G142" t="str">
        <f>VLOOKUP(E142,Organisation!$A$2:$C$499,3,FALSE)</f>
        <v>CORG00033</v>
      </c>
      <c r="H142" t="str">
        <f>VLOOKUP(G142,Organisation!$C$2:$E$318,3,FALSE)</f>
        <v>ChulalongkornU</v>
      </c>
      <c r="I142" t="s">
        <v>5767</v>
      </c>
      <c r="J142">
        <f t="shared" si="2"/>
        <v>1</v>
      </c>
      <c r="L142" t="s">
        <v>8834</v>
      </c>
      <c r="M142" t="s">
        <v>3283</v>
      </c>
      <c r="N142" t="s">
        <v>3284</v>
      </c>
      <c r="P142" t="s">
        <v>8866</v>
      </c>
      <c r="Q142" s="1">
        <v>1</v>
      </c>
      <c r="R142" t="str">
        <f>"Update Collaborator_Group Set Organisation = '"&amp;E142&amp;"' where Group_ID = '"&amp;A142&amp;"'; "</f>
        <v xml:space="preserve">Update Collaborator_Group Set Organisation = 'Chulalongkorn University' where Group_ID = 'CG00141'; </v>
      </c>
      <c r="S142" t="str">
        <f>"Update Collaborator_Group Set Group_Name = '"&amp;I142&amp;"' where Group_ID = '"&amp;A142&amp;"'; "</f>
        <v xml:space="preserve">Update Collaborator_Group Set Group_Name = 'LuangruangrongK_ChulalongkornU' where Group_ID = 'CG00141'; </v>
      </c>
      <c r="T142" t="str">
        <f>"Update dcollab.collab_group Set group_code = '"&amp;I142&amp;"' where Group_ID = '"&amp;B142&amp;"'; "</f>
        <v xml:space="preserve">Update dcollab.collab_group Set group_code = 'LuangruangrongK_ChulalongkornU' where Group_ID = 'CGRP00142'; </v>
      </c>
    </row>
    <row r="143" spans="1:20">
      <c r="A143" t="s">
        <v>1340</v>
      </c>
      <c r="B143" t="s">
        <v>8897</v>
      </c>
      <c r="D143" t="s">
        <v>1339</v>
      </c>
      <c r="E143" t="s">
        <v>1343</v>
      </c>
      <c r="F143">
        <f>LEN(I143)</f>
        <v>19</v>
      </c>
      <c r="G143" t="str">
        <f>VLOOKUP(E143,Organisation!$A$2:$C$499,3,FALSE)</f>
        <v>CORG00021</v>
      </c>
      <c r="H143" t="str">
        <f>VLOOKUP(G143,Organisation!$C$2:$E$318,3,FALSE)</f>
        <v>PharmacyU</v>
      </c>
      <c r="I143" t="s">
        <v>5778</v>
      </c>
      <c r="J143">
        <f t="shared" si="2"/>
        <v>1</v>
      </c>
      <c r="L143" t="s">
        <v>35</v>
      </c>
      <c r="N143" t="s">
        <v>211</v>
      </c>
      <c r="P143" t="s">
        <v>8866</v>
      </c>
      <c r="Q143" s="1">
        <v>1</v>
      </c>
      <c r="R143" t="str">
        <f>"Update Collaborator_Group Set Organisation = '"&amp;E143&amp;"' where Group_ID = '"&amp;A143&amp;"'; "</f>
        <v xml:space="preserve">Update Collaborator_Group Set Organisation = 'Bombay College of Pharmacy' where Group_ID = 'CG00142'; </v>
      </c>
      <c r="S143" t="str">
        <f>"Update Collaborator_Group Set Group_Name = '"&amp;I143&amp;"' where Group_ID = '"&amp;A143&amp;"'; "</f>
        <v xml:space="preserve">Update Collaborator_Group Set Group_Name = 'CoutinhoE_PharmacyU' where Group_ID = 'CG00142'; </v>
      </c>
      <c r="T143" t="str">
        <f>"Update dcollab.collab_group Set group_code = '"&amp;I143&amp;"' where Group_ID = '"&amp;B143&amp;"'; "</f>
        <v xml:space="preserve">Update dcollab.collab_group Set group_code = 'CoutinhoE_PharmacyU' where Group_ID = 'CGRP00143'; </v>
      </c>
    </row>
    <row r="144" spans="1:20">
      <c r="A144" t="s">
        <v>2939</v>
      </c>
      <c r="B144" t="s">
        <v>9045</v>
      </c>
      <c r="D144" t="s">
        <v>2938</v>
      </c>
      <c r="E144" t="s">
        <v>2942</v>
      </c>
      <c r="F144">
        <f>LEN(I144)</f>
        <v>15</v>
      </c>
      <c r="G144" t="str">
        <f>VLOOKUP(E144,Organisation!$A$2:$C$499,3,FALSE)</f>
        <v>CORG00142</v>
      </c>
      <c r="H144" t="str">
        <f>VLOOKUP(G144,Organisation!$C$2:$E$318,3,FALSE)</f>
        <v>NMIMSU</v>
      </c>
      <c r="I144" t="s">
        <v>5673</v>
      </c>
      <c r="J144">
        <f t="shared" si="2"/>
        <v>1</v>
      </c>
      <c r="L144" t="s">
        <v>35</v>
      </c>
      <c r="M144" t="s">
        <v>2943</v>
      </c>
      <c r="N144" t="s">
        <v>211</v>
      </c>
      <c r="P144" t="s">
        <v>8866</v>
      </c>
      <c r="Q144" s="1">
        <v>1</v>
      </c>
      <c r="R144" t="str">
        <f>"Update Collaborator_Group Set Organisation = '"&amp;E144&amp;"' where Group_ID = '"&amp;A144&amp;"'; "</f>
        <v xml:space="preserve">Update Collaborator_Group Set Organisation = 'NMIMS' where Group_ID = 'CG00143'; </v>
      </c>
      <c r="S144" t="str">
        <f>"Update Collaborator_Group Set Group_Name = '"&amp;I144&amp;"' where Group_ID = '"&amp;A144&amp;"'; "</f>
        <v xml:space="preserve">Update Collaborator_Group Set Group_Name = 'KharkarP_NMIMSU' where Group_ID = 'CG00143'; </v>
      </c>
      <c r="T144" t="str">
        <f>"Update dcollab.collab_group Set group_code = '"&amp;I144&amp;"' where Group_ID = '"&amp;B144&amp;"'; "</f>
        <v xml:space="preserve">Update dcollab.collab_group Set group_code = 'KharkarP_NMIMSU' where Group_ID = 'CGRP00144'; </v>
      </c>
    </row>
    <row r="145" spans="1:20">
      <c r="A145" t="s">
        <v>1231</v>
      </c>
      <c r="B145" t="s">
        <v>9117</v>
      </c>
      <c r="D145" t="s">
        <v>1230</v>
      </c>
      <c r="E145" t="s">
        <v>1234</v>
      </c>
      <c r="F145">
        <f>LEN(I145)</f>
        <v>15</v>
      </c>
      <c r="G145" t="str">
        <f>VLOOKUP(E145,Organisation!$A$2:$C$499,3,FALSE)</f>
        <v>CORG00209</v>
      </c>
      <c r="H145" t="str">
        <f>VLOOKUP(G145,Organisation!$C$2:$E$318,3,FALSE)</f>
        <v>UCCork</v>
      </c>
      <c r="I145" t="s">
        <v>10450</v>
      </c>
      <c r="J145">
        <f t="shared" si="2"/>
        <v>1</v>
      </c>
      <c r="L145" t="s">
        <v>84</v>
      </c>
      <c r="N145" t="s">
        <v>1235</v>
      </c>
      <c r="P145" t="s">
        <v>8866</v>
      </c>
      <c r="Q145" s="1">
        <v>1</v>
      </c>
      <c r="R145" t="str">
        <f>"Update Collaborator_Group Set Organisation = '"&amp;E145&amp;"' where Group_ID = '"&amp;A145&amp;"'; "</f>
        <v xml:space="preserve">Update Collaborator_Group Set Organisation = 'University College Cork' where Group_ID = 'CG00144'; </v>
      </c>
      <c r="S145" t="str">
        <f>"Update Collaborator_Group Set Group_Name = '"&amp;I145&amp;"' where Group_ID = '"&amp;A145&amp;"'; "</f>
        <v xml:space="preserve">Update Collaborator_Group Set Group_Name = 'CollinsS_UCCork' where Group_ID = 'CG00144'; </v>
      </c>
      <c r="T145" t="str">
        <f>"Update dcollab.collab_group Set group_code = '"&amp;I145&amp;"' where Group_ID = '"&amp;B145&amp;"'; "</f>
        <v xml:space="preserve">Update dcollab.collab_group Set group_code = 'CollinsS_UCCork' where Group_ID = 'CGRP00145'; </v>
      </c>
    </row>
    <row r="146" spans="1:20">
      <c r="A146" t="s">
        <v>1733</v>
      </c>
      <c r="B146" t="s">
        <v>9034</v>
      </c>
      <c r="D146" t="s">
        <v>5063</v>
      </c>
      <c r="E146" t="s">
        <v>8770</v>
      </c>
      <c r="F146">
        <f>LEN(I146)</f>
        <v>3</v>
      </c>
      <c r="G146" t="str">
        <f>VLOOKUP(E146,Organisation!$A$2:$C$499,3,FALSE)</f>
        <v>CORG00134</v>
      </c>
      <c r="H146" t="str">
        <f>VLOOKUP(G146,Organisation!$C$2:$E$318,3,FALSE)</f>
        <v>NIH</v>
      </c>
      <c r="I146" t="s">
        <v>1736</v>
      </c>
      <c r="J146">
        <f t="shared" si="2"/>
        <v>1</v>
      </c>
      <c r="L146" t="s">
        <v>4810</v>
      </c>
      <c r="N146" t="s">
        <v>8808</v>
      </c>
      <c r="P146" t="s">
        <v>8866</v>
      </c>
      <c r="Q146" s="1">
        <v>1</v>
      </c>
      <c r="R146" t="str">
        <f>"Update Collaborator_Group Set Organisation = '"&amp;E146&amp;"' where Group_ID = '"&amp;A146&amp;"'; "</f>
        <v xml:space="preserve">Update Collaborator_Group Set Organisation = 'National Institute of Health' where Group_ID = 'CG00145'; </v>
      </c>
      <c r="S146" t="str">
        <f>"Update Collaborator_Group Set Group_Name = '"&amp;I146&amp;"' where Group_ID = '"&amp;A146&amp;"'; "</f>
        <v xml:space="preserve">Update Collaborator_Group Set Group_Name = 'NIH' where Group_ID = 'CG00145'; </v>
      </c>
      <c r="T146" t="str">
        <f>"Update dcollab.collab_group Set group_code = '"&amp;I146&amp;"' where Group_ID = '"&amp;B146&amp;"'; "</f>
        <v xml:space="preserve">Update dcollab.collab_group Set group_code = 'NIH' where Group_ID = 'CGRP00146'; </v>
      </c>
    </row>
    <row r="147" spans="1:20">
      <c r="A147" t="s">
        <v>3348</v>
      </c>
      <c r="B147" t="s">
        <v>9094</v>
      </c>
      <c r="D147" t="s">
        <v>3347</v>
      </c>
      <c r="E147" t="s">
        <v>3351</v>
      </c>
      <c r="F147">
        <f>LEN(I147)</f>
        <v>11</v>
      </c>
      <c r="G147" t="str">
        <f>VLOOKUP(E147,Organisation!$A$2:$C$499,3,FALSE)</f>
        <v>CORG00190</v>
      </c>
      <c r="H147" t="str">
        <f>VLOOKUP(G147,Organisation!$C$2:$E$318,3,FALSE)</f>
        <v>TumkurU</v>
      </c>
      <c r="I147" t="s">
        <v>5621</v>
      </c>
      <c r="J147">
        <f t="shared" si="2"/>
        <v>1</v>
      </c>
      <c r="L147" t="s">
        <v>84</v>
      </c>
      <c r="N147" t="s">
        <v>211</v>
      </c>
      <c r="P147" t="s">
        <v>8866</v>
      </c>
      <c r="Q147" s="1">
        <v>1</v>
      </c>
      <c r="R147" t="str">
        <f>"Update Collaborator_Group Set Organisation = '"&amp;E147&amp;"' where Group_ID = '"&amp;A147&amp;"'; "</f>
        <v xml:space="preserve">Update Collaborator_Group Set Organisation = 'Tumkur University' where Group_ID = 'CG00146'; </v>
      </c>
      <c r="S147" t="str">
        <f>"Update Collaborator_Group Set Group_Name = '"&amp;I147&amp;"' where Group_ID = '"&amp;A147&amp;"'; "</f>
        <v xml:space="preserve">Update Collaborator_Group Set Group_Name = 'MKS_TumkurU' where Group_ID = 'CG00146'; </v>
      </c>
      <c r="T147" t="str">
        <f>"Update dcollab.collab_group Set group_code = '"&amp;I147&amp;"' where Group_ID = '"&amp;B147&amp;"'; "</f>
        <v xml:space="preserve">Update dcollab.collab_group Set group_code = 'MKS_TumkurU' where Group_ID = 'CGRP00147'; </v>
      </c>
    </row>
    <row r="148" spans="1:20">
      <c r="A148" t="s">
        <v>1196</v>
      </c>
      <c r="B148" t="s">
        <v>9199</v>
      </c>
      <c r="D148" t="s">
        <v>1195</v>
      </c>
      <c r="E148" t="s">
        <v>362</v>
      </c>
      <c r="F148">
        <f>LEN(I148)</f>
        <v>9</v>
      </c>
      <c r="G148" t="str">
        <f>VLOOKUP(E148,Organisation!$A$2:$C$499,3,FALSE)</f>
        <v>CORG00001</v>
      </c>
      <c r="H148" t="str">
        <f>VLOOKUP(G148,Organisation!$C$2:$E$318,3,FALSE)</f>
        <v>UQ</v>
      </c>
      <c r="I148" t="s">
        <v>5536</v>
      </c>
      <c r="J148">
        <f t="shared" si="2"/>
        <v>1</v>
      </c>
      <c r="L148" t="s">
        <v>1199</v>
      </c>
      <c r="N148" t="s">
        <v>14</v>
      </c>
      <c r="P148" t="s">
        <v>8866</v>
      </c>
      <c r="Q148" s="1">
        <v>1</v>
      </c>
      <c r="R148" t="str">
        <f>"Update Collaborator_Group Set Organisation = '"&amp;E148&amp;"' where Group_ID = '"&amp;A148&amp;"'; "</f>
        <v xml:space="preserve">Update Collaborator_Group Set Organisation = 'University of Queensland' where Group_ID = 'CG00147'; </v>
      </c>
      <c r="S148" t="str">
        <f>"Update Collaborator_Group Set Group_Name = '"&amp;I148&amp;"' where Group_ID = '"&amp;A148&amp;"'; "</f>
        <v xml:space="preserve">Update Collaborator_Group Set Group_Name = 'ClarkR_UQ' where Group_ID = 'CG00147'; </v>
      </c>
      <c r="T148" t="str">
        <f>"Update dcollab.collab_group Set group_code = '"&amp;I148&amp;"' where Group_ID = '"&amp;B148&amp;"'; "</f>
        <v xml:space="preserve">Update dcollab.collab_group Set group_code = 'ClarkR_UQ' where Group_ID = 'CGRP00148'; </v>
      </c>
    </row>
    <row r="149" spans="1:20">
      <c r="A149" t="s">
        <v>1392</v>
      </c>
      <c r="B149" t="s">
        <v>9127</v>
      </c>
      <c r="D149" t="s">
        <v>1391</v>
      </c>
      <c r="E149" t="s">
        <v>1394</v>
      </c>
      <c r="F149">
        <f>LEN(I149)</f>
        <v>19</v>
      </c>
      <c r="G149" t="str">
        <f>VLOOKUP(E149,Organisation!$A$2:$C$499,3,FALSE)</f>
        <v>CORG00215</v>
      </c>
      <c r="H149" t="str">
        <f>VLOOKUP(G149,Organisation!$C$2:$E$318,3,FALSE)</f>
        <v>UArkansasMS</v>
      </c>
      <c r="I149" t="s">
        <v>5605</v>
      </c>
      <c r="J149">
        <f t="shared" si="2"/>
        <v>1</v>
      </c>
      <c r="L149" t="s">
        <v>1263</v>
      </c>
      <c r="N149" t="s">
        <v>8808</v>
      </c>
      <c r="P149" t="s">
        <v>8866</v>
      </c>
      <c r="Q149" s="1">
        <v>1</v>
      </c>
      <c r="R149" t="str">
        <f>"Update Collaborator_Group Set Organisation = '"&amp;E149&amp;"' where Group_ID = '"&amp;A149&amp;"'; "</f>
        <v xml:space="preserve">Update Collaborator_Group Set Organisation = 'University of Arkansas For Medical Sciences' where Group_ID = 'CG00148'; </v>
      </c>
      <c r="S149" t="str">
        <f>"Update Collaborator_Group Set Group_Name = '"&amp;I149&amp;"' where Group_ID = '"&amp;A149&amp;"'; "</f>
        <v xml:space="preserve">Update Collaborator_Group Set Group_Name = 'CrooksP_UArkansasMS' where Group_ID = 'CG00148'; </v>
      </c>
      <c r="T149" t="str">
        <f>"Update dcollab.collab_group Set group_code = '"&amp;I149&amp;"' where Group_ID = '"&amp;B149&amp;"'; "</f>
        <v xml:space="preserve">Update dcollab.collab_group Set group_code = 'CrooksP_UArkansasMS' where Group_ID = 'CGRP00149'; </v>
      </c>
    </row>
    <row r="150" spans="1:20">
      <c r="A150" t="s">
        <v>3426</v>
      </c>
      <c r="B150" t="s">
        <v>8982</v>
      </c>
      <c r="D150" t="s">
        <v>4200</v>
      </c>
      <c r="E150" t="s">
        <v>4204</v>
      </c>
      <c r="F150">
        <f>LEN(I150)</f>
        <v>11</v>
      </c>
      <c r="G150" t="str">
        <f>VLOOKUP(E150,Organisation!$A$2:$C$499,3,FALSE)</f>
        <v>CORG00094</v>
      </c>
      <c r="H150" t="str">
        <f>VLOOKUP(G150,Organisation!$C$2:$E$318,3,FALSE)</f>
        <v>KLU</v>
      </c>
      <c r="I150" t="s">
        <v>5716</v>
      </c>
      <c r="J150">
        <f t="shared" si="2"/>
        <v>1</v>
      </c>
      <c r="L150" t="s">
        <v>4205</v>
      </c>
      <c r="M150" t="s">
        <v>5715</v>
      </c>
      <c r="N150" t="s">
        <v>211</v>
      </c>
      <c r="P150" t="s">
        <v>8866</v>
      </c>
      <c r="Q150" s="1">
        <v>1</v>
      </c>
      <c r="R150" t="str">
        <f>"Update Collaborator_Group Set Organisation = '"&amp;E150&amp;"' where Group_ID = '"&amp;A150&amp;"'; "</f>
        <v xml:space="preserve">Update Collaborator_Group Set Organisation = 'K L University' where Group_ID = 'CG00149'; </v>
      </c>
      <c r="S150" t="str">
        <f>"Update Collaborator_Group Set Group_Name = '"&amp;I150&amp;"' where Group_ID = '"&amp;A150&amp;"'; "</f>
        <v xml:space="preserve">Update Collaborator_Group Set Group_Name = 'PrasadK_KLU' where Group_ID = 'CG00149'; </v>
      </c>
      <c r="T150" t="str">
        <f>"Update dcollab.collab_group Set group_code = '"&amp;I150&amp;"' where Group_ID = '"&amp;B150&amp;"'; "</f>
        <v xml:space="preserve">Update dcollab.collab_group Set group_code = 'PrasadK_KLU' where Group_ID = 'CGRP00150'; </v>
      </c>
    </row>
    <row r="151" spans="1:20">
      <c r="A151" t="s">
        <v>4725</v>
      </c>
      <c r="B151" t="s">
        <v>9003</v>
      </c>
      <c r="D151" t="s">
        <v>4724</v>
      </c>
      <c r="E151" t="s">
        <v>4727</v>
      </c>
      <c r="F151">
        <f>LEN(I151)</f>
        <v>14</v>
      </c>
      <c r="G151" t="str">
        <f>VLOOKUP(E151,Organisation!$A$2:$C$499,3,FALSE)</f>
        <v>CORG00110</v>
      </c>
      <c r="H151" t="str">
        <f>VLOOKUP(G151,Organisation!$C$2:$E$318,3,FALSE)</f>
        <v>Manipal</v>
      </c>
      <c r="I151" t="s">
        <v>5694</v>
      </c>
      <c r="J151">
        <f t="shared" si="2"/>
        <v>1</v>
      </c>
      <c r="L151" t="s">
        <v>73</v>
      </c>
      <c r="M151" t="s">
        <v>4728</v>
      </c>
      <c r="N151" t="s">
        <v>211</v>
      </c>
      <c r="P151" t="s">
        <v>8866</v>
      </c>
      <c r="Q151" s="1">
        <v>1</v>
      </c>
      <c r="R151" t="str">
        <f>"Update Collaborator_Group Set Organisation = '"&amp;E151&amp;"' where Group_ID = '"&amp;A151&amp;"'; "</f>
        <v xml:space="preserve">Update Collaborator_Group Set Organisation = 'Manipal' where Group_ID = 'CG00150'; </v>
      </c>
      <c r="S151" t="str">
        <f>"Update Collaborator_Group Set Group_Name = '"&amp;I151&amp;"' where Group_ID = '"&amp;A151&amp;"'; "</f>
        <v xml:space="preserve">Update Collaborator_Group Set Group_Name = 'SimonL_Manipal' where Group_ID = 'CG00150'; </v>
      </c>
      <c r="T151" t="str">
        <f>"Update dcollab.collab_group Set group_code = '"&amp;I151&amp;"' where Group_ID = '"&amp;B151&amp;"'; "</f>
        <v xml:space="preserve">Update dcollab.collab_group Set group_code = 'SimonL_Manipal' where Group_ID = 'CGRP00151'; </v>
      </c>
    </row>
    <row r="152" spans="1:20">
      <c r="A152" t="s">
        <v>2859</v>
      </c>
      <c r="B152" t="s">
        <v>9151</v>
      </c>
      <c r="D152" t="s">
        <v>4694</v>
      </c>
      <c r="E152" t="s">
        <v>2862</v>
      </c>
      <c r="F152">
        <f>LEN(I152)</f>
        <v>18</v>
      </c>
      <c r="G152" t="str">
        <f>VLOOKUP(E152,Organisation!$A$2:$C$499,3,FALSE)</f>
        <v>CORG00230</v>
      </c>
      <c r="H152" t="str">
        <f>VLOOKUP(G152,Organisation!$C$2:$E$318,3,FALSE)</f>
        <v>UEdinburgh</v>
      </c>
      <c r="I152" t="s">
        <v>5585</v>
      </c>
      <c r="J152">
        <f t="shared" si="2"/>
        <v>1</v>
      </c>
      <c r="L152" t="s">
        <v>73</v>
      </c>
      <c r="N152" t="s">
        <v>269</v>
      </c>
      <c r="P152" t="s">
        <v>8866</v>
      </c>
      <c r="Q152" s="1">
        <v>1</v>
      </c>
      <c r="R152" t="str">
        <f>"Update Collaborator_Group Set Organisation = '"&amp;E152&amp;"' where Group_ID = '"&amp;A152&amp;"'; "</f>
        <v xml:space="preserve">Update Collaborator_Group Set Organisation = 'University of Edinburgh' where Group_ID = 'CG00151'; </v>
      </c>
      <c r="S152" t="str">
        <f>"Update Collaborator_Group Set Group_Name = '"&amp;I152&amp;"' where Group_ID = '"&amp;A152&amp;"'; "</f>
        <v xml:space="preserve">Update Collaborator_Group Set Group_Name = 'ShaverM_UEdinburgh' where Group_ID = 'CG00151'; </v>
      </c>
      <c r="T152" t="str">
        <f>"Update dcollab.collab_group Set group_code = '"&amp;I152&amp;"' where Group_ID = '"&amp;B152&amp;"'; "</f>
        <v xml:space="preserve">Update dcollab.collab_group Set group_code = 'ShaverM_UEdinburgh' where Group_ID = 'CGRP00152'; </v>
      </c>
    </row>
    <row r="153" spans="1:20">
      <c r="A153" t="s">
        <v>1581</v>
      </c>
      <c r="B153" t="s">
        <v>8976</v>
      </c>
      <c r="D153" t="s">
        <v>5153</v>
      </c>
      <c r="E153" t="s">
        <v>208</v>
      </c>
      <c r="F153">
        <f>LEN(I153)</f>
        <v>12</v>
      </c>
      <c r="G153" t="str">
        <f>VLOOKUP(E153,Organisation!$A$2:$C$499,3,FALSE)</f>
        <v>CORG00090</v>
      </c>
      <c r="H153" t="str">
        <f>VLOOKUP(G153,Organisation!$C$2:$E$318,3,FALSE)</f>
        <v>JainU</v>
      </c>
      <c r="I153" t="s">
        <v>5721</v>
      </c>
      <c r="J153">
        <f t="shared" si="2"/>
        <v>1</v>
      </c>
      <c r="L153" t="s">
        <v>1585</v>
      </c>
      <c r="M153" t="s">
        <v>2990</v>
      </c>
      <c r="N153" t="s">
        <v>211</v>
      </c>
      <c r="P153" t="s">
        <v>8866</v>
      </c>
      <c r="Q153" s="1">
        <v>1</v>
      </c>
      <c r="R153" t="str">
        <f>"Update Collaborator_Group Set Organisation = '"&amp;E153&amp;"' where Group_ID = '"&amp;A153&amp;"'; "</f>
        <v xml:space="preserve">Update Collaborator_Group Set Organisation = 'Jain University' where Group_ID = 'CG00152'; </v>
      </c>
      <c r="S153" t="str">
        <f>"Update Collaborator_Group Set Group_Name = '"&amp;I153&amp;"' where Group_ID = '"&amp;A153&amp;"'; "</f>
        <v xml:space="preserve">Update Collaborator_Group Set Group_Name = 'TyagiA_JainU' where Group_ID = 'CG00152'; </v>
      </c>
      <c r="T153" t="str">
        <f>"Update dcollab.collab_group Set group_code = '"&amp;I153&amp;"' where Group_ID = '"&amp;B153&amp;"'; "</f>
        <v xml:space="preserve">Update dcollab.collab_group Set group_code = 'TyagiA_JainU' where Group_ID = 'CGRP00153'; </v>
      </c>
    </row>
    <row r="154" spans="1:20">
      <c r="A154" t="s">
        <v>311</v>
      </c>
      <c r="B154" t="s">
        <v>8986</v>
      </c>
      <c r="D154" t="s">
        <v>586</v>
      </c>
      <c r="E154" t="s">
        <v>315</v>
      </c>
      <c r="F154">
        <f>LEN(I154)</f>
        <v>16</v>
      </c>
      <c r="G154" t="str">
        <f>VLOOKUP(E154,Organisation!$A$2:$C$499,3,FALSE)</f>
        <v>CORG00097</v>
      </c>
      <c r="H154" t="str">
        <f>VLOOKUP(G154,Organisation!$C$2:$E$318,3,FALSE)</f>
        <v>KIingSaudU</v>
      </c>
      <c r="I154" t="s">
        <v>5708</v>
      </c>
      <c r="J154">
        <f t="shared" si="2"/>
        <v>1</v>
      </c>
      <c r="L154" t="s">
        <v>589</v>
      </c>
      <c r="M154" t="s">
        <v>590</v>
      </c>
      <c r="N154" t="s">
        <v>318</v>
      </c>
      <c r="P154" t="s">
        <v>8866</v>
      </c>
      <c r="Q154" s="1">
        <v>1</v>
      </c>
      <c r="R154" t="str">
        <f>"Update Collaborator_Group Set Organisation = '"&amp;E154&amp;"' where Group_ID = '"&amp;A154&amp;"'; "</f>
        <v xml:space="preserve">Update Collaborator_Group Set Organisation = 'King Saud University' where Group_ID = 'CG00153'; </v>
      </c>
      <c r="S154" t="str">
        <f>"Update Collaborator_Group Set Group_Name = '"&amp;I154&amp;"' where Group_ID = '"&amp;A154&amp;"'; "</f>
        <v xml:space="preserve">Update Collaborator_Group Set Group_Name = 'BariA_KIingSaudU' where Group_ID = 'CG00153'; </v>
      </c>
      <c r="T154" t="str">
        <f>"Update dcollab.collab_group Set group_code = '"&amp;I154&amp;"' where Group_ID = '"&amp;B154&amp;"'; "</f>
        <v xml:space="preserve">Update dcollab.collab_group Set group_code = 'BariA_KIingSaudU' where Group_ID = 'CGRP00154'; </v>
      </c>
    </row>
    <row r="155" spans="1:20">
      <c r="A155" t="s">
        <v>4073</v>
      </c>
      <c r="B155" t="s">
        <v>8913</v>
      </c>
      <c r="D155" t="s">
        <v>4072</v>
      </c>
      <c r="E155" t="s">
        <v>4077</v>
      </c>
      <c r="F155">
        <f>LEN(I155)</f>
        <v>20</v>
      </c>
      <c r="G155" t="str">
        <f>VLOOKUP(E155,Organisation!$A$2:$C$499,3,FALSE)</f>
        <v>CORG00038</v>
      </c>
      <c r="H155" t="str">
        <f>VLOOKUP(G155,Organisation!$C$2:$E$318,3,FALSE)</f>
        <v>ColumbiaU</v>
      </c>
      <c r="I155" t="s">
        <v>5765</v>
      </c>
      <c r="J155">
        <f t="shared" si="2"/>
        <v>1</v>
      </c>
      <c r="L155" t="s">
        <v>4078</v>
      </c>
      <c r="M155" t="s">
        <v>4079</v>
      </c>
      <c r="N155" t="s">
        <v>8808</v>
      </c>
      <c r="P155" t="s">
        <v>8866</v>
      </c>
      <c r="Q155" s="1">
        <v>1</v>
      </c>
      <c r="R155" t="str">
        <f>"Update Collaborator_Group Set Organisation = '"&amp;E155&amp;"' where Group_ID = '"&amp;A155&amp;"'; "</f>
        <v xml:space="preserve">Update Collaborator_Group Set Organisation = 'Columbia University' where Group_ID = 'CG00154'; </v>
      </c>
      <c r="S155" t="str">
        <f>"Update Collaborator_Group Set Group_Name = '"&amp;I155&amp;"' where Group_ID = '"&amp;A155&amp;"'; "</f>
        <v xml:space="preserve">Update Collaborator_Group Set Group_Name = 'PetrukhinK_ColumbiaU' where Group_ID = 'CG00154'; </v>
      </c>
      <c r="T155" t="str">
        <f>"Update dcollab.collab_group Set group_code = '"&amp;I155&amp;"' where Group_ID = '"&amp;B155&amp;"'; "</f>
        <v xml:space="preserve">Update dcollab.collab_group Set group_code = 'PetrukhinK_ColumbiaU' where Group_ID = 'CGRP00155'; </v>
      </c>
    </row>
    <row r="156" spans="1:20">
      <c r="A156" t="s">
        <v>1709</v>
      </c>
      <c r="B156" t="s">
        <v>9043</v>
      </c>
      <c r="D156" t="s">
        <v>1708</v>
      </c>
      <c r="E156" t="s">
        <v>457</v>
      </c>
      <c r="F156">
        <f>LEN(I156)</f>
        <v>11</v>
      </c>
      <c r="G156" t="str">
        <f>VLOOKUP(E156,Organisation!$A$2:$C$499,3,FALSE)</f>
        <v>CORG00140</v>
      </c>
      <c r="H156" t="str">
        <f>VLOOKUP(G156,Organisation!$C$2:$E$318,3,FALSE)</f>
        <v>NUS</v>
      </c>
      <c r="I156" t="s">
        <v>5667</v>
      </c>
      <c r="J156">
        <f t="shared" si="2"/>
        <v>1</v>
      </c>
      <c r="L156" t="s">
        <v>1712</v>
      </c>
      <c r="M156" t="s">
        <v>1713</v>
      </c>
      <c r="N156" t="s">
        <v>459</v>
      </c>
      <c r="O156" t="s">
        <v>5665</v>
      </c>
      <c r="P156" t="s">
        <v>8867</v>
      </c>
      <c r="Q156" s="1">
        <v>1</v>
      </c>
      <c r="R156" t="str">
        <f>"Update Collaborator_Group Set Organisation = '"&amp;E156&amp;"' where Group_ID = '"&amp;A156&amp;"'; "</f>
        <v xml:space="preserve">Update Collaborator_Group Set Organisation = 'National University of Singapore' where Group_ID = 'CG00155'; </v>
      </c>
      <c r="S156" t="str">
        <f>"Update Collaborator_Group Set Group_Name = '"&amp;I156&amp;"' where Group_ID = '"&amp;A156&amp;"'; "</f>
        <v xml:space="preserve">Update Collaborator_Group Set Group_Name = 'DymockB_NUS' where Group_ID = 'CG00155'; </v>
      </c>
      <c r="T156" t="str">
        <f>"Update dcollab.collab_group Set group_code = '"&amp;I156&amp;"' where Group_ID = '"&amp;B156&amp;"'; "</f>
        <v xml:space="preserve">Update dcollab.collab_group Set group_code = 'DymockB_NUS' where Group_ID = 'CGRP00156'; </v>
      </c>
    </row>
    <row r="157" spans="1:20">
      <c r="A157" t="s">
        <v>925</v>
      </c>
      <c r="B157" t="s">
        <v>9063</v>
      </c>
      <c r="D157" t="s">
        <v>5171</v>
      </c>
      <c r="E157" t="s">
        <v>929</v>
      </c>
      <c r="F157">
        <f>LEN(I157)</f>
        <v>11</v>
      </c>
      <c r="G157" t="str">
        <f>VLOOKUP(E157,Organisation!$A$2:$C$499,3,FALSE)</f>
        <v>CORG00160</v>
      </c>
      <c r="H157" t="str">
        <f>VLOOKUP(G157,Organisation!$C$2:$E$318,3,FALSE)</f>
        <v>RMIT</v>
      </c>
      <c r="I157" t="s">
        <v>5651</v>
      </c>
      <c r="J157">
        <f t="shared" si="2"/>
        <v>1</v>
      </c>
      <c r="L157" t="s">
        <v>930</v>
      </c>
      <c r="M157" t="s">
        <v>931</v>
      </c>
      <c r="N157" t="s">
        <v>14</v>
      </c>
      <c r="P157" t="s">
        <v>8866</v>
      </c>
      <c r="Q157" s="1">
        <v>1</v>
      </c>
      <c r="R157" t="str">
        <f>"Update Collaborator_Group Set Organisation = '"&amp;E157&amp;"' where Group_ID = '"&amp;A157&amp;"'; "</f>
        <v xml:space="preserve">Update Collaborator_Group Set Organisation = 'RMIT University' where Group_ID = 'CG00156'; </v>
      </c>
      <c r="S157" t="str">
        <f>"Update Collaborator_Group Set Group_Name = '"&amp;I157&amp;"' where Group_ID = '"&amp;A157&amp;"'; "</f>
        <v xml:space="preserve">Update Collaborator_Group Set Group_Name = 'UrbanS_RMIT' where Group_ID = 'CG00156'; </v>
      </c>
      <c r="T157" t="str">
        <f>"Update dcollab.collab_group Set group_code = '"&amp;I157&amp;"' where Group_ID = '"&amp;B157&amp;"'; "</f>
        <v xml:space="preserve">Update dcollab.collab_group Set group_code = 'UrbanS_RMIT' where Group_ID = 'CGRP00157'; </v>
      </c>
    </row>
    <row r="158" spans="1:20">
      <c r="A158" t="s">
        <v>3660</v>
      </c>
      <c r="B158" t="s">
        <v>9188</v>
      </c>
      <c r="D158" t="s">
        <v>3659</v>
      </c>
      <c r="E158" t="s">
        <v>3663</v>
      </c>
      <c r="F158">
        <f>LEN(I158)</f>
        <v>16</v>
      </c>
      <c r="G158" t="str">
        <f>VLOOKUP(E158,Organisation!$A$2:$C$499,3,FALSE)</f>
        <v>CORG00261</v>
      </c>
      <c r="H158" t="str">
        <f>VLOOKUP(G158,Organisation!$C$2:$E$318,3,FALSE)</f>
        <v>UOxford</v>
      </c>
      <c r="I158" t="s">
        <v>5557</v>
      </c>
      <c r="J158">
        <f t="shared" si="2"/>
        <v>1</v>
      </c>
      <c r="L158" t="s">
        <v>73</v>
      </c>
      <c r="M158" t="s">
        <v>3664</v>
      </c>
      <c r="N158" t="s">
        <v>269</v>
      </c>
      <c r="O158" t="s">
        <v>5556</v>
      </c>
      <c r="P158" t="s">
        <v>8867</v>
      </c>
      <c r="Q158" s="1">
        <v>1</v>
      </c>
      <c r="R158" t="str">
        <f>"Update Collaborator_Group Set Organisation = '"&amp;E158&amp;"' where Group_ID = '"&amp;A158&amp;"'; "</f>
        <v xml:space="preserve">Update Collaborator_Group Set Organisation = 'University of Oxford' where Group_ID = 'CG00157'; </v>
      </c>
      <c r="S158" t="str">
        <f>"Update Collaborator_Group Set Group_Name = '"&amp;I158&amp;"' where Group_ID = '"&amp;A158&amp;"'; "</f>
        <v xml:space="preserve">Update Collaborator_Group Set Group_Name = 'MoloneyM_UOxford' where Group_ID = 'CG00157'; </v>
      </c>
      <c r="T158" t="str">
        <f>"Update dcollab.collab_group Set group_code = '"&amp;I158&amp;"' where Group_ID = '"&amp;B158&amp;"'; "</f>
        <v xml:space="preserve">Update dcollab.collab_group Set group_code = 'MoloneyM_UOxford' where Group_ID = 'CGRP00158'; </v>
      </c>
    </row>
    <row r="159" spans="1:20">
      <c r="A159" t="s">
        <v>3850</v>
      </c>
      <c r="B159" t="s">
        <v>8938</v>
      </c>
      <c r="D159" t="s">
        <v>4066</v>
      </c>
      <c r="E159" t="s">
        <v>4068</v>
      </c>
      <c r="F159">
        <f>LEN(I159)</f>
        <v>18</v>
      </c>
      <c r="G159" t="str">
        <f>VLOOKUP(E159,Organisation!$A$2:$C$499,3,FALSE)</f>
        <v>CORG00060</v>
      </c>
      <c r="H159" t="str">
        <f>VLOOKUP(G159,Organisation!$C$2:$E$318,3,FALSE)</f>
        <v>FlindersU</v>
      </c>
      <c r="I159" t="s">
        <v>5748</v>
      </c>
      <c r="J159">
        <f t="shared" si="2"/>
        <v>1</v>
      </c>
      <c r="L159" t="s">
        <v>4069</v>
      </c>
      <c r="M159" t="s">
        <v>4070</v>
      </c>
      <c r="N159" t="s">
        <v>14</v>
      </c>
      <c r="P159" t="s">
        <v>8866</v>
      </c>
      <c r="Q159" s="1">
        <v>1</v>
      </c>
      <c r="R159" t="str">
        <f>"Update Collaborator_Group Set Organisation = '"&amp;E159&amp;"' where Group_ID = '"&amp;A159&amp;"'; "</f>
        <v xml:space="preserve">Update Collaborator_Group Set Organisation = 'Flinders University' where Group_ID = 'CG00158'; </v>
      </c>
      <c r="S159" t="str">
        <f>"Update Collaborator_Group Set Group_Name = '"&amp;I159&amp;"' where Group_ID = '"&amp;A159&amp;"'; "</f>
        <v xml:space="preserve">Update Collaborator_Group Set Group_Name = 'PerkinsM_FlindersU' where Group_ID = 'CG00158'; </v>
      </c>
      <c r="T159" t="str">
        <f>"Update dcollab.collab_group Set group_code = '"&amp;I159&amp;"' where Group_ID = '"&amp;B159&amp;"'; "</f>
        <v xml:space="preserve">Update dcollab.collab_group Set group_code = 'PerkinsM_FlindersU' where Group_ID = 'CGRP00159'; </v>
      </c>
    </row>
    <row r="160" spans="1:20">
      <c r="A160" t="s">
        <v>5457</v>
      </c>
      <c r="B160" t="s">
        <v>8882</v>
      </c>
      <c r="D160" t="s">
        <v>5456</v>
      </c>
      <c r="E160" t="s">
        <v>5459</v>
      </c>
      <c r="F160">
        <f>LEN(I160)</f>
        <v>21</v>
      </c>
      <c r="G160" t="str">
        <f>VLOOKUP(E160,Organisation!$A$2:$C$499,3,FALSE)</f>
        <v>CORG00010</v>
      </c>
      <c r="H160" t="str">
        <f>VLOOKUP(G160,Organisation!$C$2:$E$318,3,FALSE)</f>
        <v>ArmstrongSU</v>
      </c>
      <c r="I160" t="s">
        <v>5789</v>
      </c>
      <c r="J160">
        <f t="shared" si="2"/>
        <v>1</v>
      </c>
      <c r="L160" t="s">
        <v>325</v>
      </c>
      <c r="M160" t="s">
        <v>5460</v>
      </c>
      <c r="N160" t="s">
        <v>8808</v>
      </c>
      <c r="P160" t="s">
        <v>8866</v>
      </c>
      <c r="Q160" s="1">
        <v>1</v>
      </c>
      <c r="R160" t="str">
        <f>"Update Collaborator_Group Set Organisation = '"&amp;E160&amp;"' where Group_ID = '"&amp;A160&amp;"'; "</f>
        <v xml:space="preserve">Update Collaborator_Group Set Organisation = 'Armstrong State University' where Group_ID = 'CG00159'; </v>
      </c>
      <c r="S160" t="str">
        <f>"Update Collaborator_Group Set Group_Name = '"&amp;I160&amp;"' where Group_ID = '"&amp;A160&amp;"'; "</f>
        <v xml:space="preserve">Update Collaborator_Group Set Group_Name = 'ZingalesS_ArmstrongSU' where Group_ID = 'CG00159'; </v>
      </c>
      <c r="T160" t="str">
        <f>"Update dcollab.collab_group Set group_code = '"&amp;I160&amp;"' where Group_ID = '"&amp;B160&amp;"'; "</f>
        <v xml:space="preserve">Update dcollab.collab_group Set group_code = 'ZingalesS_ArmstrongSU' where Group_ID = 'CGRP00160'; </v>
      </c>
    </row>
    <row r="161" spans="1:20">
      <c r="A161" t="s">
        <v>1077</v>
      </c>
      <c r="B161" t="s">
        <v>9158</v>
      </c>
      <c r="D161" t="s">
        <v>3598</v>
      </c>
      <c r="E161" t="s">
        <v>1080</v>
      </c>
      <c r="F161">
        <f>LEN(I161)</f>
        <v>15</v>
      </c>
      <c r="G161" t="str">
        <f>VLOOKUP(E161,Organisation!$A$2:$C$499,3,FALSE)</f>
        <v>CORG00237</v>
      </c>
      <c r="H161" t="str">
        <f>VLOOKUP(G161,Organisation!$C$2:$E$318,3,FALSE)</f>
        <v>ULeeds</v>
      </c>
      <c r="I161" t="s">
        <v>5579</v>
      </c>
      <c r="J161">
        <f t="shared" si="2"/>
        <v>1</v>
      </c>
      <c r="L161" t="s">
        <v>73</v>
      </c>
      <c r="M161" t="s">
        <v>1081</v>
      </c>
      <c r="N161" t="s">
        <v>269</v>
      </c>
      <c r="P161" t="s">
        <v>8866</v>
      </c>
      <c r="Q161" s="1">
        <v>1</v>
      </c>
      <c r="R161" t="str">
        <f>"Update Collaborator_Group Set Organisation = '"&amp;E161&amp;"' where Group_ID = '"&amp;A161&amp;"'; "</f>
        <v xml:space="preserve">Update Collaborator_Group Set Organisation = 'University of Leeds' where Group_ID = 'CG00160'; </v>
      </c>
      <c r="S161" t="str">
        <f>"Update Collaborator_Group Set Group_Name = '"&amp;I161&amp;"' where Group_ID = '"&amp;A161&amp;"'; "</f>
        <v xml:space="preserve">Update Collaborator_Group Set Group_Name = 'McGowanP_ULeeds' where Group_ID = 'CG00160'; </v>
      </c>
      <c r="T161" t="str">
        <f>"Update dcollab.collab_group Set group_code = '"&amp;I161&amp;"' where Group_ID = '"&amp;B161&amp;"'; "</f>
        <v xml:space="preserve">Update dcollab.collab_group Set group_code = 'McGowanP_ULeeds' where Group_ID = 'CGRP00161'; </v>
      </c>
    </row>
    <row r="162" spans="1:20">
      <c r="A162" t="s">
        <v>602</v>
      </c>
      <c r="B162" t="s">
        <v>9083</v>
      </c>
      <c r="D162" t="s">
        <v>4921</v>
      </c>
      <c r="E162" t="s">
        <v>606</v>
      </c>
      <c r="F162">
        <f>LEN(I162)</f>
        <v>22</v>
      </c>
      <c r="G162" t="str">
        <f>VLOOKUP(E162,Organisation!$A$2:$C$499,3,FALSE)</f>
        <v>CORG00179</v>
      </c>
      <c r="H162" t="str">
        <f>VLOOKUP(G162,Organisation!$C$2:$E$318,3,FALSE)</f>
        <v>StellenboschU</v>
      </c>
      <c r="I162" t="s">
        <v>5632</v>
      </c>
      <c r="J162">
        <f t="shared" si="2"/>
        <v>1</v>
      </c>
      <c r="L162" t="s">
        <v>607</v>
      </c>
      <c r="M162" t="s">
        <v>608</v>
      </c>
      <c r="N162" t="s">
        <v>609</v>
      </c>
      <c r="P162" t="s">
        <v>8866</v>
      </c>
      <c r="Q162" s="1">
        <v>1</v>
      </c>
      <c r="R162" t="str">
        <f>"Update Collaborator_Group Set Organisation = '"&amp;E162&amp;"' where Group_ID = '"&amp;A162&amp;"'; "</f>
        <v xml:space="preserve">Update Collaborator_Group Set Organisation = 'Stellenbosch University' where Group_ID = 'CG00161'; </v>
      </c>
      <c r="S162" t="str">
        <f>"Update Collaborator_Group Set Group_Name = '"&amp;I162&amp;"' where Group_ID = '"&amp;A162&amp;"'; "</f>
        <v xml:space="preserve">Update Collaborator_Group Set Group_Name = 'StraussE_StellenboschU' where Group_ID = 'CG00161'; </v>
      </c>
      <c r="T162" t="str">
        <f>"Update dcollab.collab_group Set group_code = '"&amp;I162&amp;"' where Group_ID = '"&amp;B162&amp;"'; "</f>
        <v xml:space="preserve">Update dcollab.collab_group Set group_code = 'StraussE_StellenboschU' where Group_ID = 'CGRP00162'; </v>
      </c>
    </row>
    <row r="163" spans="1:20">
      <c r="A163" t="s">
        <v>247</v>
      </c>
      <c r="B163" t="s">
        <v>9011</v>
      </c>
      <c r="D163" t="s">
        <v>1630</v>
      </c>
      <c r="E163" t="s">
        <v>8766</v>
      </c>
      <c r="F163">
        <f>LEN(I163)</f>
        <v>3</v>
      </c>
      <c r="G163" t="str">
        <f>VLOOKUP(E163,Organisation!$A$2:$C$499,3,FALSE)</f>
        <v>CORG00118</v>
      </c>
      <c r="H163" t="str">
        <f>VLOOKUP(G163,Organisation!$C$2:$E$318,3,FALSE)</f>
        <v>MMV</v>
      </c>
      <c r="I163" t="s">
        <v>5690</v>
      </c>
      <c r="J163">
        <f t="shared" si="2"/>
        <v>1</v>
      </c>
      <c r="K163" t="s">
        <v>1634</v>
      </c>
      <c r="L163" t="s">
        <v>251</v>
      </c>
      <c r="M163" t="s">
        <v>633</v>
      </c>
      <c r="N163" t="s">
        <v>253</v>
      </c>
      <c r="O163" t="s">
        <v>8868</v>
      </c>
      <c r="P163" t="s">
        <v>8867</v>
      </c>
      <c r="Q163" s="1">
        <v>1</v>
      </c>
      <c r="R163" t="str">
        <f>"Update Collaborator_Group Set Organisation = '"&amp;E163&amp;"' where Group_ID = '"&amp;A163&amp;"'; "</f>
        <v xml:space="preserve">Update Collaborator_Group Set Organisation = 'Medicines for Malaria Venture' where Group_ID = 'CG00162'; </v>
      </c>
      <c r="S163" t="str">
        <f>"Update Collaborator_Group Set Group_Name = '"&amp;I163&amp;"' where Group_ID = '"&amp;A163&amp;"'; "</f>
        <v xml:space="preserve">Update Collaborator_Group Set Group_Name = 'MMV' where Group_ID = 'CG00162'; </v>
      </c>
      <c r="T163" t="str">
        <f>"Update dcollab.collab_group Set group_code = '"&amp;I163&amp;"' where Group_ID = '"&amp;B163&amp;"'; "</f>
        <v xml:space="preserve">Update dcollab.collab_group Set group_code = 'MMV' where Group_ID = 'CGRP00163'; </v>
      </c>
    </row>
    <row r="164" spans="1:20">
      <c r="A164" t="s">
        <v>2994</v>
      </c>
      <c r="B164" t="s">
        <v>8912</v>
      </c>
      <c r="D164" t="s">
        <v>3103</v>
      </c>
      <c r="E164" t="s">
        <v>3106</v>
      </c>
      <c r="F164">
        <f>LEN(I164)</f>
        <v>16</v>
      </c>
      <c r="G164" t="str">
        <f>VLOOKUP(E164,Organisation!$A$2:$C$499,3,FALSE)</f>
        <v>CORG00037</v>
      </c>
      <c r="H164" t="str">
        <f>VLOOKUP(G164,Organisation!$C$2:$E$318,3,FALSE)</f>
        <v>CSanMateo</v>
      </c>
      <c r="I164" t="s">
        <v>10451</v>
      </c>
      <c r="J164">
        <f t="shared" si="2"/>
        <v>1</v>
      </c>
      <c r="L164" t="s">
        <v>3107</v>
      </c>
      <c r="M164" t="s">
        <v>3108</v>
      </c>
      <c r="N164" t="s">
        <v>8808</v>
      </c>
      <c r="P164" t="s">
        <v>8866</v>
      </c>
      <c r="Q164" s="1">
        <v>1</v>
      </c>
      <c r="R164" t="str">
        <f>"Update Collaborator_Group Set Organisation = '"&amp;E164&amp;"' where Group_ID = '"&amp;A164&amp;"'; "</f>
        <v xml:space="preserve">Update Collaborator_Group Set Organisation = 'College of San Mateo' where Group_ID = 'CG00163'; </v>
      </c>
      <c r="S164" t="str">
        <f>"Update Collaborator_Group Set Group_Name = '"&amp;I164&amp;"' where Group_ID = '"&amp;A164&amp;"'; "</f>
        <v xml:space="preserve">Update Collaborator_Group Set Group_Name = 'KwongV_CSanMateo' where Group_ID = 'CG00163'; </v>
      </c>
      <c r="T164" t="str">
        <f>"Update dcollab.collab_group Set group_code = '"&amp;I164&amp;"' where Group_ID = '"&amp;B164&amp;"'; "</f>
        <v xml:space="preserve">Update dcollab.collab_group Set group_code = 'KwongV_CSanMateo' where Group_ID = 'CGRP00164'; </v>
      </c>
    </row>
    <row r="165" spans="1:20">
      <c r="A165" t="s">
        <v>4001</v>
      </c>
      <c r="B165" t="s">
        <v>8928</v>
      </c>
      <c r="D165" t="s">
        <v>4028</v>
      </c>
      <c r="E165" t="s">
        <v>4004</v>
      </c>
      <c r="F165">
        <f>LEN(I165)</f>
        <v>17</v>
      </c>
      <c r="G165" t="str">
        <f>VLOOKUP(E165,Organisation!$A$2:$C$499,3,FALSE)</f>
        <v>CORG00049</v>
      </c>
      <c r="H165" t="str">
        <f>VLOOKUP(G165,Organisation!$C$2:$E$318,3,FALSE)</f>
        <v>DeogiriCol</v>
      </c>
      <c r="I165" t="s">
        <v>5756</v>
      </c>
      <c r="J165">
        <f t="shared" si="2"/>
        <v>1</v>
      </c>
      <c r="L165" t="s">
        <v>73</v>
      </c>
      <c r="M165" t="s">
        <v>4005</v>
      </c>
      <c r="N165" t="s">
        <v>211</v>
      </c>
      <c r="P165" t="s">
        <v>8866</v>
      </c>
      <c r="Q165" s="1">
        <v>1</v>
      </c>
      <c r="R165" t="str">
        <f>"Update Collaborator_Group Set Organisation = '"&amp;E165&amp;"' where Group_ID = '"&amp;A165&amp;"'; "</f>
        <v xml:space="preserve">Update Collaborator_Group Set Organisation = 'Deogiri College' where Group_ID = 'CG00164'; </v>
      </c>
      <c r="S165" t="str">
        <f>"Update Collaborator_Group Set Group_Name = '"&amp;I165&amp;"' where Group_ID = '"&amp;A165&amp;"'; "</f>
        <v xml:space="preserve">Update Collaborator_Group Set Group_Name = 'PawarR_DeogiriCol' where Group_ID = 'CG00164'; </v>
      </c>
      <c r="T165" t="str">
        <f>"Update dcollab.collab_group Set group_code = '"&amp;I165&amp;"' where Group_ID = '"&amp;B165&amp;"'; "</f>
        <v xml:space="preserve">Update dcollab.collab_group Set group_code = 'PawarR_DeogiriCol' where Group_ID = 'CGRP00165'; </v>
      </c>
    </row>
    <row r="166" spans="1:20">
      <c r="A166" t="s">
        <v>2302</v>
      </c>
      <c r="B166" t="s">
        <v>9029</v>
      </c>
      <c r="D166" t="s">
        <v>2301</v>
      </c>
      <c r="E166" t="s">
        <v>2305</v>
      </c>
      <c r="F166">
        <f>LEN(I166)</f>
        <v>13</v>
      </c>
      <c r="G166" t="str">
        <f>VLOOKUP(E166,Organisation!$A$2:$C$499,3,FALSE)</f>
        <v>CORG00129</v>
      </c>
      <c r="H166" t="str">
        <f>VLOOKUP(G166,Organisation!$C$2:$E$318,3,FALSE)</f>
        <v>NBSciC</v>
      </c>
      <c r="I166" t="s">
        <v>10452</v>
      </c>
      <c r="J166">
        <f t="shared" si="2"/>
        <v>1</v>
      </c>
      <c r="L166" t="s">
        <v>712</v>
      </c>
      <c r="M166" t="s">
        <v>2306</v>
      </c>
      <c r="N166" t="s">
        <v>211</v>
      </c>
      <c r="P166" t="s">
        <v>8866</v>
      </c>
      <c r="Q166" s="1">
        <v>1</v>
      </c>
      <c r="R166" t="str">
        <f>"Update Collaborator_Group Set Organisation = '"&amp;E166&amp;"' where Group_ID = '"&amp;A166&amp;"'; "</f>
        <v xml:space="preserve">Update Collaborator_Group Set Organisation = 'Nanakram Bhagwandas Science College' where Group_ID = 'CG00165'; </v>
      </c>
      <c r="S166" t="str">
        <f>"Update Collaborator_Group Set Group_Name = '"&amp;I166&amp;"' where Group_ID = '"&amp;A166&amp;"'; "</f>
        <v xml:space="preserve">Update Collaborator_Group Set Group_Name = 'GundiS_NBSciC' where Group_ID = 'CG00165'; </v>
      </c>
      <c r="T166" t="str">
        <f>"Update dcollab.collab_group Set group_code = '"&amp;I166&amp;"' where Group_ID = '"&amp;B166&amp;"'; "</f>
        <v xml:space="preserve">Update dcollab.collab_group Set group_code = 'GundiS_NBSciC' where Group_ID = 'CGRP00166'; </v>
      </c>
    </row>
    <row r="167" spans="1:20">
      <c r="A167" t="s">
        <v>1152</v>
      </c>
      <c r="B167" t="s">
        <v>9237</v>
      </c>
      <c r="D167" t="s">
        <v>4452</v>
      </c>
      <c r="E167" t="s">
        <v>1154</v>
      </c>
      <c r="F167">
        <f>LEN(I167)</f>
        <v>16</v>
      </c>
      <c r="G167" t="str">
        <f>VLOOKUP(E167,Organisation!$A$2:$C$499,3,FALSE)</f>
        <v>CORG00288</v>
      </c>
      <c r="H167" t="str">
        <f>VLOOKUP(G167,Organisation!$C$2:$E$318,3,FALSE)</f>
        <v>UWarwick</v>
      </c>
      <c r="I167" t="s">
        <v>5522</v>
      </c>
      <c r="J167">
        <f t="shared" si="2"/>
        <v>1</v>
      </c>
      <c r="L167" t="s">
        <v>73</v>
      </c>
      <c r="M167" t="s">
        <v>1155</v>
      </c>
      <c r="N167" t="s">
        <v>269</v>
      </c>
      <c r="P167" t="s">
        <v>8866</v>
      </c>
      <c r="Q167" s="1">
        <v>1</v>
      </c>
      <c r="R167" t="str">
        <f>"Update Collaborator_Group Set Organisation = '"&amp;E167&amp;"' where Group_ID = '"&amp;A167&amp;"'; "</f>
        <v xml:space="preserve">Update Collaborator_Group Set Organisation = 'University of Warwick' where Group_ID = 'CG00166'; </v>
      </c>
      <c r="S167" t="str">
        <f>"Update Collaborator_Group Set Group_Name = '"&amp;I167&amp;"' where Group_ID = '"&amp;A167&amp;"'; "</f>
        <v xml:space="preserve">Update Collaborator_Group Set Group_Name = 'SadlerP_UWarwick' where Group_ID = 'CG00166'; </v>
      </c>
      <c r="T167" t="str">
        <f>"Update dcollab.collab_group Set group_code = '"&amp;I167&amp;"' where Group_ID = '"&amp;B167&amp;"'; "</f>
        <v xml:space="preserve">Update dcollab.collab_group Set group_code = 'SadlerP_UWarwick' where Group_ID = 'CGRP00167'; </v>
      </c>
    </row>
    <row r="168" spans="1:20">
      <c r="A168" t="s">
        <v>4014</v>
      </c>
      <c r="B168" t="s">
        <v>9064</v>
      </c>
      <c r="D168" t="s">
        <v>4013</v>
      </c>
      <c r="E168" t="s">
        <v>4017</v>
      </c>
      <c r="F168">
        <f>LEN(I168)</f>
        <v>17</v>
      </c>
      <c r="G168" t="str">
        <f>VLOOKUP(E168,Organisation!$A$2:$C$499,3,FALSE)</f>
        <v>CORG00161</v>
      </c>
      <c r="H168" t="str">
        <f>VLOOKUP(G168,Organisation!$C$2:$E$318,3,FALSE)</f>
        <v>RFUMedSAci</v>
      </c>
      <c r="I168" t="s">
        <v>5646</v>
      </c>
      <c r="J168">
        <f t="shared" si="2"/>
        <v>1</v>
      </c>
      <c r="L168" t="s">
        <v>4018</v>
      </c>
      <c r="M168" t="s">
        <v>4019</v>
      </c>
      <c r="N168" t="s">
        <v>8808</v>
      </c>
      <c r="P168" t="s">
        <v>8866</v>
      </c>
      <c r="Q168" s="1">
        <v>1</v>
      </c>
      <c r="R168" t="str">
        <f>"Update Collaborator_Group Set Organisation = '"&amp;E168&amp;"' where Group_ID = '"&amp;A168&amp;"'; "</f>
        <v xml:space="preserve">Update Collaborator_Group Set Organisation = 'Rosalind Franklin University of Medicine and Science' where Group_ID = 'CG00167'; </v>
      </c>
      <c r="S168" t="str">
        <f>"Update Collaborator_Group Set Group_Name = '"&amp;I168&amp;"' where Group_ID = '"&amp;A168&amp;"'; "</f>
        <v xml:space="preserve">Update Collaborator_Group Set Group_Name = 'PatilS_RFUMedSAci' where Group_ID = 'CG00167'; </v>
      </c>
      <c r="T168" t="str">
        <f>"Update dcollab.collab_group Set group_code = '"&amp;I168&amp;"' where Group_ID = '"&amp;B168&amp;"'; "</f>
        <v xml:space="preserve">Update dcollab.collab_group Set group_code = 'PatilS_RFUMedSAci' where Group_ID = 'CGRP00168'; </v>
      </c>
    </row>
    <row r="169" spans="1:20">
      <c r="A169" t="s">
        <v>2225</v>
      </c>
      <c r="B169" t="s">
        <v>9156</v>
      </c>
      <c r="D169" t="s">
        <v>2224</v>
      </c>
      <c r="E169" t="s">
        <v>2228</v>
      </c>
      <c r="F169">
        <f>LEN(I169)</f>
        <v>23</v>
      </c>
      <c r="G169" t="str">
        <f>VLOOKUP(E169,Organisation!$A$2:$C$499,3,FALSE)</f>
        <v>CORG00235</v>
      </c>
      <c r="H169" t="str">
        <f>VLOOKUP(G169,Organisation!$C$2:$E$318,3,FALSE)</f>
        <v>UKwaZuluNatal</v>
      </c>
      <c r="I169" t="s">
        <v>5581</v>
      </c>
      <c r="J169">
        <f t="shared" si="2"/>
        <v>1</v>
      </c>
      <c r="L169" t="s">
        <v>2229</v>
      </c>
      <c r="N169" t="s">
        <v>609</v>
      </c>
      <c r="P169" t="s">
        <v>8866</v>
      </c>
      <c r="Q169" s="1">
        <v>1</v>
      </c>
      <c r="R169" t="str">
        <f>"Update Collaborator_Group Set Organisation = '"&amp;E169&amp;"' where Group_ID = '"&amp;A169&amp;"'; "</f>
        <v xml:space="preserve">Update Collaborator_Group Set Organisation = 'University of KwaZulu-Natal' where Group_ID = 'CG00168'; </v>
      </c>
      <c r="S169" t="str">
        <f>"Update Collaborator_Group Set Group_Name = '"&amp;I169&amp;"' where Group_ID = '"&amp;A169&amp;"'; "</f>
        <v xml:space="preserve">Update Collaborator_Group Set Group_Name = 'GovenderT_UKwaZuluNatal' where Group_ID = 'CG00168'; </v>
      </c>
      <c r="T169" t="str">
        <f>"Update dcollab.collab_group Set group_code = '"&amp;I169&amp;"' where Group_ID = '"&amp;B169&amp;"'; "</f>
        <v xml:space="preserve">Update dcollab.collab_group Set group_code = 'GovenderT_UKwaZuluNatal' where Group_ID = 'CGRP00169'; </v>
      </c>
    </row>
    <row r="170" spans="1:20">
      <c r="A170" t="s">
        <v>1514</v>
      </c>
      <c r="B170" t="s">
        <v>9146</v>
      </c>
      <c r="D170" t="s">
        <v>1513</v>
      </c>
      <c r="E170" t="s">
        <v>1518</v>
      </c>
      <c r="F170">
        <f>LEN(I170)</f>
        <v>17</v>
      </c>
      <c r="G170" t="str">
        <f>VLOOKUP(E170,Organisation!$A$2:$C$499,3,FALSE)</f>
        <v>CORG00226</v>
      </c>
      <c r="H170" t="str">
        <f>VLOOKUP(G170,Organisation!$C$2:$E$318,3,FALSE)</f>
        <v>UColombo</v>
      </c>
      <c r="I170" t="s">
        <v>10537</v>
      </c>
      <c r="J170">
        <f t="shared" si="2"/>
        <v>1</v>
      </c>
      <c r="L170" t="s">
        <v>84</v>
      </c>
      <c r="M170" t="s">
        <v>1519</v>
      </c>
      <c r="N170" t="s">
        <v>1520</v>
      </c>
      <c r="P170" t="s">
        <v>8866</v>
      </c>
      <c r="Q170" s="1">
        <v>1</v>
      </c>
      <c r="R170" t="str">
        <f>"Update Collaborator_Group Set Organisation = '"&amp;E170&amp;"' where Group_ID = '"&amp;A170&amp;"'; "</f>
        <v xml:space="preserve">Update Collaborator_Group Set Organisation = 'University of Colombo' where Group_ID = 'CG00169'; </v>
      </c>
      <c r="S170" t="str">
        <f>"Update Collaborator_Group Set Group_Name = '"&amp;I170&amp;"' where Group_ID = '"&amp;A170&amp;"'; "</f>
        <v xml:space="preserve">Update Collaborator_Group Set Group_Name = 'DeSilvaD_UColombo' where Group_ID = 'CG00169'; </v>
      </c>
      <c r="T170" t="str">
        <f>"Update dcollab.collab_group Set group_code = '"&amp;I170&amp;"' where Group_ID = '"&amp;B170&amp;"'; "</f>
        <v xml:space="preserve">Update dcollab.collab_group Set group_code = 'DeSilvaD_UColombo' where Group_ID = 'CGRP00170'; </v>
      </c>
    </row>
    <row r="171" spans="1:20">
      <c r="A171" t="s">
        <v>1504</v>
      </c>
      <c r="B171" t="s">
        <v>8989</v>
      </c>
      <c r="D171" t="s">
        <v>1503</v>
      </c>
      <c r="E171" t="s">
        <v>1507</v>
      </c>
      <c r="F171">
        <f>LEN(I171)</f>
        <v>17</v>
      </c>
      <c r="G171" t="str">
        <f>VLOOKUP(E171,Organisation!$A$2:$C$499,3,FALSE)</f>
        <v>CORG00101</v>
      </c>
      <c r="H171" t="str">
        <f>VLOOKUP(G171,Organisation!$C$2:$E$318,3,FALSE)</f>
        <v>KULeven</v>
      </c>
      <c r="I171" t="s">
        <v>5714</v>
      </c>
      <c r="J171">
        <f t="shared" si="2"/>
        <v>1</v>
      </c>
      <c r="L171" t="s">
        <v>1508</v>
      </c>
      <c r="M171" t="s">
        <v>1509</v>
      </c>
      <c r="N171" t="s">
        <v>1510</v>
      </c>
      <c r="O171" t="s">
        <v>5713</v>
      </c>
      <c r="P171" t="s">
        <v>8867</v>
      </c>
      <c r="Q171" s="1">
        <v>1</v>
      </c>
      <c r="R171" t="str">
        <f>"Update Collaborator_Group Set Organisation = '"&amp;E171&amp;"' where Group_ID = '"&amp;A171&amp;"'; "</f>
        <v xml:space="preserve">Update Collaborator_Group Set Organisation = 'KU Leuven' where Group_ID = 'CG00170'; </v>
      </c>
      <c r="S171" t="str">
        <f>"Update Collaborator_Group Set Group_Name = '"&amp;I171&amp;"' where Group_ID = '"&amp;A171&amp;"'; "</f>
        <v xml:space="preserve">Update Collaborator_Group Set Group_Name = 'DeJongheS_KULeven' where Group_ID = 'CG00170'; </v>
      </c>
      <c r="T171" t="str">
        <f>"Update dcollab.collab_group Set group_code = '"&amp;I171&amp;"' where Group_ID = '"&amp;B171&amp;"'; "</f>
        <v xml:space="preserve">Update dcollab.collab_group Set group_code = 'DeJongheS_KULeven' where Group_ID = 'CGRP00171'; </v>
      </c>
    </row>
    <row r="172" spans="1:20">
      <c r="A172" t="s">
        <v>3198</v>
      </c>
      <c r="B172" t="s">
        <v>9020</v>
      </c>
      <c r="D172" t="s">
        <v>3301</v>
      </c>
      <c r="E172" t="s">
        <v>517</v>
      </c>
      <c r="F172">
        <f>LEN(I172)</f>
        <v>14</v>
      </c>
      <c r="G172" t="str">
        <f>VLOOKUP(E172,Organisation!$A$2:$C$499,3,FALSE)</f>
        <v>CORG00125</v>
      </c>
      <c r="H172" t="str">
        <f>VLOOKUP(G172,Organisation!$C$2:$E$318,3,FALSE)</f>
        <v>Monash</v>
      </c>
      <c r="I172" t="s">
        <v>5679</v>
      </c>
      <c r="J172">
        <f t="shared" si="2"/>
        <v>1</v>
      </c>
      <c r="L172" t="s">
        <v>84</v>
      </c>
      <c r="M172" t="s">
        <v>3303</v>
      </c>
      <c r="N172" t="s">
        <v>14</v>
      </c>
      <c r="P172" t="s">
        <v>8866</v>
      </c>
      <c r="Q172" s="1">
        <v>1</v>
      </c>
      <c r="R172" t="str">
        <f>"Update Collaborator_Group Set Organisation = '"&amp;E172&amp;"' where Group_ID = '"&amp;A172&amp;"'; "</f>
        <v xml:space="preserve">Update Collaborator_Group Set Organisation = 'Monash University' where Group_ID = 'CG00171'; </v>
      </c>
      <c r="S172" t="str">
        <f>"Update Collaborator_Group Set Group_Name = '"&amp;I172&amp;"' where Group_ID = '"&amp;A172&amp;"'; "</f>
        <v xml:space="preserve">Update Collaborator_Group Set Group_Name = 'LuptonD_Monash' where Group_ID = 'CG00171'; </v>
      </c>
      <c r="T172" t="str">
        <f>"Update dcollab.collab_group Set group_code = '"&amp;I172&amp;"' where Group_ID = '"&amp;B172&amp;"'; "</f>
        <v xml:space="preserve">Update dcollab.collab_group Set group_code = 'LuptonD_Monash' where Group_ID = 'CGRP00172'; </v>
      </c>
    </row>
    <row r="173" spans="1:20">
      <c r="A173" t="s">
        <v>1624</v>
      </c>
      <c r="B173" t="s">
        <v>8939</v>
      </c>
      <c r="D173" t="s">
        <v>1623</v>
      </c>
      <c r="E173" t="s">
        <v>1627</v>
      </c>
      <c r="F173">
        <f>LEN(I173)</f>
        <v>18</v>
      </c>
      <c r="G173" t="str">
        <f>VLOOKUP(E173,Organisation!$A$2:$C$499,3,FALSE)</f>
        <v>CORG00062</v>
      </c>
      <c r="H173" t="str">
        <f>VLOOKUP(G173,Organisation!$C$2:$E$318,3,FALSE)</f>
        <v>GWashingtonU</v>
      </c>
      <c r="I173" t="s">
        <v>5747</v>
      </c>
      <c r="J173">
        <f t="shared" si="2"/>
        <v>1</v>
      </c>
      <c r="L173" t="s">
        <v>84</v>
      </c>
      <c r="M173" t="s">
        <v>583</v>
      </c>
      <c r="N173" t="s">
        <v>8808</v>
      </c>
      <c r="P173" t="s">
        <v>8866</v>
      </c>
      <c r="Q173" s="1">
        <v>1</v>
      </c>
      <c r="R173" t="str">
        <f>"Update Collaborator_Group Set Organisation = '"&amp;E173&amp;"' where Group_ID = '"&amp;A173&amp;"'; "</f>
        <v xml:space="preserve">Update Collaborator_Group Set Organisation = 'George Washington University' where Group_ID = 'CG00172'; </v>
      </c>
      <c r="S173" t="str">
        <f>"Update Collaborator_Group Set Group_Name = '"&amp;I173&amp;"' where Group_ID = '"&amp;A173&amp;"'; "</f>
        <v xml:space="preserve">Update Collaborator_Group Set Group_Name = 'DowdC_GWashingtonU' where Group_ID = 'CG00172'; </v>
      </c>
      <c r="T173" t="str">
        <f>"Update dcollab.collab_group Set group_code = '"&amp;I173&amp;"' where Group_ID = '"&amp;B173&amp;"'; "</f>
        <v xml:space="preserve">Update dcollab.collab_group Set group_code = 'DowdC_GWashingtonU' where Group_ID = 'CGRP00173'; </v>
      </c>
    </row>
    <row r="174" spans="1:20">
      <c r="A174" t="s">
        <v>5345</v>
      </c>
      <c r="B174" t="s">
        <v>9163</v>
      </c>
      <c r="D174" t="s">
        <v>5356</v>
      </c>
      <c r="E174" t="s">
        <v>5348</v>
      </c>
      <c r="F174">
        <f>LEN(I174)</f>
        <v>12</v>
      </c>
      <c r="G174" t="str">
        <f>VLOOKUP(E174,Organisation!$A$2:$C$499,3,FALSE)</f>
        <v>CORG00242</v>
      </c>
      <c r="H174" t="str">
        <f>VLOOKUP(G174,Organisation!$C$2:$E$318,3,FALSE)</f>
        <v>UMasssL</v>
      </c>
      <c r="I174" t="s">
        <v>5576</v>
      </c>
      <c r="J174">
        <f t="shared" si="2"/>
        <v>1</v>
      </c>
      <c r="L174" t="s">
        <v>84</v>
      </c>
      <c r="M174" t="s">
        <v>5349</v>
      </c>
      <c r="N174" t="s">
        <v>8808</v>
      </c>
      <c r="P174" t="s">
        <v>8866</v>
      </c>
      <c r="Q174" s="1">
        <v>1</v>
      </c>
      <c r="R174" t="str">
        <f>"Update Collaborator_Group Set Organisation = '"&amp;E174&amp;"' where Group_ID = '"&amp;A174&amp;"'; "</f>
        <v xml:space="preserve">Update Collaborator_Group Set Organisation = 'University of Massachusetts Lowell' where Group_ID = 'CG00173'; </v>
      </c>
      <c r="S174" t="str">
        <f>"Update Collaborator_Group Set Group_Name = '"&amp;I174&amp;"' where Group_ID = '"&amp;A174&amp;"'; "</f>
        <v xml:space="preserve">Update Collaborator_Group Set Group_Name = 'YanM_UMasssL' where Group_ID = 'CG00173'; </v>
      </c>
      <c r="T174" t="str">
        <f>"Update dcollab.collab_group Set group_code = '"&amp;I174&amp;"' where Group_ID = '"&amp;B174&amp;"'; "</f>
        <v xml:space="preserve">Update dcollab.collab_group Set group_code = 'YanM_UMasssL' where Group_ID = 'CGRP00174'; </v>
      </c>
    </row>
    <row r="175" spans="1:20">
      <c r="A175" t="s">
        <v>4536</v>
      </c>
      <c r="B175" t="s">
        <v>9167</v>
      </c>
      <c r="D175" t="s">
        <v>4651</v>
      </c>
      <c r="E175" t="s">
        <v>1271</v>
      </c>
      <c r="F175">
        <f>LEN(I175)</f>
        <v>21</v>
      </c>
      <c r="G175" t="str">
        <f>VLOOKUP(E175,Organisation!$A$2:$C$499,3,FALSE)</f>
        <v>CORG00244</v>
      </c>
      <c r="H175" t="str">
        <f>VLOOKUP(G175,Organisation!$C$2:$E$318,3,FALSE)</f>
        <v>UMelbourne</v>
      </c>
      <c r="I175" t="s">
        <v>5574</v>
      </c>
      <c r="J175">
        <f t="shared" si="2"/>
        <v>1</v>
      </c>
      <c r="L175" t="s">
        <v>84</v>
      </c>
      <c r="N175" t="s">
        <v>14</v>
      </c>
      <c r="P175" t="s">
        <v>8866</v>
      </c>
      <c r="Q175" s="1">
        <v>1</v>
      </c>
      <c r="R175" t="str">
        <f>"Update Collaborator_Group Set Organisation = '"&amp;E175&amp;"' where Group_ID = '"&amp;A175&amp;"'; "</f>
        <v xml:space="preserve">Update Collaborator_Group Set Organisation = 'University of Melbourne' where Group_ID = 'CG00174'; </v>
      </c>
      <c r="S175" t="str">
        <f>"Update Collaborator_Group Set Group_Name = '"&amp;I175&amp;"' where Group_ID = '"&amp;A175&amp;"'; "</f>
        <v xml:space="preserve">Update Collaborator_Group Set Group_Name = 'SeparovicF_UMelbourne' where Group_ID = 'CG00174'; </v>
      </c>
      <c r="T175" t="str">
        <f>"Update dcollab.collab_group Set group_code = '"&amp;I175&amp;"' where Group_ID = '"&amp;B175&amp;"'; "</f>
        <v xml:space="preserve">Update dcollab.collab_group Set group_code = 'SeparovicF_UMelbourne' where Group_ID = 'CGRP00175'; </v>
      </c>
    </row>
    <row r="176" spans="1:20">
      <c r="A176" t="s">
        <v>2388</v>
      </c>
      <c r="B176" t="s">
        <v>8985</v>
      </c>
      <c r="D176" t="s">
        <v>2387</v>
      </c>
      <c r="E176" t="s">
        <v>1890</v>
      </c>
      <c r="F176">
        <f>LEN(I176)</f>
        <v>23</v>
      </c>
      <c r="G176" t="str">
        <f>VLOOKUP(E176,Organisation!$A$2:$C$499,3,FALSE)</f>
        <v>CORG00096</v>
      </c>
      <c r="H176" t="str">
        <f>VLOOKUP(G176,Organisation!$C$2:$E$318,3,FALSE)</f>
        <v>Karolinska</v>
      </c>
      <c r="I176" t="s">
        <v>5711</v>
      </c>
      <c r="J176">
        <f t="shared" si="2"/>
        <v>1</v>
      </c>
      <c r="L176" t="s">
        <v>1891</v>
      </c>
      <c r="M176" t="s">
        <v>1892</v>
      </c>
      <c r="N176" t="s">
        <v>1893</v>
      </c>
      <c r="O176" t="s">
        <v>5709</v>
      </c>
      <c r="P176" t="s">
        <v>8867</v>
      </c>
      <c r="Q176" s="1">
        <v>1</v>
      </c>
      <c r="R176" t="str">
        <f>"Update Collaborator_Group Set Organisation = '"&amp;E176&amp;"' where Group_ID = '"&amp;A176&amp;"'; "</f>
        <v xml:space="preserve">Update Collaborator_Group Set Organisation = 'Karolinska Institute' where Group_ID = 'CG00175'; </v>
      </c>
      <c r="S176" t="str">
        <f>"Update Collaborator_Group Set Group_Name = '"&amp;I176&amp;"' where Group_ID = '"&amp;A176&amp;"'; "</f>
        <v xml:space="preserve">Update Collaborator_Group Set Group_Name = 'HammarströmL_Karolinska' where Group_ID = 'CG00175'; </v>
      </c>
      <c r="T176" t="str">
        <f>"Update dcollab.collab_group Set group_code = '"&amp;I176&amp;"' where Group_ID = '"&amp;B176&amp;"'; "</f>
        <v xml:space="preserve">Update dcollab.collab_group Set group_code = 'HammarströmL_Karolinska' where Group_ID = 'CGRP00176'; </v>
      </c>
    </row>
    <row r="177" spans="1:20">
      <c r="A177" t="s">
        <v>743</v>
      </c>
      <c r="B177" t="s">
        <v>9268</v>
      </c>
      <c r="D177" t="s">
        <v>742</v>
      </c>
      <c r="E177" t="s">
        <v>746</v>
      </c>
      <c r="F177">
        <f>LEN(I177)</f>
        <v>11</v>
      </c>
      <c r="G177" t="str">
        <f>VLOOKUP(E177,Organisation!$A$2:$C$499,3,FALSE)</f>
        <v>CORG00311</v>
      </c>
      <c r="H177" t="str">
        <f>VLOOKUP(G177,Organisation!$C$2:$E$318,3,FALSE)</f>
        <v>YantaiU</v>
      </c>
      <c r="I177" t="s">
        <v>5491</v>
      </c>
      <c r="J177">
        <f t="shared" si="2"/>
        <v>1</v>
      </c>
      <c r="L177" t="s">
        <v>435</v>
      </c>
      <c r="M177" t="s">
        <v>747</v>
      </c>
      <c r="N177" t="s">
        <v>748</v>
      </c>
      <c r="P177" t="s">
        <v>8866</v>
      </c>
      <c r="Q177" s="1">
        <v>1</v>
      </c>
      <c r="R177" t="str">
        <f>"Update Collaborator_Group Set Organisation = '"&amp;E177&amp;"' where Group_ID = '"&amp;A177&amp;"'; "</f>
        <v xml:space="preserve">Update Collaborator_Group Set Organisation = 'Yantai University' where Group_ID = 'CG00176'; </v>
      </c>
      <c r="S177" t="str">
        <f>"Update Collaborator_Group Set Group_Name = '"&amp;I177&amp;"' where Group_ID = '"&amp;A177&amp;"'; "</f>
        <v xml:space="preserve">Update Collaborator_Group Set Group_Name = 'BiY_YantaiU' where Group_ID = 'CG00176'; </v>
      </c>
      <c r="T177" t="str">
        <f>"Update dcollab.collab_group Set group_code = '"&amp;I177&amp;"' where Group_ID = '"&amp;B177&amp;"'; "</f>
        <v xml:space="preserve">Update dcollab.collab_group Set group_code = 'BiY_YantaiU' where Group_ID = 'CGRP00177'; </v>
      </c>
    </row>
    <row r="178" spans="1:20">
      <c r="A178" t="s">
        <v>2475</v>
      </c>
      <c r="B178" t="s">
        <v>9213</v>
      </c>
      <c r="D178" t="s">
        <v>3832</v>
      </c>
      <c r="E178" t="s">
        <v>2479</v>
      </c>
      <c r="F178">
        <f>LEN(I178)</f>
        <v>25</v>
      </c>
      <c r="G178" t="str">
        <f>VLOOKUP(E178,Organisation!$A$2:$C$499,3,FALSE)</f>
        <v>CORG00268</v>
      </c>
      <c r="H178" t="str">
        <f>VLOOKUP(G178,Organisation!$C$2:$E$318,3,FALSE)</f>
        <v>USouthAustralia</v>
      </c>
      <c r="I178" t="s">
        <v>10453</v>
      </c>
      <c r="J178">
        <f t="shared" si="2"/>
        <v>1</v>
      </c>
      <c r="L178" t="s">
        <v>3835</v>
      </c>
      <c r="M178" t="s">
        <v>3836</v>
      </c>
      <c r="N178" t="s">
        <v>14</v>
      </c>
      <c r="P178" t="s">
        <v>8866</v>
      </c>
      <c r="Q178" s="1">
        <v>1</v>
      </c>
      <c r="R178" t="str">
        <f>"Update Collaborator_Group Set Organisation = '"&amp;E178&amp;"' where Group_ID = '"&amp;A178&amp;"'; "</f>
        <v xml:space="preserve">Update Collaborator_Group Set Organisation = 'University of South Australia' where Group_ID = 'CG00177'; </v>
      </c>
      <c r="S178" t="str">
        <f>"Update Collaborator_Group Set Group_Name = '"&amp;I178&amp;"' where Group_ID = '"&amp;A178&amp;"'; "</f>
        <v xml:space="preserve">Update Collaborator_Group Set Group_Name = 'NitschkeS_USouthAustralia' where Group_ID = 'CG00177'; </v>
      </c>
      <c r="T178" t="str">
        <f>"Update dcollab.collab_group Set group_code = '"&amp;I178&amp;"' where Group_ID = '"&amp;B178&amp;"'; "</f>
        <v xml:space="preserve">Update dcollab.collab_group Set group_code = 'NitschkeS_USouthAustralia' where Group_ID = 'CGRP00178'; </v>
      </c>
    </row>
    <row r="179" spans="1:20">
      <c r="A179" t="s">
        <v>835</v>
      </c>
      <c r="B179" t="s">
        <v>9125</v>
      </c>
      <c r="D179" t="s">
        <v>2349</v>
      </c>
      <c r="E179" t="s">
        <v>838</v>
      </c>
      <c r="F179">
        <f>LEN(I179)</f>
        <v>14</v>
      </c>
      <c r="G179" t="str">
        <f>VLOOKUP(E179,Organisation!$A$2:$C$499,3,FALSE)</f>
        <v>CORG00213</v>
      </c>
      <c r="H179" t="str">
        <f>VLOOKUP(G179,Organisation!$C$2:$E$318,3,FALSE)</f>
        <v>UAlberta</v>
      </c>
      <c r="I179" t="s">
        <v>5608</v>
      </c>
      <c r="J179">
        <f t="shared" si="2"/>
        <v>1</v>
      </c>
      <c r="L179" t="s">
        <v>84</v>
      </c>
      <c r="M179" t="s">
        <v>839</v>
      </c>
      <c r="N179" t="s">
        <v>75</v>
      </c>
      <c r="O179" t="s">
        <v>5607</v>
      </c>
      <c r="P179" t="s">
        <v>8867</v>
      </c>
      <c r="Q179" s="1">
        <v>1</v>
      </c>
      <c r="R179" t="str">
        <f>"Update Collaborator_Group Set Organisation = '"&amp;E179&amp;"' where Group_ID = '"&amp;A179&amp;"'; "</f>
        <v xml:space="preserve">Update Collaborator_Group Set Organisation = 'University of Alberta' where Group_ID = 'CG00178'; </v>
      </c>
      <c r="S179" t="str">
        <f>"Update Collaborator_Group Set Group_Name = '"&amp;I179&amp;"' where Group_ID = '"&amp;A179&amp;"'; "</f>
        <v xml:space="preserve">Update Collaborator_Group Set Group_Name = 'HallD_UAlberta' where Group_ID = 'CG00178'; </v>
      </c>
      <c r="T179" t="str">
        <f>"Update dcollab.collab_group Set group_code = '"&amp;I179&amp;"' where Group_ID = '"&amp;B179&amp;"'; "</f>
        <v xml:space="preserve">Update dcollab.collab_group Set group_code = 'HallD_UAlberta' where Group_ID = 'CGRP00179'; </v>
      </c>
    </row>
    <row r="180" spans="1:20">
      <c r="A180" t="s">
        <v>5280</v>
      </c>
      <c r="B180" t="s">
        <v>9147</v>
      </c>
      <c r="D180" t="s">
        <v>5279</v>
      </c>
      <c r="E180" t="s">
        <v>5283</v>
      </c>
      <c r="F180">
        <f>LEN(I180)</f>
        <v>17</v>
      </c>
      <c r="G180" t="str">
        <f>VLOOKUP(E180,Organisation!$A$2:$C$499,3,FALSE)</f>
        <v>CORG00227</v>
      </c>
      <c r="H180" t="str">
        <f>VLOOKUP(G180,Organisation!$C$2:$E$318,3,FALSE)</f>
        <v>UDelaware</v>
      </c>
      <c r="I180" t="s">
        <v>5588</v>
      </c>
      <c r="J180">
        <f t="shared" si="2"/>
        <v>1</v>
      </c>
      <c r="L180" t="s">
        <v>1288</v>
      </c>
      <c r="M180" t="s">
        <v>5284</v>
      </c>
      <c r="N180" t="s">
        <v>8808</v>
      </c>
      <c r="O180" t="s">
        <v>5587</v>
      </c>
      <c r="P180" t="s">
        <v>8867</v>
      </c>
      <c r="Q180" s="1">
        <v>1</v>
      </c>
      <c r="R180" t="str">
        <f>"Update Collaborator_Group Set Organisation = '"&amp;E180&amp;"' where Group_ID = '"&amp;A180&amp;"'; "</f>
        <v xml:space="preserve">Update Collaborator_Group Set Organisation = 'University of Delaware' where Group_ID = 'CG00179'; </v>
      </c>
      <c r="S180" t="str">
        <f>"Update Collaborator_Group Set Group_Name = '"&amp;I180&amp;"' where Group_ID = '"&amp;A180&amp;"'; "</f>
        <v xml:space="preserve">Update Collaborator_Group Set Group_Name = 'WatsonD_UDelaware' where Group_ID = 'CG00179'; </v>
      </c>
      <c r="T180" t="str">
        <f>"Update dcollab.collab_group Set group_code = '"&amp;I180&amp;"' where Group_ID = '"&amp;B180&amp;"'; "</f>
        <v xml:space="preserve">Update dcollab.collab_group Set group_code = 'WatsonD_UDelaware' where Group_ID = 'CGRP00180'; </v>
      </c>
    </row>
    <row r="181" spans="1:20">
      <c r="A181" t="s">
        <v>2569</v>
      </c>
      <c r="B181" t="s">
        <v>9168</v>
      </c>
      <c r="D181" t="s">
        <v>2568</v>
      </c>
      <c r="E181" t="s">
        <v>2571</v>
      </c>
      <c r="F181">
        <f>LEN(I181)</f>
        <v>16</v>
      </c>
      <c r="G181" t="str">
        <f>VLOOKUP(E181,Organisation!$A$2:$C$499,3,FALSE)</f>
        <v>CORG00246</v>
      </c>
      <c r="H181" t="str">
        <f>VLOOKUP(G181,Organisation!$C$2:$E$318,3,FALSE)</f>
        <v>UMinnesota</v>
      </c>
      <c r="I181" t="s">
        <v>5572</v>
      </c>
      <c r="J181">
        <f t="shared" si="2"/>
        <v>1</v>
      </c>
      <c r="L181" t="s">
        <v>84</v>
      </c>
      <c r="N181" t="s">
        <v>8808</v>
      </c>
      <c r="O181" t="s">
        <v>5556</v>
      </c>
      <c r="P181" t="s">
        <v>8867</v>
      </c>
      <c r="Q181" s="1">
        <v>1</v>
      </c>
      <c r="R181" t="str">
        <f>"Update Collaborator_Group Set Organisation = '"&amp;E181&amp;"' where Group_ID = '"&amp;A181&amp;"'; "</f>
        <v xml:space="preserve">Update Collaborator_Group Set Organisation = 'University of Minnesota' where Group_ID = 'CG00180'; </v>
      </c>
      <c r="S181" t="str">
        <f>"Update Collaborator_Group Set Group_Name = '"&amp;I181&amp;"' where Group_ID = '"&amp;A181&amp;"'; "</f>
        <v xml:space="preserve">Update Collaborator_Group Set Group_Name = 'HoyeT_UMinnesota' where Group_ID = 'CG00180'; </v>
      </c>
      <c r="T181" t="str">
        <f>"Update dcollab.collab_group Set group_code = '"&amp;I181&amp;"' where Group_ID = '"&amp;B181&amp;"'; "</f>
        <v xml:space="preserve">Update dcollab.collab_group Set group_code = 'HoyeT_UMinnesota' where Group_ID = 'CGRP00181'; </v>
      </c>
    </row>
    <row r="182" spans="1:20">
      <c r="A182" t="s">
        <v>717</v>
      </c>
      <c r="B182" t="s">
        <v>8967</v>
      </c>
      <c r="D182" t="s">
        <v>5067</v>
      </c>
      <c r="E182" t="s">
        <v>721</v>
      </c>
      <c r="F182">
        <f>LEN(I182)</f>
        <v>19</v>
      </c>
      <c r="G182" t="str">
        <f>VLOOKUP(E182,Organisation!$A$2:$C$499,3,FALSE)</f>
        <v>CORG00083</v>
      </c>
      <c r="H182" t="str">
        <f>VLOOKUP(G182,Organisation!$C$2:$E$318,3,FALSE)</f>
        <v>ICTMumbai</v>
      </c>
      <c r="I182" t="s">
        <v>5727</v>
      </c>
      <c r="J182">
        <f t="shared" si="2"/>
        <v>1</v>
      </c>
      <c r="L182" t="s">
        <v>722</v>
      </c>
      <c r="M182" t="s">
        <v>723</v>
      </c>
      <c r="N182" t="s">
        <v>211</v>
      </c>
      <c r="P182" t="s">
        <v>8866</v>
      </c>
      <c r="Q182" s="1">
        <v>1</v>
      </c>
      <c r="R182" t="str">
        <f>"Update Collaborator_Group Set Organisation = '"&amp;E182&amp;"' where Group_ID = '"&amp;A182&amp;"'; "</f>
        <v xml:space="preserve">Update Collaborator_Group Set Organisation = 'Institute of Chemical Technology Mumbai' where Group_ID = 'CG00181'; </v>
      </c>
      <c r="S182" t="str">
        <f>"Update Collaborator_Group Set Group_Name = '"&amp;I182&amp;"' where Group_ID = '"&amp;A182&amp;"'; "</f>
        <v xml:space="preserve">Update Collaborator_Group Set Group_Name = 'TelvekarV_ICTMumbai' where Group_ID = 'CG00181'; </v>
      </c>
      <c r="T182" t="str">
        <f>"Update dcollab.collab_group Set group_code = '"&amp;I182&amp;"' where Group_ID = '"&amp;B182&amp;"'; "</f>
        <v xml:space="preserve">Update dcollab.collab_group Set group_code = 'TelvekarV_ICTMumbai' where Group_ID = 'CGRP00182'; </v>
      </c>
    </row>
    <row r="183" spans="1:20">
      <c r="A183" t="s">
        <v>79</v>
      </c>
      <c r="B183" t="s">
        <v>9085</v>
      </c>
      <c r="D183" t="s">
        <v>78</v>
      </c>
      <c r="E183" t="s">
        <v>83</v>
      </c>
      <c r="F183">
        <f>LEN(I183)</f>
        <v>21</v>
      </c>
      <c r="G183" t="str">
        <f>VLOOKUP(E183,Organisation!$A$2:$C$499,3,FALSE)</f>
        <v>CORG00181</v>
      </c>
      <c r="H183" t="str">
        <f>VLOOKUP(G183,Organisation!$C$2:$E$318,3,FALSE)</f>
        <v>SQaboosU</v>
      </c>
      <c r="I183" t="s">
        <v>5630</v>
      </c>
      <c r="J183">
        <f t="shared" si="2"/>
        <v>1</v>
      </c>
      <c r="L183" t="s">
        <v>84</v>
      </c>
      <c r="M183" t="s">
        <v>85</v>
      </c>
      <c r="N183" t="s">
        <v>86</v>
      </c>
      <c r="P183" t="s">
        <v>8866</v>
      </c>
      <c r="Q183" s="1">
        <v>1</v>
      </c>
      <c r="R183" t="str">
        <f>"Update Collaborator_Group Set Organisation = '"&amp;E183&amp;"' where Group_ID = '"&amp;A183&amp;"'; "</f>
        <v xml:space="preserve">Update Collaborator_Group Set Organisation = 'Sultan Qaboos University' where Group_ID = 'CG00182'; </v>
      </c>
      <c r="S183" t="str">
        <f>"Update Collaborator_Group Set Group_Name = '"&amp;I183&amp;"' where Group_ID = '"&amp;A183&amp;"'; "</f>
        <v xml:space="preserve">Update Collaborator_Group Set Group_Name = 'Abdel-JalilR_SQaboosU' where Group_ID = 'CG00182'; </v>
      </c>
      <c r="T183" t="str">
        <f>"Update dcollab.collab_group Set group_code = '"&amp;I183&amp;"' where Group_ID = '"&amp;B183&amp;"'; "</f>
        <v xml:space="preserve">Update dcollab.collab_group Set group_code = 'Abdel-JalilR_SQaboosU' where Group_ID = 'CGRP00183'; </v>
      </c>
    </row>
    <row r="184" spans="1:20">
      <c r="A184" t="s">
        <v>1647</v>
      </c>
      <c r="B184" t="s">
        <v>9183</v>
      </c>
      <c r="D184" t="s">
        <v>1646</v>
      </c>
      <c r="E184" t="s">
        <v>5801</v>
      </c>
      <c r="F184">
        <f>LEN(I184)</f>
        <v>27</v>
      </c>
      <c r="G184" t="str">
        <f>VLOOKUP(E184,Organisation!$A$2:$C$499,3,FALSE)</f>
        <v>CORG00258</v>
      </c>
      <c r="H184" t="str">
        <f>VLOOKUP(G184,Organisation!$C$2:$E$318,3,FALSE)</f>
        <v>UNorthwesternStPaul</v>
      </c>
      <c r="I184" t="s">
        <v>5562</v>
      </c>
      <c r="J184">
        <f t="shared" si="2"/>
        <v>1</v>
      </c>
      <c r="L184" t="s">
        <v>1651</v>
      </c>
      <c r="M184" t="s">
        <v>1652</v>
      </c>
      <c r="N184" t="s">
        <v>8808</v>
      </c>
      <c r="P184" t="s">
        <v>8866</v>
      </c>
      <c r="Q184" s="1">
        <v>1</v>
      </c>
      <c r="R184" t="str">
        <f>"Update Collaborator_Group Set Organisation = '"&amp;E184&amp;"' where Group_ID = '"&amp;A184&amp;"'; "</f>
        <v xml:space="preserve">Update Collaborator_Group Set Organisation = 'University of Northwestern St Paul' where Group_ID = 'CG00183'; </v>
      </c>
      <c r="S184" t="str">
        <f>"Update Collaborator_Group Set Group_Name = '"&amp;I184&amp;"' where Group_ID = '"&amp;A184&amp;"'; "</f>
        <v xml:space="preserve">Update Collaborator_Group Set Group_Name = 'DraperJ_UNorthwesternStPaul' where Group_ID = 'CG00183'; </v>
      </c>
      <c r="T184" t="str">
        <f>"Update dcollab.collab_group Set group_code = '"&amp;I184&amp;"' where Group_ID = '"&amp;B184&amp;"'; "</f>
        <v xml:space="preserve">Update dcollab.collab_group Set group_code = 'DraperJ_UNorthwesternStPaul' where Group_ID = 'CGRP00184'; </v>
      </c>
    </row>
    <row r="185" spans="1:20">
      <c r="A185" t="s">
        <v>2537</v>
      </c>
      <c r="B185" t="s">
        <v>9174</v>
      </c>
      <c r="D185" t="s">
        <v>2536</v>
      </c>
      <c r="E185" t="s">
        <v>1262</v>
      </c>
      <c r="F185">
        <f>LEN(I185)</f>
        <v>20</v>
      </c>
      <c r="G185" t="str">
        <f>VLOOKUP(E185,Organisation!$A$2:$C$499,3,FALSE)</f>
        <v>CORG00251</v>
      </c>
      <c r="H185" t="str">
        <f>VLOOKUP(G185,Organisation!$C$2:$E$318,3,FALSE)</f>
        <v>UNebraskaMC</v>
      </c>
      <c r="I185" t="s">
        <v>5567</v>
      </c>
      <c r="J185">
        <f t="shared" si="2"/>
        <v>1</v>
      </c>
      <c r="L185" t="s">
        <v>2540</v>
      </c>
      <c r="M185" t="s">
        <v>2541</v>
      </c>
      <c r="N185" t="s">
        <v>8808</v>
      </c>
      <c r="P185" t="s">
        <v>8866</v>
      </c>
      <c r="Q185" s="1">
        <v>1</v>
      </c>
      <c r="R185" t="str">
        <f>"Update Collaborator_Group Set Organisation = '"&amp;E185&amp;"' where Group_ID = '"&amp;A185&amp;"'; "</f>
        <v xml:space="preserve">Update Collaborator_Group Set Organisation = 'University of Nebraska Medical Center' where Group_ID = 'CG00184'; </v>
      </c>
      <c r="S185" t="str">
        <f>"Update Collaborator_Group Set Group_Name = '"&amp;I185&amp;"' where Group_ID = '"&amp;A185&amp;"'; "</f>
        <v xml:space="preserve">Update Collaborator_Group Set Group_Name = 'HopkinsC_UNebraskaMC' where Group_ID = 'CG00184'; </v>
      </c>
      <c r="T185" t="str">
        <f>"Update dcollab.collab_group Set group_code = '"&amp;I185&amp;"' where Group_ID = '"&amp;B185&amp;"'; "</f>
        <v xml:space="preserve">Update dcollab.collab_group Set group_code = 'HopkinsC_UNebraskaMC' where Group_ID = 'CGRP00185'; </v>
      </c>
    </row>
    <row r="186" spans="1:20">
      <c r="A186" t="s">
        <v>4046</v>
      </c>
      <c r="B186" t="s">
        <v>9060</v>
      </c>
      <c r="D186" t="s">
        <v>4045</v>
      </c>
      <c r="E186" t="s">
        <v>4050</v>
      </c>
      <c r="F186">
        <f>LEN(I186)</f>
        <v>14</v>
      </c>
      <c r="G186" t="str">
        <f>VLOOKUP(E186,Organisation!$A$2:$C$499,3,FALSE)</f>
        <v>CORG00157</v>
      </c>
      <c r="H186" t="str">
        <f>VLOOKUP(G186,Organisation!$C$2:$E$318,3,FALSE)</f>
        <v>RIPER</v>
      </c>
      <c r="I186" t="s">
        <v>5648</v>
      </c>
      <c r="J186">
        <f t="shared" si="2"/>
        <v>1</v>
      </c>
      <c r="L186" t="s">
        <v>3193</v>
      </c>
      <c r="M186" t="s">
        <v>4051</v>
      </c>
      <c r="N186" t="s">
        <v>211</v>
      </c>
      <c r="P186" t="s">
        <v>8866</v>
      </c>
      <c r="Q186" s="1">
        <v>1</v>
      </c>
      <c r="R186" t="str">
        <f>"Update Collaborator_Group Set Organisation = '"&amp;E186&amp;"' where Group_ID = '"&amp;A186&amp;"'; "</f>
        <v xml:space="preserve">Update Collaborator_Group Set Organisation = 'Raghavendra Institute of Pharmaceutical Education and Research' where Group_ID = 'CG00185'; </v>
      </c>
      <c r="S186" t="str">
        <f>"Update Collaborator_Group Set Group_Name = '"&amp;I186&amp;"' where Group_ID = '"&amp;A186&amp;"'; "</f>
        <v xml:space="preserve">Update Collaborator_Group Set Group_Name = 'PeramanR_RIPER' where Group_ID = 'CG00185'; </v>
      </c>
      <c r="T186" t="str">
        <f>"Update dcollab.collab_group Set group_code = '"&amp;I186&amp;"' where Group_ID = '"&amp;B186&amp;"'; "</f>
        <v xml:space="preserve">Update dcollab.collab_group Set group_code = 'PeramanR_RIPER' where Group_ID = 'CGRP00186'; </v>
      </c>
    </row>
    <row r="187" spans="1:20">
      <c r="A187" t="s">
        <v>3004</v>
      </c>
      <c r="B187" t="s">
        <v>9219</v>
      </c>
      <c r="D187" t="s">
        <v>5105</v>
      </c>
      <c r="E187" t="s">
        <v>389</v>
      </c>
      <c r="F187">
        <f>LEN(I187)</f>
        <v>10</v>
      </c>
      <c r="G187" t="str">
        <f>VLOOKUP(E187,Organisation!$A$2:$C$499,3,FALSE)</f>
        <v>CORG00271</v>
      </c>
      <c r="H187" t="str">
        <f>VLOOKUP(G187,Organisation!$C$2:$E$318,3,FALSE)</f>
        <v>USYD</v>
      </c>
      <c r="I187" t="s">
        <v>10454</v>
      </c>
      <c r="J187">
        <f t="shared" si="2"/>
        <v>1</v>
      </c>
      <c r="L187" t="s">
        <v>170</v>
      </c>
      <c r="M187" t="s">
        <v>5106</v>
      </c>
      <c r="N187" t="s">
        <v>14</v>
      </c>
      <c r="P187" t="s">
        <v>8866</v>
      </c>
      <c r="Q187" s="1">
        <v>1</v>
      </c>
      <c r="R187" t="str">
        <f>"Update Collaborator_Group Set Organisation = '"&amp;E187&amp;"' where Group_ID = '"&amp;A187&amp;"'; "</f>
        <v xml:space="preserve">Update Collaborator_Group Set Organisation = 'University of Sydney' where Group_ID = 'CG00186'; </v>
      </c>
      <c r="S187" t="str">
        <f>"Update Collaborator_Group Set Group_Name = '"&amp;I187&amp;"' where Group_ID = '"&amp;A187&amp;"'; "</f>
        <v xml:space="preserve">Update Collaborator_Group Set Group_Name = 'ToddM_USYD' where Group_ID = 'CG00186'; </v>
      </c>
      <c r="T187" t="str">
        <f>"Update dcollab.collab_group Set group_code = '"&amp;I187&amp;"' where Group_ID = '"&amp;B187&amp;"'; "</f>
        <v xml:space="preserve">Update dcollab.collab_group Set group_code = 'ToddM_USYD' where Group_ID = 'CGRP00187'; </v>
      </c>
    </row>
    <row r="188" spans="1:20">
      <c r="A188" t="s">
        <v>1664</v>
      </c>
      <c r="B188" t="s">
        <v>9016</v>
      </c>
      <c r="D188" t="s">
        <v>1663</v>
      </c>
      <c r="E188" t="s">
        <v>1667</v>
      </c>
      <c r="F188">
        <f>LEN(I188)</f>
        <v>19</v>
      </c>
      <c r="G188" t="str">
        <f>VLOOKUP(E188,Organisation!$A$2:$C$499,3,FALSE)</f>
        <v>CORG00121</v>
      </c>
      <c r="H188" t="str">
        <f>VLOOKUP(G188,Organisation!$C$2:$E$318,3,FALSE)</f>
        <v>MUCTRussia</v>
      </c>
      <c r="I188" t="s">
        <v>5683</v>
      </c>
      <c r="J188">
        <f t="shared" si="2"/>
        <v>1</v>
      </c>
      <c r="L188" t="s">
        <v>692</v>
      </c>
      <c r="M188" t="s">
        <v>1668</v>
      </c>
      <c r="N188" t="s">
        <v>1600</v>
      </c>
      <c r="P188" t="s">
        <v>8866</v>
      </c>
      <c r="Q188" s="1">
        <v>1</v>
      </c>
      <c r="R188" t="str">
        <f>"Update Collaborator_Group Set Organisation = '"&amp;E188&amp;"' where Group_ID = '"&amp;A188&amp;"'; "</f>
        <v xml:space="preserve">Update Collaborator_Group Set Organisation = 'Mendeleev University of Chemical Technology of Russia' where Group_ID = 'CG00187'; </v>
      </c>
      <c r="S188" t="str">
        <f>"Update Collaborator_Group Set Group_Name = '"&amp;I188&amp;"' where Group_ID = '"&amp;A188&amp;"'; "</f>
        <v xml:space="preserve">Update Collaborator_Group Set Group_Name = 'DubovisM_MUCTRussia' where Group_ID = 'CG00187'; </v>
      </c>
      <c r="T188" t="str">
        <f>"Update dcollab.collab_group Set group_code = '"&amp;I188&amp;"' where Group_ID = '"&amp;B188&amp;"'; "</f>
        <v xml:space="preserve">Update dcollab.collab_group Set group_code = 'DubovisM_MUCTRussia' where Group_ID = 'CGRP00188'; </v>
      </c>
    </row>
    <row r="189" spans="1:20">
      <c r="A189" t="s">
        <v>4109</v>
      </c>
      <c r="B189" t="s">
        <v>9240</v>
      </c>
      <c r="D189" t="s">
        <v>4108</v>
      </c>
      <c r="E189" t="s">
        <v>4111</v>
      </c>
      <c r="F189">
        <f>LEN(I189)</f>
        <v>12</v>
      </c>
      <c r="G189" t="str">
        <f>VLOOKUP(E189,Organisation!$A$2:$C$499,3,FALSE)</f>
        <v>CORG00290</v>
      </c>
      <c r="H189" t="str">
        <f>VLOOKUP(G189,Organisation!$C$2:$E$318,3,FALSE)</f>
        <v>UWA</v>
      </c>
      <c r="I189" t="s">
        <v>5521</v>
      </c>
      <c r="J189">
        <f t="shared" si="2"/>
        <v>1</v>
      </c>
      <c r="L189" t="s">
        <v>4112</v>
      </c>
      <c r="M189" t="s">
        <v>4113</v>
      </c>
      <c r="N189" t="s">
        <v>14</v>
      </c>
      <c r="P189" t="s">
        <v>8866</v>
      </c>
      <c r="Q189" s="1">
        <v>1</v>
      </c>
      <c r="R189" t="str">
        <f>"Update Collaborator_Group Set Organisation = '"&amp;E189&amp;"' where Group_ID = '"&amp;A189&amp;"'; "</f>
        <v xml:space="preserve">Update Collaborator_Group Set Organisation = 'University of Western Australia' where Group_ID = 'CG00188'; </v>
      </c>
      <c r="S189" t="str">
        <f>"Update Collaborator_Group Set Group_Name = '"&amp;I189&amp;"' where Group_ID = '"&amp;A189&amp;"'; "</f>
        <v xml:space="preserve">Update Collaborator_Group Set Group_Name = 'PiggottM_UWA' where Group_ID = 'CG00188'; </v>
      </c>
      <c r="T189" t="str">
        <f>"Update dcollab.collab_group Set group_code = '"&amp;I189&amp;"' where Group_ID = '"&amp;B189&amp;"'; "</f>
        <v xml:space="preserve">Update dcollab.collab_group Set group_code = 'PiggottM_UWA' where Group_ID = 'CGRP00189'; </v>
      </c>
    </row>
    <row r="190" spans="1:20">
      <c r="A190" t="s">
        <v>4971</v>
      </c>
      <c r="B190" t="s">
        <v>8915</v>
      </c>
      <c r="D190" t="s">
        <v>4970</v>
      </c>
      <c r="E190" t="s">
        <v>8755</v>
      </c>
      <c r="F190">
        <f>LEN(I190)</f>
        <v>17</v>
      </c>
      <c r="G190" t="str">
        <f>VLOOKUP(E190,Organisation!$A$2:$C$499,3,FALSE)</f>
        <v>CORG00039</v>
      </c>
      <c r="H190" t="str">
        <f>VLOOKUP(G190,Organisation!$C$2:$E$318,3,FALSE)</f>
        <v>CSIRO</v>
      </c>
      <c r="I190" t="s">
        <v>5763</v>
      </c>
      <c r="J190">
        <f t="shared" si="2"/>
        <v>1</v>
      </c>
      <c r="L190" t="s">
        <v>4974</v>
      </c>
      <c r="M190" t="s">
        <v>4975</v>
      </c>
      <c r="N190" t="s">
        <v>14</v>
      </c>
      <c r="P190" t="s">
        <v>8866</v>
      </c>
      <c r="Q190" s="1">
        <v>1</v>
      </c>
      <c r="R190" t="str">
        <f>"Update Collaborator_Group Set Organisation = '"&amp;E190&amp;"' where Group_ID = '"&amp;A190&amp;"'; "</f>
        <v xml:space="preserve">Update Collaborator_Group Set Organisation = 'Commonwealth Scientific and Industrial Research' where Group_ID = 'CG00189'; </v>
      </c>
      <c r="S190" t="str">
        <f>"Update Collaborator_Group Set Group_Name = '"&amp;I190&amp;"' where Group_ID = '"&amp;A190&amp;"'; "</f>
        <v xml:space="preserve">Update Collaborator_Group Set Group_Name = 'SutherlandT_CSIRO' where Group_ID = 'CG00189'; </v>
      </c>
      <c r="T190" t="str">
        <f>"Update dcollab.collab_group Set group_code = '"&amp;I190&amp;"' where Group_ID = '"&amp;B190&amp;"'; "</f>
        <v xml:space="preserve">Update dcollab.collab_group Set group_code = 'SutherlandT_CSIRO' where Group_ID = 'CGRP00190'; </v>
      </c>
    </row>
    <row r="191" spans="1:20">
      <c r="A191" t="s">
        <v>2816</v>
      </c>
      <c r="B191" t="s">
        <v>8997</v>
      </c>
      <c r="D191" t="s">
        <v>2815</v>
      </c>
      <c r="E191" t="s">
        <v>1114</v>
      </c>
      <c r="F191">
        <f>LEN(I191)</f>
        <v>18</v>
      </c>
      <c r="G191" t="str">
        <f>VLOOKUP(E191,Organisation!$A$2:$C$499,3,FALSE)</f>
        <v>CORG00106</v>
      </c>
      <c r="H191" t="str">
        <f>VLOOKUP(G191,Organisation!$C$2:$E$318,3,FALSE)</f>
        <v>MacquarieU</v>
      </c>
      <c r="I191" t="s">
        <v>5699</v>
      </c>
      <c r="J191">
        <f t="shared" si="2"/>
        <v>1</v>
      </c>
      <c r="L191" t="s">
        <v>1115</v>
      </c>
      <c r="M191" t="s">
        <v>1116</v>
      </c>
      <c r="N191" t="s">
        <v>14</v>
      </c>
      <c r="P191" t="s">
        <v>8866</v>
      </c>
      <c r="Q191" s="1">
        <v>1</v>
      </c>
      <c r="R191" t="str">
        <f>"Update Collaborator_Group Set Organisation = '"&amp;E191&amp;"' where Group_ID = '"&amp;A191&amp;"'; "</f>
        <v xml:space="preserve">Update Collaborator_Group Set Organisation = 'Macquarie University' where Group_ID = 'CG00190'; </v>
      </c>
      <c r="S191" t="str">
        <f>"Update Collaborator_Group Set Group_Name = '"&amp;I191&amp;"' where Group_ID = '"&amp;A191&amp;"'; "</f>
        <v xml:space="preserve">Update Collaborator_Group Set Group_Name = 'KarusoP_MacquarieU' where Group_ID = 'CG00190'; </v>
      </c>
      <c r="T191" t="str">
        <f>"Update dcollab.collab_group Set group_code = '"&amp;I191&amp;"' where Group_ID = '"&amp;B191&amp;"'; "</f>
        <v xml:space="preserve">Update dcollab.collab_group Set group_code = 'KarusoP_MacquarieU' where Group_ID = 'CGRP00191'; </v>
      </c>
    </row>
    <row r="192" spans="1:20">
      <c r="A192" t="s">
        <v>530</v>
      </c>
      <c r="B192" t="s">
        <v>9048</v>
      </c>
      <c r="D192" t="s">
        <v>2115</v>
      </c>
      <c r="E192" t="s">
        <v>534</v>
      </c>
      <c r="F192">
        <f>LEN(I192)</f>
        <v>20</v>
      </c>
      <c r="G192" t="str">
        <f>VLOOKUP(E192,Organisation!$A$2:$C$499,3,FALSE)</f>
        <v>CORG00145</v>
      </c>
      <c r="H192" t="str">
        <f>VLOOKUP(G192,Organisation!$C$2:$E$318,3,FALSE)</f>
        <v>NorwegianUST</v>
      </c>
      <c r="I192" t="s">
        <v>10455</v>
      </c>
      <c r="J192">
        <f t="shared" si="2"/>
        <v>1</v>
      </c>
      <c r="L192" t="s">
        <v>535</v>
      </c>
      <c r="M192" t="s">
        <v>536</v>
      </c>
      <c r="N192" t="s">
        <v>537</v>
      </c>
      <c r="P192" t="s">
        <v>8866</v>
      </c>
      <c r="Q192" s="1">
        <v>1</v>
      </c>
      <c r="R192" t="str">
        <f>"Update Collaborator_Group Set Organisation = '"&amp;E192&amp;"' where Group_ID = '"&amp;A192&amp;"'; "</f>
        <v xml:space="preserve">Update Collaborator_Group Set Organisation = 'Norwegian University of Science and Technology' where Group_ID = 'CG00191'; </v>
      </c>
      <c r="S192" t="str">
        <f>"Update Collaborator_Group Set Group_Name = '"&amp;I192&amp;"' where Group_ID = '"&amp;A192&amp;"'; "</f>
        <v xml:space="preserve">Update Collaborator_Group Set Group_Name = 'GautunO_NorwegianUST' where Group_ID = 'CG00191'; </v>
      </c>
      <c r="T192" t="str">
        <f>"Update dcollab.collab_group Set group_code = '"&amp;I192&amp;"' where Group_ID = '"&amp;B192&amp;"'; "</f>
        <v xml:space="preserve">Update dcollab.collab_group Set group_code = 'GautunO_NorwegianUST' where Group_ID = 'CGRP00192'; </v>
      </c>
    </row>
    <row r="193" spans="1:20">
      <c r="A193" t="s">
        <v>3334</v>
      </c>
      <c r="B193" t="s">
        <v>8935</v>
      </c>
      <c r="D193" t="s">
        <v>3333</v>
      </c>
      <c r="E193" t="s">
        <v>3337</v>
      </c>
      <c r="F193">
        <f>LEN(I193)</f>
        <v>13</v>
      </c>
      <c r="G193" t="str">
        <f>VLOOKUP(E193,Organisation!$A$2:$C$499,3,FALSE)</f>
        <v>CORG00057</v>
      </c>
      <c r="H193" t="str">
        <f>VLOOKUP(G193,Organisation!$C$2:$E$318,3,FALSE)</f>
        <v>FQURep</v>
      </c>
      <c r="I193" t="s">
        <v>10456</v>
      </c>
      <c r="J193">
        <f t="shared" si="2"/>
        <v>1</v>
      </c>
      <c r="L193" t="s">
        <v>3338</v>
      </c>
      <c r="M193" t="s">
        <v>3339</v>
      </c>
      <c r="N193" t="s">
        <v>2054</v>
      </c>
      <c r="P193" t="s">
        <v>8866</v>
      </c>
      <c r="Q193" s="1">
        <v>1</v>
      </c>
      <c r="R193" t="str">
        <f>"Update Collaborator_Group Set Organisation = '"&amp;E193&amp;"' where Group_ID = '"&amp;A193&amp;"'; "</f>
        <v xml:space="preserve">Update Collaborator_Group Set Organisation = 'Facultad de Química Universidad de la República' where Group_ID = 'CG00192'; </v>
      </c>
      <c r="S193" t="str">
        <f>"Update Collaborator_Group Set Group_Name = '"&amp;I193&amp;"' where Group_ID = '"&amp;A193&amp;"'; "</f>
        <v xml:space="preserve">Update Collaborator_Group Set Group_Name = 'LópezG_FQURep' where Group_ID = 'CG00192'; </v>
      </c>
      <c r="T193" t="str">
        <f>"Update dcollab.collab_group Set group_code = '"&amp;I193&amp;"' where Group_ID = '"&amp;B193&amp;"'; "</f>
        <v xml:space="preserve">Update dcollab.collab_group Set group_code = 'LópezG_FQURep' where Group_ID = 'CGRP00193'; </v>
      </c>
    </row>
    <row r="194" spans="1:20">
      <c r="A194" t="s">
        <v>2529</v>
      </c>
      <c r="B194" t="s">
        <v>9148</v>
      </c>
      <c r="D194" t="s">
        <v>2528</v>
      </c>
      <c r="E194" t="s">
        <v>2321</v>
      </c>
      <c r="F194">
        <f>LEN(I194)</f>
        <v>13</v>
      </c>
      <c r="G194" t="str">
        <f>VLOOKUP(E194,Organisation!$A$2:$C$499,3,FALSE)</f>
        <v>CORG00228</v>
      </c>
      <c r="H194" t="str">
        <f>VLOOKUP(G194,Organisation!$C$2:$E$318,3,FALSE)</f>
        <v>UDundee</v>
      </c>
      <c r="I194" t="s">
        <v>5586</v>
      </c>
      <c r="J194">
        <f t="shared" si="2"/>
        <v>1</v>
      </c>
      <c r="L194" t="s">
        <v>2532</v>
      </c>
      <c r="M194" t="s">
        <v>2533</v>
      </c>
      <c r="N194" t="s">
        <v>8808</v>
      </c>
      <c r="P194" t="s">
        <v>8866</v>
      </c>
      <c r="Q194" s="1">
        <v>1</v>
      </c>
      <c r="R194" t="str">
        <f>"Update Collaborator_Group Set Organisation = '"&amp;E194&amp;"' where Group_ID = '"&amp;A194&amp;"'; "</f>
        <v xml:space="preserve">Update Collaborator_Group Set Organisation = 'University of Dundee' where Group_ID = 'CG00193'; </v>
      </c>
      <c r="S194" t="str">
        <f>"Update Collaborator_Group Set Group_Name = '"&amp;I194&amp;"' where Group_ID = '"&amp;A194&amp;"'; "</f>
        <v xml:space="preserve">Update Collaborator_Group Set Group_Name = 'HopeA_UDundee' where Group_ID = 'CG00193'; </v>
      </c>
      <c r="T194" t="str">
        <f>"Update dcollab.collab_group Set group_code = '"&amp;I194&amp;"' where Group_ID = '"&amp;B194&amp;"'; "</f>
        <v xml:space="preserve">Update dcollab.collab_group Set group_code = 'HopeA_UDundee' where Group_ID = 'CGRP00194'; </v>
      </c>
    </row>
    <row r="195" spans="1:20">
      <c r="A195" t="s">
        <v>3987</v>
      </c>
      <c r="B195" t="s">
        <v>9071</v>
      </c>
      <c r="D195" t="s">
        <v>3986</v>
      </c>
      <c r="E195" t="s">
        <v>3990</v>
      </c>
      <c r="F195">
        <f>LEN(I195)</f>
        <v>19</v>
      </c>
      <c r="G195" t="str">
        <f>VLOOKUP(E195,Organisation!$A$2:$C$499,3,FALSE)</f>
        <v>CORG00169</v>
      </c>
      <c r="H195" t="str">
        <f>VLOOKUP(G195,Organisation!$C$2:$E$318,3,FALSE)</f>
        <v>SardarPatelU</v>
      </c>
      <c r="I195" t="s">
        <v>5640</v>
      </c>
      <c r="J195">
        <f t="shared" ref="J195:J258" si="3">COUNTIF($I$2:$I$416,I195)</f>
        <v>1</v>
      </c>
      <c r="L195" t="s">
        <v>3991</v>
      </c>
      <c r="M195" t="s">
        <v>3992</v>
      </c>
      <c r="N195" t="s">
        <v>211</v>
      </c>
      <c r="P195" t="s">
        <v>8866</v>
      </c>
      <c r="Q195" s="1">
        <v>1</v>
      </c>
      <c r="R195" t="str">
        <f>"Update Collaborator_Group Set Organisation = '"&amp;E195&amp;"' where Group_ID = '"&amp;A195&amp;"'; "</f>
        <v xml:space="preserve">Update Collaborator_Group Set Organisation = 'Sardar Patel University' where Group_ID = 'CG00194'; </v>
      </c>
      <c r="S195" t="str">
        <f>"Update Collaborator_Group Set Group_Name = '"&amp;I195&amp;"' where Group_ID = '"&amp;A195&amp;"'; "</f>
        <v xml:space="preserve">Update Collaborator_Group Set Group_Name = 'PatelH_SardarPatelU' where Group_ID = 'CG00194'; </v>
      </c>
      <c r="T195" t="str">
        <f>"Update dcollab.collab_group Set group_code = '"&amp;I195&amp;"' where Group_ID = '"&amp;B195&amp;"'; "</f>
        <v xml:space="preserve">Update dcollab.collab_group Set group_code = 'PatelH_SardarPatelU' where Group_ID = 'CGRP00195'; </v>
      </c>
    </row>
    <row r="196" spans="1:20">
      <c r="A196" t="s">
        <v>1786</v>
      </c>
      <c r="B196" t="s">
        <v>9004</v>
      </c>
      <c r="D196" t="s">
        <v>1785</v>
      </c>
      <c r="E196" t="s">
        <v>1790</v>
      </c>
      <c r="F196">
        <f>LEN(I196)</f>
        <v>21</v>
      </c>
      <c r="G196" t="str">
        <f>VLOOKUP(E196,Organisation!$A$2:$C$499,3,FALSE)</f>
        <v>CORG00111</v>
      </c>
      <c r="H196" t="str">
        <f>VLOOKUP(G196,Organisation!$C$2:$E$318,3,FALSE)</f>
        <v>MansouraU</v>
      </c>
      <c r="I196" t="s">
        <v>10457</v>
      </c>
      <c r="J196">
        <f t="shared" si="3"/>
        <v>1</v>
      </c>
      <c r="L196" t="s">
        <v>5485</v>
      </c>
      <c r="M196" t="s">
        <v>5484</v>
      </c>
      <c r="N196" t="s">
        <v>55</v>
      </c>
      <c r="P196" t="s">
        <v>8866</v>
      </c>
      <c r="Q196" s="1">
        <v>1</v>
      </c>
      <c r="R196" t="str">
        <f>"Update Collaborator_Group Set Organisation = '"&amp;E196&amp;"' where Group_ID = '"&amp;A196&amp;"'; "</f>
        <v xml:space="preserve">Update Collaborator_Group Set Organisation = 'Mansoura University' where Group_ID = 'CG00195'; </v>
      </c>
      <c r="S196" t="str">
        <f>"Update Collaborator_Group Set Group_Name = '"&amp;I196&amp;"' where Group_ID = '"&amp;A196&amp;"'; "</f>
        <v xml:space="preserve">Update Collaborator_Group Set Group_Name = 'El-SubbaghH_MansouraU' where Group_ID = 'CG00195'; </v>
      </c>
      <c r="T196" t="str">
        <f>"Update dcollab.collab_group Set group_code = '"&amp;I196&amp;"' where Group_ID = '"&amp;B196&amp;"'; "</f>
        <v xml:space="preserve">Update dcollab.collab_group Set group_code = 'El-SubbaghH_MansouraU' where Group_ID = 'CGRP00196'; </v>
      </c>
    </row>
    <row r="197" spans="1:20">
      <c r="A197" t="s">
        <v>3691</v>
      </c>
      <c r="B197" t="s">
        <v>9239</v>
      </c>
      <c r="D197" t="s">
        <v>5060</v>
      </c>
      <c r="E197" t="s">
        <v>3693</v>
      </c>
      <c r="F197">
        <f>LEN(I197)</f>
        <v>17</v>
      </c>
      <c r="G197" t="str">
        <f>VLOOKUP(E197,Organisation!$A$2:$C$499,3,FALSE)</f>
        <v>CORG00289</v>
      </c>
      <c r="H197" t="str">
        <f>VLOOKUP(G197,Organisation!$C$2:$E$318,3,FALSE)</f>
        <v>UWaterloo</v>
      </c>
      <c r="I197" t="s">
        <v>10458</v>
      </c>
      <c r="J197">
        <f t="shared" si="3"/>
        <v>1</v>
      </c>
      <c r="L197" t="s">
        <v>84</v>
      </c>
      <c r="M197" t="s">
        <v>3841</v>
      </c>
      <c r="N197" t="s">
        <v>75</v>
      </c>
      <c r="P197" t="s">
        <v>8866</v>
      </c>
      <c r="Q197" s="1">
        <v>1</v>
      </c>
      <c r="R197" t="str">
        <f>"Update Collaborator_Group Set Organisation = '"&amp;E197&amp;"' where Group_ID = '"&amp;A197&amp;"'; "</f>
        <v xml:space="preserve">Update Collaborator_Group Set Organisation = 'University of Waterloo' where Group_ID = 'CG00196'; </v>
      </c>
      <c r="S197" t="str">
        <f>"Update Collaborator_Group Set Group_Name = '"&amp;I197&amp;"' where Group_ID = '"&amp;A197&amp;"'; "</f>
        <v xml:space="preserve">Update Collaborator_Group Set Group_Name = 'TaylorS_UWaterloo' where Group_ID = 'CG00196'; </v>
      </c>
      <c r="T197" t="str">
        <f>"Update dcollab.collab_group Set group_code = '"&amp;I197&amp;"' where Group_ID = '"&amp;B197&amp;"'; "</f>
        <v xml:space="preserve">Update dcollab.collab_group Set group_code = 'TaylorS_UWaterloo' where Group_ID = 'CGRP00197'; </v>
      </c>
    </row>
    <row r="198" spans="1:20">
      <c r="A198" t="s">
        <v>622</v>
      </c>
      <c r="B198" t="s">
        <v>9036</v>
      </c>
      <c r="D198" t="s">
        <v>621</v>
      </c>
      <c r="E198" t="s">
        <v>8771</v>
      </c>
      <c r="F198">
        <f>LEN(I198)</f>
        <v>14</v>
      </c>
      <c r="G198" t="str">
        <f>VLOOKUP(E198,Organisation!$A$2:$C$499,3,FALSE)</f>
        <v>CORG00135</v>
      </c>
      <c r="H198" t="str">
        <f>VLOOKUP(G198,Organisation!$C$2:$E$318,3,FALSE)</f>
        <v>NITW</v>
      </c>
      <c r="I198" t="s">
        <v>10459</v>
      </c>
      <c r="J198">
        <f t="shared" si="3"/>
        <v>1</v>
      </c>
      <c r="L198" t="s">
        <v>84</v>
      </c>
      <c r="M198" t="s">
        <v>626</v>
      </c>
      <c r="N198" t="s">
        <v>211</v>
      </c>
      <c r="P198" t="s">
        <v>8866</v>
      </c>
      <c r="Q198" s="1">
        <v>1</v>
      </c>
      <c r="R198" t="str">
        <f>"Update Collaborator_Group Set Organisation = '"&amp;E198&amp;"' where Group_ID = '"&amp;A198&amp;"'; "</f>
        <v xml:space="preserve">Update Collaborator_Group Set Organisation = 'National Institute of Technology Warangal' where Group_ID = 'CG00197'; </v>
      </c>
      <c r="S198" t="str">
        <f>"Update Collaborator_Group Set Group_Name = '"&amp;I198&amp;"' where Group_ID = '"&amp;A198&amp;"'; "</f>
        <v xml:space="preserve">Update Collaborator_Group Set Group_Name = 'BasavojuS_NITW' where Group_ID = 'CG00197'; </v>
      </c>
      <c r="T198" t="str">
        <f>"Update dcollab.collab_group Set group_code = '"&amp;I198&amp;"' where Group_ID = '"&amp;B198&amp;"'; "</f>
        <v xml:space="preserve">Update dcollab.collab_group Set group_code = 'BasavojuS_NITW' where Group_ID = 'CGRP00198'; </v>
      </c>
    </row>
    <row r="199" spans="1:20">
      <c r="A199" t="s">
        <v>5218</v>
      </c>
      <c r="B199" t="s">
        <v>9232</v>
      </c>
      <c r="D199" t="s">
        <v>5320</v>
      </c>
      <c r="E199" t="s">
        <v>5221</v>
      </c>
      <c r="F199">
        <f>LEN(I199)</f>
        <v>13</v>
      </c>
      <c r="G199" t="str">
        <f>VLOOKUP(E199,Organisation!$A$2:$C$499,3,FALSE)</f>
        <v>CORG00284</v>
      </c>
      <c r="H199" t="str">
        <f>VLOOKUP(G199,Organisation!$C$2:$E$318,3,FALSE)</f>
        <v>UUtah</v>
      </c>
      <c r="I199" t="s">
        <v>5527</v>
      </c>
      <c r="J199">
        <f t="shared" si="3"/>
        <v>1</v>
      </c>
      <c r="L199" t="s">
        <v>3193</v>
      </c>
      <c r="N199" t="s">
        <v>8808</v>
      </c>
      <c r="P199" t="s">
        <v>8866</v>
      </c>
      <c r="Q199" s="1">
        <v>1</v>
      </c>
      <c r="R199" t="str">
        <f>"Update Collaborator_Group Set Organisation = '"&amp;E199&amp;"' where Group_ID = '"&amp;A199&amp;"'; "</f>
        <v xml:space="preserve">Update Collaborator_Group Set Organisation = 'University of Utah' where Group_ID = 'CG00198'; </v>
      </c>
      <c r="S199" t="str">
        <f>"Update Collaborator_Group Set Group_Name = '"&amp;I199&amp;"' where Group_ID = '"&amp;A199&amp;"'; "</f>
        <v xml:space="preserve">Update Collaborator_Group Set Group_Name = 'WinterJ_UUtah' where Group_ID = 'CG00198'; </v>
      </c>
      <c r="T199" t="str">
        <f>"Update dcollab.collab_group Set group_code = '"&amp;I199&amp;"' where Group_ID = '"&amp;B199&amp;"'; "</f>
        <v xml:space="preserve">Update dcollab.collab_group Set group_code = 'WinterJ_UUtah' where Group_ID = 'CGRP00199'; </v>
      </c>
    </row>
    <row r="200" spans="1:20">
      <c r="A200" t="s">
        <v>1186</v>
      </c>
      <c r="B200" t="s">
        <v>8961</v>
      </c>
      <c r="D200" t="s">
        <v>1185</v>
      </c>
      <c r="E200" t="s">
        <v>1190</v>
      </c>
      <c r="F200">
        <f>LEN(I200)</f>
        <v>14</v>
      </c>
      <c r="G200" t="str">
        <f>VLOOKUP(E200,Organisation!$A$2:$C$499,3,FALSE)</f>
        <v>CORG00077</v>
      </c>
      <c r="H200" t="str">
        <f>VLOOKUP(G200,Organisation!$C$2:$E$318,3,FALSE)</f>
        <v>IICB</v>
      </c>
      <c r="I200" t="s">
        <v>5733</v>
      </c>
      <c r="J200">
        <f t="shared" si="3"/>
        <v>1</v>
      </c>
      <c r="L200" t="s">
        <v>5732</v>
      </c>
      <c r="M200" t="s">
        <v>1192</v>
      </c>
      <c r="N200" t="s">
        <v>211</v>
      </c>
      <c r="P200" t="s">
        <v>8866</v>
      </c>
      <c r="Q200" s="1">
        <v>1</v>
      </c>
      <c r="R200" t="str">
        <f>"Update Collaborator_Group Set Organisation = '"&amp;E200&amp;"' where Group_ID = '"&amp;A200&amp;"'; "</f>
        <v xml:space="preserve">Update Collaborator_Group Set Organisation = 'Indian Institute of Chemical Biology' where Group_ID = 'CG00199'; </v>
      </c>
      <c r="S200" t="str">
        <f>"Update Collaborator_Group Set Group_Name = '"&amp;I200&amp;"' where Group_ID = '"&amp;A200&amp;"'; "</f>
        <v xml:space="preserve">Update Collaborator_Group Set Group_Name = 'ChowduryC_IICB' where Group_ID = 'CG00199'; </v>
      </c>
      <c r="T200" t="str">
        <f>"Update dcollab.collab_group Set group_code = '"&amp;I200&amp;"' where Group_ID = '"&amp;B200&amp;"'; "</f>
        <v xml:space="preserve">Update dcollab.collab_group Set group_code = 'ChowduryC_IICB' where Group_ID = 'CGRP00200'; </v>
      </c>
    </row>
    <row r="201" spans="1:20">
      <c r="A201" t="s">
        <v>645</v>
      </c>
      <c r="B201" t="s">
        <v>8968</v>
      </c>
      <c r="D201" t="s">
        <v>644</v>
      </c>
      <c r="E201" t="s">
        <v>649</v>
      </c>
      <c r="F201">
        <f>LEN(I201)</f>
        <v>13</v>
      </c>
      <c r="G201" t="str">
        <f>VLOOKUP(E201,Organisation!$A$2:$C$499,3,FALSE)</f>
        <v>CORG00084</v>
      </c>
      <c r="H201" t="str">
        <f>VLOOKUP(G201,Organisation!$C$2:$E$318,3,FALSE)</f>
        <v>NASU</v>
      </c>
      <c r="I201" t="s">
        <v>5726</v>
      </c>
      <c r="J201">
        <f t="shared" si="3"/>
        <v>1</v>
      </c>
      <c r="L201" t="s">
        <v>650</v>
      </c>
      <c r="M201" t="s">
        <v>651</v>
      </c>
      <c r="N201" t="s">
        <v>427</v>
      </c>
      <c r="O201" t="s">
        <v>5642</v>
      </c>
      <c r="P201" t="s">
        <v>8866</v>
      </c>
      <c r="Q201" s="1">
        <v>1</v>
      </c>
      <c r="R201" t="str">
        <f>"Update Collaborator_Group Set Organisation = '"&amp;E201&amp;"' where Group_ID = '"&amp;A201&amp;"'; "</f>
        <v xml:space="preserve">Update Collaborator_Group Set Organisation = 'Institute of Molecular Biology and Genetics of NASU' where Group_ID = 'CG00200'; </v>
      </c>
      <c r="S201" t="str">
        <f>"Update Collaborator_Group Set Group_Name = '"&amp;I201&amp;"' where Group_ID = '"&amp;A201&amp;"'; "</f>
        <v xml:space="preserve">Update Collaborator_Group Set Group_Name = 'BdzholaV_NASU' where Group_ID = 'CG00200'; </v>
      </c>
      <c r="T201" t="str">
        <f>"Update dcollab.collab_group Set group_code = '"&amp;I201&amp;"' where Group_ID = '"&amp;B201&amp;"'; "</f>
        <v xml:space="preserve">Update dcollab.collab_group Set group_code = 'BdzholaV_NASU' where Group_ID = 'CGRP00201'; </v>
      </c>
    </row>
    <row r="202" spans="1:20">
      <c r="A202" t="s">
        <v>3385</v>
      </c>
      <c r="B202" t="s">
        <v>8953</v>
      </c>
      <c r="D202" t="s">
        <v>3384</v>
      </c>
      <c r="E202" t="s">
        <v>3388</v>
      </c>
      <c r="F202">
        <f>LEN(I202)</f>
        <v>19</v>
      </c>
      <c r="G202" t="str">
        <f>VLOOKUP(E202,Organisation!$A$2:$C$499,3,FALSE)</f>
        <v>CORG00070</v>
      </c>
      <c r="H202" t="str">
        <f>VLOOKUP(G202,Organisation!$C$2:$E$318,3,FALSE)</f>
        <v>HamiltonU</v>
      </c>
      <c r="I202" t="s">
        <v>5742</v>
      </c>
      <c r="J202">
        <f t="shared" si="3"/>
        <v>1</v>
      </c>
      <c r="L202" t="s">
        <v>73</v>
      </c>
      <c r="M202" t="s">
        <v>3389</v>
      </c>
      <c r="N202" t="s">
        <v>8808</v>
      </c>
      <c r="P202" t="s">
        <v>8866</v>
      </c>
      <c r="Q202" s="1">
        <v>1</v>
      </c>
      <c r="R202" t="str">
        <f>"Update Collaborator_Group Set Organisation = '"&amp;E202&amp;"' where Group_ID = '"&amp;A202&amp;"'; "</f>
        <v xml:space="preserve">Update Collaborator_Group Set Organisation = 'Hamilton College' where Group_ID = 'CG00201'; </v>
      </c>
      <c r="S202" t="str">
        <f>"Update Collaborator_Group Set Group_Name = '"&amp;I202&amp;"' where Group_ID = '"&amp;A202&amp;"'; "</f>
        <v xml:space="preserve">Update Collaborator_Group Set Group_Name = 'MajireckM_HamiltonU' where Group_ID = 'CG00201'; </v>
      </c>
      <c r="T202" t="str">
        <f>"Update dcollab.collab_group Set group_code = '"&amp;I202&amp;"' where Group_ID = '"&amp;B202&amp;"'; "</f>
        <v xml:space="preserve">Update dcollab.collab_group Set group_code = 'MajireckM_HamiltonU' where Group_ID = 'CGRP00202'; </v>
      </c>
    </row>
    <row r="203" spans="1:20">
      <c r="A203" t="s">
        <v>870</v>
      </c>
      <c r="B203" t="s">
        <v>9231</v>
      </c>
      <c r="D203" t="s">
        <v>5452</v>
      </c>
      <c r="E203" t="s">
        <v>875</v>
      </c>
      <c r="F203">
        <f>LEN(I203)</f>
        <v>19</v>
      </c>
      <c r="G203" t="str">
        <f>VLOOKUP(E203,Organisation!$A$2:$C$499,3,FALSE)</f>
        <v>CORG00283</v>
      </c>
      <c r="H203" t="str">
        <f>VLOOKUP(G203,Organisation!$C$2:$E$318,3,FALSE)</f>
        <v>UTuebignen</v>
      </c>
      <c r="I203" t="s">
        <v>5528</v>
      </c>
      <c r="J203">
        <f t="shared" si="3"/>
        <v>1</v>
      </c>
      <c r="L203" t="s">
        <v>84</v>
      </c>
      <c r="N203" t="s">
        <v>557</v>
      </c>
      <c r="P203" t="s">
        <v>8866</v>
      </c>
      <c r="Q203" s="1">
        <v>1</v>
      </c>
      <c r="R203" t="str">
        <f>"Update Collaborator_Group Set Organisation = '"&amp;E203&amp;"' where Group_ID = '"&amp;A203&amp;"'; "</f>
        <v xml:space="preserve">Update Collaborator_Group Set Organisation = 'University of Tuebingen' where Group_ID = 'CG00202'; </v>
      </c>
      <c r="S203" t="str">
        <f>"Update Collaborator_Group Set Group_Name = '"&amp;I203&amp;"' where Group_ID = '"&amp;A203&amp;"'; "</f>
        <v xml:space="preserve">Update Collaborator_Group Set Group_Name = 'ZieglerT_UTuebignen' where Group_ID = 'CG00202'; </v>
      </c>
      <c r="T203" t="str">
        <f>"Update dcollab.collab_group Set group_code = '"&amp;I203&amp;"' where Group_ID = '"&amp;B203&amp;"'; "</f>
        <v xml:space="preserve">Update dcollab.collab_group Set group_code = 'ZieglerT_UTuebignen' where Group_ID = 'CGRP00203'; </v>
      </c>
    </row>
    <row r="204" spans="1:20">
      <c r="A204" t="s">
        <v>3219</v>
      </c>
      <c r="B204" t="s">
        <v>8874</v>
      </c>
      <c r="D204" t="s">
        <v>3218</v>
      </c>
      <c r="E204" t="s">
        <v>8751</v>
      </c>
      <c r="F204">
        <f>LEN(I204)</f>
        <v>11</v>
      </c>
      <c r="G204" t="str">
        <f>VLOOKUP(E204,Organisation!$A$2:$C$499,3,FALSE)</f>
        <v>CORG00003</v>
      </c>
      <c r="H204" t="str">
        <f>VLOOKUP(G204,Organisation!$C$2:$E$318,3,FALSE)</f>
        <v>ASTAR</v>
      </c>
      <c r="I204" t="s">
        <v>5796</v>
      </c>
      <c r="J204">
        <f t="shared" si="3"/>
        <v>1</v>
      </c>
      <c r="L204" t="s">
        <v>3223</v>
      </c>
      <c r="M204" t="s">
        <v>3224</v>
      </c>
      <c r="N204" t="s">
        <v>459</v>
      </c>
      <c r="P204" t="s">
        <v>8866</v>
      </c>
      <c r="Q204" s="1">
        <v>1</v>
      </c>
      <c r="R204" t="str">
        <f>"Update Collaborator_Group Set Organisation = '"&amp;E204&amp;"' where Group_ID = '"&amp;A204&amp;"'; "</f>
        <v xml:space="preserve">Update Collaborator_Group Set Organisation = 'Agency for Science, Technology and Research' where Group_ID = 'CG00203'; </v>
      </c>
      <c r="S204" t="str">
        <f>"Update Collaborator_Group Set Group_Name = '"&amp;I204&amp;"' where Group_ID = '"&amp;A204&amp;"'; "</f>
        <v xml:space="preserve">Update Collaborator_Group Set Group_Name = 'LiowS_AStar' where Group_ID = 'CG00203'; </v>
      </c>
      <c r="T204" t="str">
        <f>"Update dcollab.collab_group Set group_code = '"&amp;I204&amp;"' where Group_ID = '"&amp;B204&amp;"'; "</f>
        <v xml:space="preserve">Update dcollab.collab_group Set group_code = 'LiowS_AStar' where Group_ID = 'CGRP00204'; </v>
      </c>
    </row>
    <row r="205" spans="1:20">
      <c r="A205" t="s">
        <v>5038</v>
      </c>
      <c r="B205" t="s">
        <v>9033</v>
      </c>
      <c r="D205" t="s">
        <v>5037</v>
      </c>
      <c r="E205" t="s">
        <v>5041</v>
      </c>
      <c r="F205">
        <f>LEN(I205)</f>
        <v>14</v>
      </c>
      <c r="G205" t="str">
        <f>VLOOKUP(E205,Organisation!$A$2:$C$499,3,FALSE)</f>
        <v>CORG00133</v>
      </c>
      <c r="H205" t="str">
        <f>VLOOKUP(G205,Organisation!$C$2:$E$318,3,FALSE)</f>
        <v>NICPRD</v>
      </c>
      <c r="I205" t="s">
        <v>5670</v>
      </c>
      <c r="J205">
        <f t="shared" si="3"/>
        <v>1</v>
      </c>
      <c r="L205" t="s">
        <v>5041</v>
      </c>
      <c r="M205" t="s">
        <v>5042</v>
      </c>
      <c r="N205" t="s">
        <v>5043</v>
      </c>
      <c r="P205" t="s">
        <v>8866</v>
      </c>
      <c r="Q205" s="1">
        <v>1</v>
      </c>
      <c r="R205" t="str">
        <f>"Update Collaborator_Group Set Organisation = '"&amp;E205&amp;"' where Group_ID = '"&amp;A205&amp;"'; "</f>
        <v xml:space="preserve">Update Collaborator_Group Set Organisation = 'National Institute for Chemical-Pharmaceutical Research and Development' where Group_ID = 'CG00204'; </v>
      </c>
      <c r="S205" t="str">
        <f>"Update Collaborator_Group Set Group_Name = '"&amp;I205&amp;"' where Group_ID = '"&amp;A205&amp;"'; "</f>
        <v xml:space="preserve">Update Collaborator_Group Set Group_Name = 'TanaseC_NICPRD' where Group_ID = 'CG00204'; </v>
      </c>
      <c r="T205" t="str">
        <f>"Update dcollab.collab_group Set group_code = '"&amp;I205&amp;"' where Group_ID = '"&amp;B205&amp;"'; "</f>
        <v xml:space="preserve">Update dcollab.collab_group Set group_code = 'TanaseC_NICPRD' where Group_ID = 'CGRP00205'; </v>
      </c>
    </row>
    <row r="206" spans="1:20">
      <c r="A206" t="s">
        <v>2037</v>
      </c>
      <c r="B206" t="s">
        <v>8969</v>
      </c>
      <c r="D206" t="s">
        <v>4862</v>
      </c>
      <c r="E206" t="s">
        <v>2041</v>
      </c>
      <c r="F206">
        <f>LEN(I206)</f>
        <v>11</v>
      </c>
      <c r="G206" t="str">
        <f>VLOOKUP(E206,Organisation!$A$2:$C$499,3,FALSE)</f>
        <v>CORG00085</v>
      </c>
      <c r="H206" t="str">
        <f>VLOOKUP(G206,Organisation!$C$2:$E$318,3,FALSE)</f>
        <v>IPC</v>
      </c>
      <c r="I206" t="s">
        <v>5724</v>
      </c>
      <c r="J206">
        <f t="shared" si="3"/>
        <v>1</v>
      </c>
      <c r="L206" t="s">
        <v>2042</v>
      </c>
      <c r="M206" t="s">
        <v>2043</v>
      </c>
      <c r="N206" t="s">
        <v>1600</v>
      </c>
      <c r="P206" t="s">
        <v>8866</v>
      </c>
      <c r="Q206" s="1">
        <v>1</v>
      </c>
      <c r="R206" t="str">
        <f>"Update Collaborator_Group Set Organisation = '"&amp;E206&amp;"' where Group_ID = '"&amp;A206&amp;"'; "</f>
        <v xml:space="preserve">Update Collaborator_Group Set Organisation = 'Institute of Petrochemistry and Catalysis' where Group_ID = 'CG00205'; </v>
      </c>
      <c r="S206" t="str">
        <f>"Update Collaborator_Group Set Group_Name = '"&amp;I206&amp;"' where Group_ID = '"&amp;A206&amp;"'; "</f>
        <v xml:space="preserve">Update Collaborator_Group Set Group_Name = 'SpivakA_IPC' where Group_ID = 'CG00205'; </v>
      </c>
      <c r="T206" t="str">
        <f>"Update dcollab.collab_group Set group_code = '"&amp;I206&amp;"' where Group_ID = '"&amp;B206&amp;"'; "</f>
        <v xml:space="preserve">Update dcollab.collab_group Set group_code = 'SpivakA_IPC' where Group_ID = 'CGRP00206'; </v>
      </c>
    </row>
    <row r="207" spans="1:20">
      <c r="A207" t="s">
        <v>2428</v>
      </c>
      <c r="B207" t="s">
        <v>9267</v>
      </c>
      <c r="D207" t="s">
        <v>2469</v>
      </c>
      <c r="E207" t="s">
        <v>2431</v>
      </c>
      <c r="F207">
        <f>LEN(I207)</f>
        <v>13</v>
      </c>
      <c r="G207" t="str">
        <f>VLOOKUP(E207,Organisation!$A$2:$C$499,3,FALSE)</f>
        <v>CORG00310</v>
      </c>
      <c r="H207" t="str">
        <f>VLOOKUP(G207,Organisation!$C$2:$E$318,3,FALSE)</f>
        <v>YaleU</v>
      </c>
      <c r="I207" t="s">
        <v>5493</v>
      </c>
      <c r="J207">
        <f t="shared" si="3"/>
        <v>1</v>
      </c>
      <c r="L207" t="s">
        <v>73</v>
      </c>
      <c r="M207" t="s">
        <v>5492</v>
      </c>
      <c r="N207" t="s">
        <v>8808</v>
      </c>
      <c r="P207" t="s">
        <v>8866</v>
      </c>
      <c r="Q207" s="1">
        <v>1</v>
      </c>
      <c r="R207" t="str">
        <f>"Update Collaborator_Group Set Organisation = '"&amp;E207&amp;"' where Group_ID = '"&amp;A207&amp;"'; "</f>
        <v xml:space="preserve">Update Collaborator_Group Set Organisation = 'Yale University' where Group_ID = 'CG00206'; </v>
      </c>
      <c r="S207" t="str">
        <f>"Update Collaborator_Group Set Group_Name = '"&amp;I207&amp;"' where Group_ID = '"&amp;A207&amp;"'; "</f>
        <v xml:space="preserve">Update Collaborator_Group Set Group_Name = 'HerzonS_YaleU' where Group_ID = 'CG00206'; </v>
      </c>
      <c r="T207" t="str">
        <f>"Update dcollab.collab_group Set group_code = '"&amp;I207&amp;"' where Group_ID = '"&amp;B207&amp;"'; "</f>
        <v xml:space="preserve">Update dcollab.collab_group Set group_code = 'HerzonS_YaleU' where Group_ID = 'CGRP00207'; </v>
      </c>
    </row>
    <row r="208" spans="1:20">
      <c r="A208" t="s">
        <v>1695</v>
      </c>
      <c r="B208" t="s">
        <v>9269</v>
      </c>
      <c r="D208" t="s">
        <v>1694</v>
      </c>
      <c r="E208" t="s">
        <v>1699</v>
      </c>
      <c r="F208">
        <f>LEN(I208)</f>
        <v>20</v>
      </c>
      <c r="G208" t="str">
        <f>VLOOKUP(E208,Organisation!$A$2:$C$499,3,FALSE)</f>
        <v>CORG00312</v>
      </c>
      <c r="H208" t="str">
        <f>VLOOKUP(G208,Organisation!$C$2:$E$318,3,FALSE)</f>
        <v>YerevanSU</v>
      </c>
      <c r="I208" t="s">
        <v>5489</v>
      </c>
      <c r="J208">
        <f t="shared" si="3"/>
        <v>1</v>
      </c>
      <c r="L208" t="s">
        <v>1447</v>
      </c>
      <c r="M208" t="s">
        <v>1700</v>
      </c>
      <c r="N208" t="s">
        <v>1701</v>
      </c>
      <c r="P208" t="s">
        <v>8866</v>
      </c>
      <c r="Q208" s="1">
        <v>1</v>
      </c>
      <c r="R208" t="str">
        <f>"Update Collaborator_Group Set Organisation = '"&amp;E208&amp;"' where Group_ID = '"&amp;A208&amp;"'; "</f>
        <v xml:space="preserve">Update Collaborator_Group Set Organisation = 'Yerevan State University' where Group_ID = 'CG00207'; </v>
      </c>
      <c r="S208" t="str">
        <f>"Update Collaborator_Group Set Group_Name = '"&amp;I208&amp;"' where Group_ID = '"&amp;A208&amp;"'; "</f>
        <v xml:space="preserve">Update Collaborator_Group Set Group_Name = 'DurgaryanN_YerevanSU' where Group_ID = 'CG00207'; </v>
      </c>
      <c r="T208" t="str">
        <f>"Update dcollab.collab_group Set group_code = '"&amp;I208&amp;"' where Group_ID = '"&amp;B208&amp;"'; "</f>
        <v xml:space="preserve">Update dcollab.collab_group Set group_code = 'DurgaryanN_YerevanSU' where Group_ID = 'CGRP00208'; </v>
      </c>
    </row>
    <row r="209" spans="1:20">
      <c r="A209" t="s">
        <v>578</v>
      </c>
      <c r="B209" t="s">
        <v>9075</v>
      </c>
      <c r="D209" t="s">
        <v>4689</v>
      </c>
      <c r="E209" t="s">
        <v>582</v>
      </c>
      <c r="F209">
        <f>LEN(I209)</f>
        <v>18</v>
      </c>
      <c r="G209" t="str">
        <f>VLOOKUP(E209,Organisation!$A$2:$C$499,3,FALSE)</f>
        <v>CORG00172</v>
      </c>
      <c r="H209" t="str">
        <f>VLOOKUP(G209,Organisation!$C$2:$E$318,3,FALSE)</f>
        <v>Scripps</v>
      </c>
      <c r="I209" t="s">
        <v>5637</v>
      </c>
      <c r="J209">
        <f t="shared" si="3"/>
        <v>1</v>
      </c>
      <c r="L209" t="s">
        <v>84</v>
      </c>
      <c r="M209" t="s">
        <v>583</v>
      </c>
      <c r="N209" t="s">
        <v>8808</v>
      </c>
      <c r="P209" t="s">
        <v>8866</v>
      </c>
      <c r="Q209" s="1">
        <v>1</v>
      </c>
      <c r="R209" t="str">
        <f>"Update Collaborator_Group Set Organisation = '"&amp;E209&amp;"' where Group_ID = '"&amp;A209&amp;"'; "</f>
        <v xml:space="preserve">Update Collaborator_Group Set Organisation = 'Scripps Research Institute' where Group_ID = 'CG00208'; </v>
      </c>
      <c r="S209" t="str">
        <f>"Update Collaborator_Group Set Group_Name = '"&amp;I209&amp;"' where Group_ID = '"&amp;A209&amp;"'; "</f>
        <v xml:space="preserve">Update Collaborator_Group Set Group_Name = 'SharplessK_Scripps' where Group_ID = 'CG00208'; </v>
      </c>
      <c r="T209" t="str">
        <f>"Update dcollab.collab_group Set group_code = '"&amp;I209&amp;"' where Group_ID = '"&amp;B209&amp;"'; "</f>
        <v xml:space="preserve">Update dcollab.collab_group Set group_code = 'SharplessK_Scripps' where Group_ID = 'CGRP00209'; </v>
      </c>
    </row>
    <row r="210" spans="1:20">
      <c r="A210" t="s">
        <v>143</v>
      </c>
      <c r="B210" t="s">
        <v>8883</v>
      </c>
      <c r="D210" t="s">
        <v>142</v>
      </c>
      <c r="E210" t="s">
        <v>92</v>
      </c>
      <c r="F210">
        <f>LEN(I210)</f>
        <v>19</v>
      </c>
      <c r="G210" t="str">
        <f>VLOOKUP(E210,Organisation!$A$2:$C$499,3,FALSE)</f>
        <v>CORG00011</v>
      </c>
      <c r="H210" t="str">
        <f>VLOOKUP(G210,Organisation!$C$2:$E$318,3,FALSE)</f>
        <v>AssiutU</v>
      </c>
      <c r="I210" t="s">
        <v>10460</v>
      </c>
      <c r="J210">
        <f t="shared" si="3"/>
        <v>1</v>
      </c>
      <c r="L210" t="s">
        <v>146</v>
      </c>
      <c r="M210" t="s">
        <v>147</v>
      </c>
      <c r="N210" t="s">
        <v>55</v>
      </c>
      <c r="P210" t="s">
        <v>8866</v>
      </c>
      <c r="Q210" s="1">
        <v>1</v>
      </c>
      <c r="R210" t="str">
        <f>"Update Collaborator_Group Set Organisation = '"&amp;E210&amp;"' where Group_ID = '"&amp;A210&amp;"'; "</f>
        <v xml:space="preserve">Update Collaborator_Group Set Organisation = 'Assiut University' where Group_ID = 'CG00209'; </v>
      </c>
      <c r="S210" t="str">
        <f>"Update Collaborator_Group Set Group_Name = '"&amp;I210&amp;"' where Group_ID = '"&amp;A210&amp;"'; "</f>
        <v xml:space="preserve">Update Collaborator_Group Set Group_Name = 'Abdu-AllahH_AssiutU' where Group_ID = 'CG00209'; </v>
      </c>
      <c r="T210" t="str">
        <f>"Update dcollab.collab_group Set group_code = '"&amp;I210&amp;"' where Group_ID = '"&amp;B210&amp;"'; "</f>
        <v xml:space="preserve">Update dcollab.collab_group Set group_code = 'Abdu-AllahH_AssiutU' where Group_ID = 'CGRP00210'; </v>
      </c>
    </row>
    <row r="211" spans="1:20">
      <c r="A211" t="s">
        <v>227</v>
      </c>
      <c r="B211" t="s">
        <v>8936</v>
      </c>
      <c r="D211" t="s">
        <v>1427</v>
      </c>
      <c r="E211" t="s">
        <v>8758</v>
      </c>
      <c r="F211">
        <f>LEN(I211)</f>
        <v>12</v>
      </c>
      <c r="G211" t="str">
        <f>VLOOKUP(E211,Organisation!$A$2:$C$499,3,FALSE)</f>
        <v>CORG00058</v>
      </c>
      <c r="H211" t="str">
        <f>VLOOKUP(G211,Organisation!$C$2:$E$318,3,FALSE)</f>
        <v>UFABC</v>
      </c>
      <c r="I211" t="s">
        <v>5750</v>
      </c>
      <c r="J211">
        <f t="shared" si="3"/>
        <v>1</v>
      </c>
      <c r="L211" t="s">
        <v>232</v>
      </c>
      <c r="M211" t="s">
        <v>233</v>
      </c>
      <c r="N211" t="s">
        <v>234</v>
      </c>
      <c r="P211" t="s">
        <v>8866</v>
      </c>
      <c r="Q211" s="1">
        <v>1</v>
      </c>
      <c r="R211" t="str">
        <f>"Update Collaborator_Group Set Organisation = '"&amp;E211&amp;"' where Group_ID = '"&amp;A211&amp;"'; "</f>
        <v xml:space="preserve">Update Collaborator_Group Set Organisation = 'Federal University of ABC' where Group_ID = 'CG00210'; </v>
      </c>
      <c r="S211" t="str">
        <f>"Update Collaborator_Group Set Group_Name = '"&amp;I211&amp;"' where Group_ID = '"&amp;A211&amp;"'; "</f>
        <v xml:space="preserve">Update Collaborator_Group Set Group_Name = 'CunhaR_UFABC' where Group_ID = 'CG00210'; </v>
      </c>
      <c r="T211" t="str">
        <f>"Update dcollab.collab_group Set group_code = '"&amp;I211&amp;"' where Group_ID = '"&amp;B211&amp;"'; "</f>
        <v xml:space="preserve">Update dcollab.collab_group Set group_code = 'CunhaR_UFABC' where Group_ID = 'CGRP00211'; </v>
      </c>
    </row>
    <row r="212" spans="1:20">
      <c r="A212" t="s">
        <v>1367</v>
      </c>
      <c r="B212" t="s">
        <v>9200</v>
      </c>
      <c r="D212" t="s">
        <v>3149</v>
      </c>
      <c r="E212" t="s">
        <v>362</v>
      </c>
      <c r="F212">
        <f>LEN(I212)</f>
        <v>11</v>
      </c>
      <c r="G212" t="str">
        <f>VLOOKUP(E212,Organisation!$A$2:$C$499,3,FALSE)</f>
        <v>CORG00001</v>
      </c>
      <c r="H212" t="str">
        <f>VLOOKUP(G212,Organisation!$C$2:$E$318,3,FALSE)</f>
        <v>UQ</v>
      </c>
      <c r="I212" t="s">
        <v>5551</v>
      </c>
      <c r="J212">
        <f t="shared" si="3"/>
        <v>1</v>
      </c>
      <c r="L212" t="s">
        <v>1370</v>
      </c>
      <c r="N212" t="s">
        <v>14</v>
      </c>
      <c r="P212" t="s">
        <v>8866</v>
      </c>
      <c r="Q212" s="1">
        <v>1</v>
      </c>
      <c r="R212" t="str">
        <f>"Update Collaborator_Group Set Organisation = '"&amp;E212&amp;"' where Group_ID = '"&amp;A212&amp;"'; "</f>
        <v xml:space="preserve">Update Collaborator_Group Set Organisation = 'University of Queensland' where Group_ID = 'CG00211'; </v>
      </c>
      <c r="S212" t="str">
        <f>"Update Collaborator_Group Set Group_Name = '"&amp;I212&amp;"' where Group_ID = '"&amp;A212&amp;"'; "</f>
        <v xml:space="preserve">Update Collaborator_Group Set Group_Name = 'LaycockB_UQ' where Group_ID = 'CG00211'; </v>
      </c>
      <c r="T212" t="str">
        <f>"Update dcollab.collab_group Set group_code = '"&amp;I212&amp;"' where Group_ID = '"&amp;B212&amp;"'; "</f>
        <v xml:space="preserve">Update dcollab.collab_group Set group_code = 'LaycockB_UQ' where Group_ID = 'CGRP00212'; </v>
      </c>
    </row>
    <row r="213" spans="1:20">
      <c r="A213" t="s">
        <v>2981</v>
      </c>
      <c r="B213" t="s">
        <v>9201</v>
      </c>
      <c r="D213" t="s">
        <v>2980</v>
      </c>
      <c r="E213" t="s">
        <v>362</v>
      </c>
      <c r="F213">
        <f>LEN(I213)</f>
        <v>8</v>
      </c>
      <c r="G213" t="str">
        <f>VLOOKUP(E213,Organisation!$A$2:$C$499,3,FALSE)</f>
        <v>CORG00001</v>
      </c>
      <c r="H213" t="str">
        <f>VLOOKUP(G213,Organisation!$C$2:$E$318,3,FALSE)</f>
        <v>UQ</v>
      </c>
      <c r="I213" t="s">
        <v>5552</v>
      </c>
      <c r="J213">
        <f t="shared" si="3"/>
        <v>1</v>
      </c>
      <c r="L213" t="s">
        <v>2789</v>
      </c>
      <c r="N213" t="s">
        <v>14</v>
      </c>
      <c r="P213" t="s">
        <v>8866</v>
      </c>
      <c r="Q213" s="1">
        <v>1</v>
      </c>
      <c r="R213" t="str">
        <f>"Update Collaborator_Group Set Organisation = '"&amp;E213&amp;"' where Group_ID = '"&amp;A213&amp;"'; "</f>
        <v xml:space="preserve">Update Collaborator_Group Set Organisation = 'University of Queensland' where Group_ID = 'CG00212'; </v>
      </c>
      <c r="S213" t="str">
        <f>"Update Collaborator_Group Set Group_Name = '"&amp;I213&amp;"' where Group_ID = '"&amp;A213&amp;"'; "</f>
        <v xml:space="preserve">Update Collaborator_Group Set Group_Name = 'KobeB_UQ' where Group_ID = 'CG00212'; </v>
      </c>
      <c r="T213" t="str">
        <f>"Update dcollab.collab_group Set group_code = '"&amp;I213&amp;"' where Group_ID = '"&amp;B213&amp;"'; "</f>
        <v xml:space="preserve">Update dcollab.collab_group Set group_code = 'KobeB_UQ' where Group_ID = 'CGRP00213'; </v>
      </c>
    </row>
    <row r="214" spans="1:20">
      <c r="A214" t="s">
        <v>3896</v>
      </c>
      <c r="B214" t="s">
        <v>9057</v>
      </c>
      <c r="D214" t="s">
        <v>3895</v>
      </c>
      <c r="E214" t="s">
        <v>3899</v>
      </c>
      <c r="F214">
        <f>LEN(I214)</f>
        <v>25</v>
      </c>
      <c r="G214" t="str">
        <f>VLOOKUP(E214,Organisation!$A$2:$C$499,3,FALSE)</f>
        <v>CORG00155</v>
      </c>
      <c r="H214" t="str">
        <f>VLOOKUP(G214,Organisation!$C$2:$E$318,3,FALSE)</f>
        <v>PolishAcadSci</v>
      </c>
      <c r="I214" t="s">
        <v>5654</v>
      </c>
      <c r="J214">
        <f t="shared" si="3"/>
        <v>1</v>
      </c>
      <c r="L214" t="s">
        <v>3900</v>
      </c>
      <c r="M214" t="s">
        <v>3901</v>
      </c>
      <c r="N214" t="s">
        <v>848</v>
      </c>
      <c r="P214" t="s">
        <v>8866</v>
      </c>
      <c r="Q214" s="1">
        <v>1</v>
      </c>
      <c r="R214" t="str">
        <f>"Update Collaborator_Group Set Organisation = '"&amp;E214&amp;"' where Group_ID = '"&amp;A214&amp;"'; "</f>
        <v xml:space="preserve">Update Collaborator_Group Set Organisation = 'Polish Academy of Sciences' where Group_ID = 'CG00213'; </v>
      </c>
      <c r="S214" t="str">
        <f>"Update Collaborator_Group Set Group_Name = '"&amp;I214&amp;"' where Group_ID = '"&amp;A214&amp;"'; "</f>
        <v xml:space="preserve">Update Collaborator_Group Set Group_Name = 'OlejniczakA_PolishAcadSci' where Group_ID = 'CG00213'; </v>
      </c>
      <c r="T214" t="str">
        <f>"Update dcollab.collab_group Set group_code = '"&amp;I214&amp;"' where Group_ID = '"&amp;B214&amp;"'; "</f>
        <v xml:space="preserve">Update dcollab.collab_group Set group_code = 'OlejniczakA_PolishAcadSci' where Group_ID = 'CGRP00214'; </v>
      </c>
    </row>
    <row r="215" spans="1:20">
      <c r="A215" t="s">
        <v>166</v>
      </c>
      <c r="B215" t="s">
        <v>9124</v>
      </c>
      <c r="D215" t="s">
        <v>165</v>
      </c>
      <c r="E215" t="s">
        <v>169</v>
      </c>
      <c r="F215">
        <f>LEN(I215)</f>
        <v>16</v>
      </c>
      <c r="G215" t="str">
        <f>VLOOKUP(E215,Organisation!$A$2:$C$499,3,FALSE)</f>
        <v>CORG00212</v>
      </c>
      <c r="H215" t="str">
        <f>VLOOKUP(G215,Organisation!$C$2:$E$318,3,FALSE)</f>
        <v>UAdelaide</v>
      </c>
      <c r="I215" t="s">
        <v>5609</v>
      </c>
      <c r="J215">
        <f t="shared" si="3"/>
        <v>1</v>
      </c>
      <c r="L215" t="s">
        <v>170</v>
      </c>
      <c r="N215" t="s">
        <v>14</v>
      </c>
      <c r="P215" t="s">
        <v>8866</v>
      </c>
      <c r="Q215" s="1">
        <v>1</v>
      </c>
      <c r="R215" t="str">
        <f>"Update Collaborator_Group Set Organisation = '"&amp;E215&amp;"' where Group_ID = '"&amp;A215&amp;"'; "</f>
        <v xml:space="preserve">Update Collaborator_Group Set Organisation = 'University of Adelaide' where Group_ID = 'CG00214'; </v>
      </c>
      <c r="S215" t="str">
        <f>"Update Collaborator_Group Set Group_Name = '"&amp;I215&amp;"' where Group_ID = '"&amp;A215&amp;"'; "</f>
        <v xml:space="preserve">Update Collaborator_Group Set Group_Name = 'AbellA_UAdelaide' where Group_ID = 'CG00214'; </v>
      </c>
      <c r="T215" t="str">
        <f>"Update dcollab.collab_group Set group_code = '"&amp;I215&amp;"' where Group_ID = '"&amp;B215&amp;"'; "</f>
        <v xml:space="preserve">Update dcollab.collab_group Set group_code = 'AbellA_UAdelaide' where Group_ID = 'CGRP00215'; </v>
      </c>
    </row>
    <row r="216" spans="1:20">
      <c r="A216" t="s">
        <v>195</v>
      </c>
      <c r="B216" t="s">
        <v>8875</v>
      </c>
      <c r="D216" t="s">
        <v>194</v>
      </c>
      <c r="E216" t="s">
        <v>199</v>
      </c>
      <c r="F216">
        <f>LEN(I216)</f>
        <v>18</v>
      </c>
      <c r="G216" t="str">
        <f>VLOOKUP(E216,Organisation!$A$2:$C$499,3,FALSE)</f>
        <v>CORG00004</v>
      </c>
      <c r="H216" t="str">
        <f>VLOOKUP(G216,Organisation!$C$2:$E$318,3,FALSE)</f>
        <v>AinShamsU</v>
      </c>
      <c r="I216" t="s">
        <v>5795</v>
      </c>
      <c r="J216">
        <f t="shared" si="3"/>
        <v>1</v>
      </c>
      <c r="L216" t="s">
        <v>53</v>
      </c>
      <c r="M216" t="s">
        <v>200</v>
      </c>
      <c r="N216" t="s">
        <v>55</v>
      </c>
      <c r="P216" t="s">
        <v>8866</v>
      </c>
      <c r="Q216" s="1">
        <v>1</v>
      </c>
      <c r="R216" t="str">
        <f>"Update Collaborator_Group Set Organisation = '"&amp;E216&amp;"' where Group_ID = '"&amp;A216&amp;"'; "</f>
        <v xml:space="preserve">Update Collaborator_Group Set Organisation = 'Ain Shams University' where Group_ID = 'CG00215'; </v>
      </c>
      <c r="S216" t="str">
        <f>"Update Collaborator_Group Set Group_Name = '"&amp;I216&amp;"' where Group_ID = '"&amp;A216&amp;"'; "</f>
        <v xml:space="preserve">Update Collaborator_Group Set Group_Name = 'AbouzidK_AinShamsU' where Group_ID = 'CG00215'; </v>
      </c>
      <c r="T216" t="str">
        <f>"Update dcollab.collab_group Set group_code = '"&amp;I216&amp;"' where Group_ID = '"&amp;B216&amp;"'; "</f>
        <v xml:space="preserve">Update dcollab.collab_group Set group_code = 'AbouzidK_AinShamsU' where Group_ID = 'CGRP00216'; </v>
      </c>
    </row>
    <row r="217" spans="1:20">
      <c r="A217" t="s">
        <v>5362</v>
      </c>
      <c r="B217" t="s">
        <v>8966</v>
      </c>
      <c r="D217" t="s">
        <v>5361</v>
      </c>
      <c r="E217" t="s">
        <v>5365</v>
      </c>
      <c r="F217">
        <f>LEN(I217)</f>
        <v>9</v>
      </c>
      <c r="G217" t="str">
        <f>VLOOKUP(E217,Organisation!$A$2:$C$499,3,FALSE)</f>
        <v>CORG00082</v>
      </c>
      <c r="H217" t="str">
        <f>VLOOKUP(G217,Organisation!$C$2:$E$318,3,FALSE)</f>
        <v>IBN</v>
      </c>
      <c r="I217" t="s">
        <v>5728</v>
      </c>
      <c r="J217">
        <f t="shared" si="3"/>
        <v>1</v>
      </c>
      <c r="L217" t="s">
        <v>5366</v>
      </c>
      <c r="M217" t="s">
        <v>5367</v>
      </c>
      <c r="N217" t="s">
        <v>459</v>
      </c>
      <c r="P217" t="s">
        <v>8866</v>
      </c>
      <c r="Q217" s="1">
        <v>1</v>
      </c>
      <c r="R217" t="str">
        <f>"Update Collaborator_Group Set Organisation = '"&amp;E217&amp;"' where Group_ID = '"&amp;A217&amp;"'; "</f>
        <v xml:space="preserve">Update Collaborator_Group Set Organisation = 'Institute of Bioengineering and Nanotechnology' where Group_ID = 'CG00216'; </v>
      </c>
      <c r="S217" t="str">
        <f>"Update Collaborator_Group Set Group_Name = '"&amp;I217&amp;"' where Group_ID = '"&amp;A217&amp;"'; "</f>
        <v xml:space="preserve">Update Collaborator_Group Set Group_Name = 'YangY_IBN' where Group_ID = 'CG00216'; </v>
      </c>
      <c r="T217" t="str">
        <f>"Update dcollab.collab_group Set group_code = '"&amp;I217&amp;"' where Group_ID = '"&amp;B217&amp;"'; "</f>
        <v xml:space="preserve">Update dcollab.collab_group Set group_code = 'YangY_IBN' where Group_ID = 'CGRP00217'; </v>
      </c>
    </row>
    <row r="218" spans="1:20">
      <c r="A218" t="s">
        <v>3730</v>
      </c>
      <c r="B218" t="s">
        <v>8933</v>
      </c>
      <c r="D218" t="s">
        <v>4602</v>
      </c>
      <c r="E218" t="s">
        <v>823</v>
      </c>
      <c r="F218">
        <f>LEN(I218)</f>
        <v>14</v>
      </c>
      <c r="G218" t="str">
        <f>VLOOKUP(E218,Organisation!$A$2:$C$499,3,FALSE)</f>
        <v>CORG00054</v>
      </c>
      <c r="H218" t="str">
        <f>VLOOKUP(G218,Organisation!$C$2:$E$318,3,FALSE)</f>
        <v>ETH</v>
      </c>
      <c r="I218" t="s">
        <v>5751</v>
      </c>
      <c r="J218">
        <f t="shared" si="3"/>
        <v>1</v>
      </c>
      <c r="L218" t="s">
        <v>824</v>
      </c>
      <c r="M218" t="s">
        <v>3733</v>
      </c>
      <c r="N218" t="s">
        <v>253</v>
      </c>
      <c r="P218" t="s">
        <v>8866</v>
      </c>
      <c r="Q218" s="1">
        <v>1</v>
      </c>
      <c r="R218" t="str">
        <f>"Update Collaborator_Group Set Organisation = '"&amp;E218&amp;"' where Group_ID = '"&amp;A218&amp;"'; "</f>
        <v xml:space="preserve">Update Collaborator_Group Set Organisation = 'ETH Zurich' where Group_ID = 'CG00217'; </v>
      </c>
      <c r="S218" t="str">
        <f>"Update Collaborator_Group Set Group_Name = '"&amp;I218&amp;"' where Group_ID = '"&amp;A218&amp;"'; "</f>
        <v xml:space="preserve">Update Collaborator_Group Set Group_Name = 'SchneiderG_ETH' where Group_ID = 'CG00217'; </v>
      </c>
      <c r="T218" t="str">
        <f>"Update dcollab.collab_group Set group_code = '"&amp;I218&amp;"' where Group_ID = '"&amp;B218&amp;"'; "</f>
        <v xml:space="preserve">Update dcollab.collab_group Set group_code = 'SchneiderG_ETH' where Group_ID = 'CGRP00218'; </v>
      </c>
    </row>
    <row r="219" spans="1:20">
      <c r="A219" t="s">
        <v>1877</v>
      </c>
      <c r="B219" t="s">
        <v>8943</v>
      </c>
      <c r="D219" t="s">
        <v>1876</v>
      </c>
      <c r="E219" t="s">
        <v>1881</v>
      </c>
      <c r="F219">
        <f>LEN(I219)</f>
        <v>18</v>
      </c>
      <c r="G219" t="str">
        <f>VLOOKUP(E219,Organisation!$A$2:$C$499,3,FALSE)</f>
        <v>CORG00066</v>
      </c>
      <c r="H219" t="str">
        <f>VLOOKUP(G219,Organisation!$C$2:$E$318,3,FALSE)</f>
        <v>GoshenC</v>
      </c>
      <c r="I219" t="s">
        <v>10461</v>
      </c>
      <c r="J219">
        <f t="shared" si="3"/>
        <v>1</v>
      </c>
      <c r="L219" t="s">
        <v>1882</v>
      </c>
      <c r="M219" t="s">
        <v>1883</v>
      </c>
      <c r="N219" t="s">
        <v>8808</v>
      </c>
      <c r="P219" t="s">
        <v>8866</v>
      </c>
      <c r="Q219" s="1">
        <v>1</v>
      </c>
      <c r="R219" t="str">
        <f>"Update Collaborator_Group Set Organisation = '"&amp;E219&amp;"' where Group_ID = '"&amp;A219&amp;"'; "</f>
        <v xml:space="preserve">Update Collaborator_Group Set Organisation = 'Goshen College' where Group_ID = 'CG00218'; </v>
      </c>
      <c r="S219" t="str">
        <f>"Update Collaborator_Group Set Group_Name = '"&amp;I219&amp;"' where Group_ID = '"&amp;A219&amp;"'; "</f>
        <v xml:space="preserve">Update Collaborator_Group Set Group_Name = 'EntwistleK_GoshenC' where Group_ID = 'CG00218'; </v>
      </c>
      <c r="T219" t="str">
        <f>"Update dcollab.collab_group Set group_code = '"&amp;I219&amp;"' where Group_ID = '"&amp;B219&amp;"'; "</f>
        <v xml:space="preserve">Update dcollab.collab_group Set group_code = 'EntwistleK_GoshenC' where Group_ID = 'CGRP00219'; </v>
      </c>
    </row>
    <row r="220" spans="1:20">
      <c r="A220" t="s">
        <v>1908</v>
      </c>
      <c r="B220" t="s">
        <v>9058</v>
      </c>
      <c r="D220" t="s">
        <v>1907</v>
      </c>
      <c r="E220" t="s">
        <v>371</v>
      </c>
      <c r="F220">
        <f>LEN(I220)</f>
        <v>19</v>
      </c>
      <c r="G220" t="str">
        <f>VLOOKUP(E220,Organisation!$A$2:$C$499,3,FALSE)</f>
        <v>CORG00156</v>
      </c>
      <c r="H220" t="str">
        <f>VLOOKUP(G220,Organisation!$C$2:$E$318,3,FALSE)</f>
        <v>QUT</v>
      </c>
      <c r="I220" t="s">
        <v>10462</v>
      </c>
      <c r="J220">
        <f t="shared" si="3"/>
        <v>1</v>
      </c>
      <c r="L220" t="s">
        <v>1912</v>
      </c>
      <c r="M220" t="s">
        <v>1913</v>
      </c>
      <c r="N220" t="s">
        <v>14</v>
      </c>
      <c r="P220" t="s">
        <v>8866</v>
      </c>
      <c r="Q220" s="1">
        <v>1</v>
      </c>
      <c r="R220" t="str">
        <f>"Update Collaborator_Group Set Organisation = '"&amp;E220&amp;"' where Group_ID = '"&amp;A220&amp;"'; "</f>
        <v xml:space="preserve">Update Collaborator_Group Set Organisation = 'Queensland University of Technology' where Group_ID = 'CG00219'; </v>
      </c>
      <c r="S220" t="str">
        <f>"Update Collaborator_Group Set Group_Name = '"&amp;I220&amp;"' where Group_ID = '"&amp;A220&amp;"'; "</f>
        <v xml:space="preserve">Update Collaborator_Group Set Group_Name = 'Fairfull-SmithK_QUT' where Group_ID = 'CG00219'; </v>
      </c>
      <c r="T220" t="str">
        <f>"Update dcollab.collab_group Set group_code = '"&amp;I220&amp;"' where Group_ID = '"&amp;B220&amp;"'; "</f>
        <v xml:space="preserve">Update dcollab.collab_group Set group_code = 'Fairfull-SmithK_QUT' where Group_ID = 'CGRP00220'; </v>
      </c>
    </row>
    <row r="221" spans="1:20">
      <c r="A221" t="s">
        <v>513</v>
      </c>
      <c r="B221" t="s">
        <v>9021</v>
      </c>
      <c r="D221" t="s">
        <v>512</v>
      </c>
      <c r="E221" t="s">
        <v>517</v>
      </c>
      <c r="F221">
        <f>LEN(I221)</f>
        <v>13</v>
      </c>
      <c r="G221" t="str">
        <f>VLOOKUP(E221,Organisation!$A$2:$C$499,3,FALSE)</f>
        <v>CORG00125</v>
      </c>
      <c r="H221" t="str">
        <f>VLOOKUP(G221,Organisation!$C$2:$E$318,3,FALSE)</f>
        <v>Monash</v>
      </c>
      <c r="I221" t="s">
        <v>5676</v>
      </c>
      <c r="J221">
        <f t="shared" si="3"/>
        <v>1</v>
      </c>
      <c r="L221" t="s">
        <v>8869</v>
      </c>
      <c r="N221" t="s">
        <v>14</v>
      </c>
      <c r="P221" t="s">
        <v>8866</v>
      </c>
      <c r="Q221" s="1">
        <v>1</v>
      </c>
      <c r="R221" t="str">
        <f>"Update Collaborator_Group Set Organisation = '"&amp;E221&amp;"' where Group_ID = '"&amp;A221&amp;"'; "</f>
        <v xml:space="preserve">Update Collaborator_Group Set Organisation = 'Monash University' where Group_ID = 'CG00220'; </v>
      </c>
      <c r="S221" t="str">
        <f>"Update Collaborator_Group Set Group_Name = '"&amp;I221&amp;"' where Group_ID = '"&amp;A221&amp;"'; "</f>
        <v xml:space="preserve">Update Collaborator_Group Set Group_Name = 'BaellJ_Monash' where Group_ID = 'CG00220'; </v>
      </c>
      <c r="T221" t="str">
        <f>"Update dcollab.collab_group Set group_code = '"&amp;I221&amp;"' where Group_ID = '"&amp;B221&amp;"'; "</f>
        <v xml:space="preserve">Update dcollab.collab_group Set group_code = 'BaellJ_Monash' where Group_ID = 'CGRP00221'; </v>
      </c>
    </row>
    <row r="222" spans="1:20">
      <c r="A222" t="s">
        <v>5389</v>
      </c>
      <c r="B222" t="s">
        <v>9227</v>
      </c>
      <c r="D222" t="s">
        <v>5388</v>
      </c>
      <c r="E222" t="s">
        <v>5390</v>
      </c>
      <c r="F222">
        <f>LEN(I222)</f>
        <v>10</v>
      </c>
      <c r="G222" t="str">
        <f>VLOOKUP(E222,Organisation!$A$2:$C$499,3,FALSE)</f>
        <v>CORG00278</v>
      </c>
      <c r="H222" t="str">
        <f>VLOOKUP(G222,Organisation!$C$2:$E$318,3,FALSE)</f>
        <v>USC</v>
      </c>
      <c r="I222" t="s">
        <v>5516</v>
      </c>
      <c r="J222">
        <f t="shared" si="3"/>
        <v>1</v>
      </c>
      <c r="L222" t="s">
        <v>5391</v>
      </c>
      <c r="M222" t="s">
        <v>5392</v>
      </c>
      <c r="N222" t="s">
        <v>14</v>
      </c>
      <c r="P222" t="s">
        <v>8866</v>
      </c>
      <c r="Q222" s="1">
        <v>1</v>
      </c>
      <c r="R222" t="str">
        <f>"Update Collaborator_Group Set Organisation = '"&amp;E222&amp;"' where Group_ID = '"&amp;A222&amp;"'; "</f>
        <v xml:space="preserve">Update Collaborator_Group Set Organisation = 'University of the Sunshine Coast' where Group_ID = 'CG00221'; </v>
      </c>
      <c r="S222" t="str">
        <f>"Update Collaborator_Group Set Group_Name = '"&amp;I222&amp;"' where Group_ID = '"&amp;A222&amp;"'; "</f>
        <v xml:space="preserve">Update Collaborator_Group Set Group_Name = 'YoungD_USC' where Group_ID = 'CG00221'; </v>
      </c>
      <c r="T222" t="str">
        <f>"Update dcollab.collab_group Set group_code = '"&amp;I222&amp;"' where Group_ID = '"&amp;B222&amp;"'; "</f>
        <v xml:space="preserve">Update dcollab.collab_group Set group_code = 'YoungD_USC' where Group_ID = 'CGRP00222'; </v>
      </c>
    </row>
    <row r="223" spans="1:20">
      <c r="A223" t="s">
        <v>613</v>
      </c>
      <c r="B223" t="s">
        <v>8990</v>
      </c>
      <c r="D223" t="s">
        <v>3712</v>
      </c>
      <c r="E223" t="s">
        <v>616</v>
      </c>
      <c r="F223">
        <f>LEN(I223)</f>
        <v>14</v>
      </c>
      <c r="G223" t="str">
        <f>VLOOKUP(E223,Organisation!$A$2:$C$499,3,FALSE)</f>
        <v>CORG00102</v>
      </c>
      <c r="H223" t="str">
        <f>VLOOKUP(G223,Organisation!$C$2:$E$318,3,FALSE)</f>
        <v>LaTrobe</v>
      </c>
      <c r="I223" t="s">
        <v>5705</v>
      </c>
      <c r="J223">
        <f t="shared" si="3"/>
        <v>1</v>
      </c>
      <c r="L223" t="s">
        <v>617</v>
      </c>
      <c r="M223" t="s">
        <v>618</v>
      </c>
      <c r="N223" t="s">
        <v>14</v>
      </c>
      <c r="P223" t="s">
        <v>8866</v>
      </c>
      <c r="Q223" s="1">
        <v>1</v>
      </c>
      <c r="R223" t="str">
        <f>"Update Collaborator_Group Set Organisation = '"&amp;E223&amp;"' where Group_ID = '"&amp;A223&amp;"'; "</f>
        <v xml:space="preserve">Update Collaborator_Group Set Organisation = 'La Trobe University' where Group_ID = 'CG00222'; </v>
      </c>
      <c r="S223" t="str">
        <f>"Update Collaborator_Group Set Group_Name = '"&amp;I223&amp;"' where Group_ID = '"&amp;A223&amp;"'; "</f>
        <v xml:space="preserve">Update Collaborator_Group Set Group_Name = 'MosesJ_LaTrobe' where Group_ID = 'CG00222'; </v>
      </c>
      <c r="T223" t="str">
        <f>"Update dcollab.collab_group Set group_code = '"&amp;I223&amp;"' where Group_ID = '"&amp;B223&amp;"'; "</f>
        <v xml:space="preserve">Update dcollab.collab_group Set group_code = 'MosesJ_LaTrobe' where Group_ID = 'CGRP00223'; </v>
      </c>
    </row>
    <row r="224" spans="1:20">
      <c r="A224" t="s">
        <v>1856</v>
      </c>
      <c r="B224" t="s">
        <v>8877</v>
      </c>
      <c r="D224" t="s">
        <v>1855</v>
      </c>
      <c r="E224" t="s">
        <v>160</v>
      </c>
      <c r="F224">
        <f>LEN(I224)</f>
        <v>18</v>
      </c>
      <c r="G224" t="str">
        <f>VLOOKUP(E224,Organisation!$A$2:$C$499,3,FALSE)</f>
        <v>CORG00006</v>
      </c>
      <c r="H224" t="str">
        <f>VLOOKUP(G224,Organisation!$C$2:$E$318,3,FALSE)</f>
        <v>AlAzharU</v>
      </c>
      <c r="I224" t="s">
        <v>5793</v>
      </c>
      <c r="J224">
        <f t="shared" si="3"/>
        <v>1</v>
      </c>
      <c r="L224" t="s">
        <v>1860</v>
      </c>
      <c r="M224" t="s">
        <v>1861</v>
      </c>
      <c r="N224" t="s">
        <v>55</v>
      </c>
      <c r="P224" t="s">
        <v>8866</v>
      </c>
      <c r="Q224" s="1">
        <v>1</v>
      </c>
      <c r="R224" t="str">
        <f>"Update Collaborator_Group Set Organisation = '"&amp;E224&amp;"' where Group_ID = '"&amp;A224&amp;"'; "</f>
        <v xml:space="preserve">Update Collaborator_Group Set Organisation = 'Al-Azhar University' where Group_ID = 'CG00223'; </v>
      </c>
      <c r="S224" t="str">
        <f>"Update Collaborator_Group Set Group_Name = '"&amp;I224&amp;"' where Group_ID = '"&amp;A224&amp;"'; "</f>
        <v xml:space="preserve">Update Collaborator_Group Set Group_Name = 'ElzahabiH_AlAzharU' where Group_ID = 'CG00223'; </v>
      </c>
      <c r="T224" t="str">
        <f>"Update dcollab.collab_group Set group_code = '"&amp;I224&amp;"' where Group_ID = '"&amp;B224&amp;"'; "</f>
        <v xml:space="preserve">Update dcollab.collab_group Set group_code = 'ElzahabiH_AlAzharU' where Group_ID = 'CGRP00224'; </v>
      </c>
    </row>
    <row r="225" spans="1:20">
      <c r="A225" t="s">
        <v>2786</v>
      </c>
      <c r="B225" t="s">
        <v>9202</v>
      </c>
      <c r="D225" t="s">
        <v>3580</v>
      </c>
      <c r="E225" t="s">
        <v>362</v>
      </c>
      <c r="F225">
        <f>LEN(I225)</f>
        <v>11</v>
      </c>
      <c r="G225" t="str">
        <f>VLOOKUP(E225,Organisation!$A$2:$C$499,3,FALSE)</f>
        <v>CORG00001</v>
      </c>
      <c r="H225" t="str">
        <f>VLOOKUP(G225,Organisation!$C$2:$E$318,3,FALSE)</f>
        <v>UQ</v>
      </c>
      <c r="I225" t="s">
        <v>5553</v>
      </c>
      <c r="J225">
        <f t="shared" si="3"/>
        <v>1</v>
      </c>
      <c r="L225" t="s">
        <v>2789</v>
      </c>
      <c r="M225" t="s">
        <v>2790</v>
      </c>
      <c r="N225" t="s">
        <v>14</v>
      </c>
      <c r="P225" t="s">
        <v>8866</v>
      </c>
      <c r="Q225" s="1">
        <v>1</v>
      </c>
      <c r="R225" t="str">
        <f>"Update Collaborator_Group Set Organisation = '"&amp;E225&amp;"' where Group_ID = '"&amp;A225&amp;"'; "</f>
        <v xml:space="preserve">Update Collaborator_Group Set Organisation = 'University of Queensland' where Group_ID = 'CG00224'; </v>
      </c>
      <c r="S225" t="str">
        <f>"Update Collaborator_Group Set Group_Name = '"&amp;I225&amp;"' where Group_ID = '"&amp;A225&amp;"'; "</f>
        <v xml:space="preserve">Update Collaborator_Group Set Group_Name = 'McGearyR_UQ' where Group_ID = 'CG00224'; </v>
      </c>
      <c r="T225" t="str">
        <f>"Update dcollab.collab_group Set group_code = '"&amp;I225&amp;"' where Group_ID = '"&amp;B225&amp;"'; "</f>
        <v xml:space="preserve">Update dcollab.collab_group Set group_code = 'McGearyR_UQ' where Group_ID = 'CGRP00225'; </v>
      </c>
    </row>
    <row r="226" spans="1:20">
      <c r="A226" t="s">
        <v>2187</v>
      </c>
      <c r="B226" t="s">
        <v>9000</v>
      </c>
      <c r="D226" t="s">
        <v>2186</v>
      </c>
      <c r="E226" t="s">
        <v>2189</v>
      </c>
      <c r="F226">
        <f>LEN(I226)</f>
        <v>13</v>
      </c>
      <c r="G226" t="str">
        <f>VLOOKUP(E226,Organisation!$A$2:$C$499,3,FALSE)</f>
        <v>CORG00107</v>
      </c>
      <c r="H226" t="str">
        <f>VLOOKUP(G226,Organisation!$C$2:$E$318,3,FALSE)</f>
        <v>MKBU</v>
      </c>
      <c r="I226" t="s">
        <v>5698</v>
      </c>
      <c r="J226">
        <f t="shared" si="3"/>
        <v>1</v>
      </c>
      <c r="L226" t="s">
        <v>73</v>
      </c>
      <c r="M226" t="s">
        <v>2190</v>
      </c>
      <c r="N226" t="s">
        <v>211</v>
      </c>
      <c r="P226" t="s">
        <v>8866</v>
      </c>
      <c r="Q226" s="1">
        <v>1</v>
      </c>
      <c r="R226" t="str">
        <f>"Update Collaborator_Group Set Organisation = '"&amp;E226&amp;"' where Group_ID = '"&amp;A226&amp;"'; "</f>
        <v xml:space="preserve">Update Collaborator_Group Set Organisation = 'Maharaja Krishnakumarsinhji Bhavnagar University' where Group_ID = 'CG00225'; </v>
      </c>
      <c r="S226" t="str">
        <f>"Update Collaborator_Group Set Group_Name = '"&amp;I226&amp;"' where Group_ID = '"&amp;A226&amp;"'; "</f>
        <v xml:space="preserve">Update Collaborator_Group Set Group_Name = 'GodhaniD_MKBU' where Group_ID = 'CG00225'; </v>
      </c>
      <c r="T226" t="str">
        <f>"Update dcollab.collab_group Set group_code = '"&amp;I226&amp;"' where Group_ID = '"&amp;B226&amp;"'; "</f>
        <v xml:space="preserve">Update dcollab.collab_group Set group_code = 'GodhaniD_MKBU' where Group_ID = 'CGRP00226'; </v>
      </c>
    </row>
    <row r="227" spans="1:20">
      <c r="A227" t="s">
        <v>2611</v>
      </c>
      <c r="B227" t="s">
        <v>8924</v>
      </c>
      <c r="D227" t="s">
        <v>3227</v>
      </c>
      <c r="E227" t="s">
        <v>2614</v>
      </c>
      <c r="F227">
        <f>LEN(I227)</f>
        <v>13</v>
      </c>
      <c r="G227" t="str">
        <f>VLOOKUP(E227,Organisation!$A$2:$C$499,3,FALSE)</f>
        <v>CORG00046</v>
      </c>
      <c r="H227" t="str">
        <f>VLOOKUP(G227,Organisation!$C$2:$E$318,3,FALSE)</f>
        <v>DalainUT</v>
      </c>
      <c r="I227" t="s">
        <v>5758</v>
      </c>
      <c r="J227">
        <f t="shared" si="3"/>
        <v>1</v>
      </c>
      <c r="L227" t="s">
        <v>2615</v>
      </c>
      <c r="M227" t="s">
        <v>2616</v>
      </c>
      <c r="N227" t="s">
        <v>748</v>
      </c>
      <c r="P227" t="s">
        <v>8866</v>
      </c>
      <c r="Q227" s="1">
        <v>1</v>
      </c>
      <c r="R227" t="str">
        <f>"Update Collaborator_Group Set Organisation = '"&amp;E227&amp;"' where Group_ID = '"&amp;A227&amp;"'; "</f>
        <v xml:space="preserve">Update Collaborator_Group Set Organisation = 'Dalain University of Technology' where Group_ID = 'CG00226'; </v>
      </c>
      <c r="S227" t="str">
        <f>"Update Collaborator_Group Set Group_Name = '"&amp;I227&amp;"' where Group_ID = '"&amp;A227&amp;"'; "</f>
        <v xml:space="preserve">Update Collaborator_Group Set Group_Name = 'LiuJ_DalainUT' where Group_ID = 'CG00226'; </v>
      </c>
      <c r="T227" t="str">
        <f>"Update dcollab.collab_group Set group_code = '"&amp;I227&amp;"' where Group_ID = '"&amp;B227&amp;"'; "</f>
        <v xml:space="preserve">Update dcollab.collab_group Set group_code = 'LiuJ_DalainUT' where Group_ID = 'CGRP00227'; </v>
      </c>
    </row>
    <row r="228" spans="1:20">
      <c r="A228" t="s">
        <v>3326</v>
      </c>
      <c r="B228" t="s">
        <v>9118</v>
      </c>
      <c r="D228" t="s">
        <v>3890</v>
      </c>
      <c r="E228" t="s">
        <v>1234</v>
      </c>
      <c r="F228">
        <f>LEN(I228)</f>
        <v>17</v>
      </c>
      <c r="G228" t="str">
        <f>VLOOKUP(E228,Organisation!$A$2:$C$499,3,FALSE)</f>
        <v>CORG00209</v>
      </c>
      <c r="H228" t="str">
        <f>VLOOKUP(G228,Organisation!$C$2:$E$318,3,FALSE)</f>
        <v>UCCork</v>
      </c>
      <c r="I228" t="s">
        <v>10552</v>
      </c>
      <c r="J228">
        <f t="shared" si="3"/>
        <v>1</v>
      </c>
      <c r="L228" t="s">
        <v>73</v>
      </c>
      <c r="M228" t="s">
        <v>3892</v>
      </c>
      <c r="N228" t="s">
        <v>1235</v>
      </c>
      <c r="P228" t="s">
        <v>8866</v>
      </c>
      <c r="Q228" s="1">
        <v>1</v>
      </c>
      <c r="R228" t="str">
        <f>"Update Collaborator_Group Set Organisation = '"&amp;E228&amp;"' where Group_ID = '"&amp;A228&amp;"'; "</f>
        <v xml:space="preserve">Update Collaborator_Group Set Organisation = 'University College Cork' where Group_ID = 'CG00227'; </v>
      </c>
      <c r="S228" t="str">
        <f>"Update Collaborator_Group Set Group_Name = '"&amp;I228&amp;"' where Group_ID = '"&amp;A228&amp;"'; "</f>
        <v xml:space="preserve">Update Collaborator_Group Set Group_Name = 'OSullivanT_UCCork' where Group_ID = 'CG00227'; </v>
      </c>
      <c r="T228" t="str">
        <f>"Update dcollab.collab_group Set group_code = '"&amp;I228&amp;"' where Group_ID = '"&amp;B228&amp;"'; "</f>
        <v xml:space="preserve">Update dcollab.collab_group Set group_code = 'OSullivanT_UCCork' where Group_ID = 'CGRP00228'; </v>
      </c>
    </row>
    <row r="229" spans="1:20">
      <c r="A229" t="s">
        <v>420</v>
      </c>
      <c r="B229" t="s">
        <v>8971</v>
      </c>
      <c r="D229" t="s">
        <v>419</v>
      </c>
      <c r="E229" t="s">
        <v>424</v>
      </c>
      <c r="F229">
        <f>LEN(I229)</f>
        <v>18</v>
      </c>
      <c r="G229" t="str">
        <f>VLOOKUP(E229,Organisation!$A$2:$C$499,3,FALSE)</f>
        <v>CORG00086</v>
      </c>
      <c r="H229" t="str">
        <f>VLOOKUP(G229,Organisation!$C$2:$E$318,3,FALSE)</f>
        <v>IPUkraine</v>
      </c>
      <c r="I229" t="s">
        <v>5723</v>
      </c>
      <c r="J229">
        <f t="shared" si="3"/>
        <v>1</v>
      </c>
      <c r="L229" t="s">
        <v>425</v>
      </c>
      <c r="M229" t="s">
        <v>426</v>
      </c>
      <c r="N229" t="s">
        <v>427</v>
      </c>
      <c r="P229" t="s">
        <v>8866</v>
      </c>
      <c r="Q229" s="1">
        <v>1</v>
      </c>
      <c r="R229" t="str">
        <f>"Update Collaborator_Group Set Organisation = '"&amp;E229&amp;"' where Group_ID = '"&amp;A229&amp;"'; "</f>
        <v xml:space="preserve">Update Collaborator_Group Set Organisation = 'Institute of Pharmacology and Toxicology of Ukraine' where Group_ID = 'CG00228'; </v>
      </c>
      <c r="S229" t="str">
        <f>"Update Collaborator_Group Set Group_Name = '"&amp;I229&amp;"' where Group_ID = '"&amp;A229&amp;"'; "</f>
        <v xml:space="preserve">Update Collaborator_Group Set Group_Name = 'AnatolyD_IPUkraine' where Group_ID = 'CG00228'; </v>
      </c>
      <c r="T229" t="str">
        <f>"Update dcollab.collab_group Set group_code = '"&amp;I229&amp;"' where Group_ID = '"&amp;B229&amp;"'; "</f>
        <v xml:space="preserve">Update dcollab.collab_group Set group_code = 'AnatolyD_IPUkraine' where Group_ID = 'CGRP00229'; </v>
      </c>
    </row>
    <row r="230" spans="1:20">
      <c r="A230" t="s">
        <v>263</v>
      </c>
      <c r="B230" t="s">
        <v>9138</v>
      </c>
      <c r="D230" t="s">
        <v>262</v>
      </c>
      <c r="E230" t="s">
        <v>267</v>
      </c>
      <c r="F230">
        <f>LEN(I230)</f>
        <v>18</v>
      </c>
      <c r="G230" t="str">
        <f>VLOOKUP(E230,Organisation!$A$2:$C$499,3,FALSE)</f>
        <v>CORG00220</v>
      </c>
      <c r="H230" t="str">
        <f>VLOOKUP(G230,Organisation!$C$2:$E$318,3,FALSE)</f>
        <v>UBristol</v>
      </c>
      <c r="I230" t="s">
        <v>5594</v>
      </c>
      <c r="J230">
        <f t="shared" si="3"/>
        <v>1</v>
      </c>
      <c r="L230" t="s">
        <v>170</v>
      </c>
      <c r="M230" t="s">
        <v>268</v>
      </c>
      <c r="N230" t="s">
        <v>269</v>
      </c>
      <c r="O230" t="s">
        <v>5593</v>
      </c>
      <c r="P230" t="s">
        <v>8867</v>
      </c>
      <c r="Q230" s="1">
        <v>1</v>
      </c>
      <c r="R230" t="str">
        <f>"Update Collaborator_Group Set Organisation = '"&amp;E230&amp;"' where Group_ID = '"&amp;A230&amp;"'; "</f>
        <v xml:space="preserve">Update Collaborator_Group Set Organisation = 'University of Bristol' where Group_ID = 'CG00229'; </v>
      </c>
      <c r="S230" t="str">
        <f>"Update Collaborator_Group Set Group_Name = '"&amp;I230&amp;"' where Group_ID = '"&amp;A230&amp;"'; "</f>
        <v xml:space="preserve">Update Collaborator_Group Set Group_Name = 'AggarwalV_UBristol' where Group_ID = 'CG00229'; </v>
      </c>
      <c r="T230" t="str">
        <f>"Update dcollab.collab_group Set group_code = '"&amp;I230&amp;"' where Group_ID = '"&amp;B230&amp;"'; "</f>
        <v xml:space="preserve">Update dcollab.collab_group Set group_code = 'AggarwalV_UBristol' where Group_ID = 'CGRP00230'; </v>
      </c>
    </row>
    <row r="231" spans="1:20">
      <c r="A231" t="s">
        <v>3040</v>
      </c>
      <c r="B231" t="s">
        <v>8893</v>
      </c>
      <c r="D231" t="s">
        <v>3651</v>
      </c>
      <c r="E231" t="s">
        <v>3654</v>
      </c>
      <c r="F231">
        <f>LEN(I231)</f>
        <v>17</v>
      </c>
      <c r="G231" t="str">
        <f>VLOOKUP(E231,Organisation!$A$2:$C$499,3,FALSE)</f>
        <v>CORG00017</v>
      </c>
      <c r="H231" t="str">
        <f>VLOOKUP(G231,Organisation!$C$2:$E$318,3,FALSE)</f>
        <v>BUWuppertal</v>
      </c>
      <c r="I231" t="s">
        <v>5780</v>
      </c>
      <c r="J231">
        <f t="shared" si="3"/>
        <v>1</v>
      </c>
      <c r="L231" t="s">
        <v>3655</v>
      </c>
      <c r="M231" t="s">
        <v>3656</v>
      </c>
      <c r="N231" t="s">
        <v>557</v>
      </c>
      <c r="P231" t="s">
        <v>8866</v>
      </c>
      <c r="Q231" s="1">
        <v>1</v>
      </c>
      <c r="R231" t="str">
        <f>"Update Collaborator_Group Set Organisation = '"&amp;E231&amp;"' where Group_ID = '"&amp;A231&amp;"'; "</f>
        <v xml:space="preserve">Update Collaborator_Group Set Organisation = 'Bergische Universität Wuppertal' where Group_ID = 'CG00230'; </v>
      </c>
      <c r="S231" t="str">
        <f>"Update Collaborator_Group Set Group_Name = '"&amp;I231&amp;"' where Group_ID = '"&amp;A231&amp;"'; "</f>
        <v xml:space="preserve">Update Collaborator_Group Set Group_Name = 'MohrF_BUWuppertal' where Group_ID = 'CG00230'; </v>
      </c>
      <c r="T231" t="str">
        <f>"Update dcollab.collab_group Set group_code = '"&amp;I231&amp;"' where Group_ID = '"&amp;B231&amp;"'; "</f>
        <v xml:space="preserve">Update dcollab.collab_group Set group_code = 'MohrF_BUWuppertal' where Group_ID = 'CGRP00231'; </v>
      </c>
    </row>
    <row r="232" spans="1:20">
      <c r="A232" t="s">
        <v>3436</v>
      </c>
      <c r="B232" t="s">
        <v>9266</v>
      </c>
      <c r="D232" t="s">
        <v>3435</v>
      </c>
      <c r="E232" t="s">
        <v>3439</v>
      </c>
      <c r="F232">
        <f>LEN(I232)</f>
        <v>18</v>
      </c>
      <c r="G232" t="str">
        <f>VLOOKUP(E232,Organisation!$A$2:$C$499,3,FALSE)</f>
        <v>CORG00309</v>
      </c>
      <c r="H232" t="str">
        <f>VLOOKUP(G232,Organisation!$C$2:$E$318,3,FALSE)</f>
        <v>WurzburgU</v>
      </c>
      <c r="I232" t="s">
        <v>10463</v>
      </c>
      <c r="J232">
        <f t="shared" si="3"/>
        <v>1</v>
      </c>
      <c r="L232" t="s">
        <v>73</v>
      </c>
      <c r="M232" t="s">
        <v>3440</v>
      </c>
      <c r="N232" t="s">
        <v>557</v>
      </c>
      <c r="P232" t="s">
        <v>8866</v>
      </c>
      <c r="Q232" s="1">
        <v>1</v>
      </c>
      <c r="R232" t="str">
        <f>"Update Collaborator_Group Set Organisation = '"&amp;E232&amp;"' where Group_ID = '"&amp;A232&amp;"'; "</f>
        <v xml:space="preserve">Update Collaborator_Group Set Organisation = 'Würzburg University' where Group_ID = 'CG00231'; </v>
      </c>
      <c r="S232" t="str">
        <f>"Update Collaborator_Group Set Group_Name = '"&amp;I232&amp;"' where Group_ID = '"&amp;A232&amp;"'; "</f>
        <v xml:space="preserve">Update Collaborator_Group Set Group_Name = 'MansourA_WurzburgU' where Group_ID = 'CG00231'; </v>
      </c>
      <c r="T232" t="str">
        <f>"Update dcollab.collab_group Set group_code = '"&amp;I232&amp;"' where Group_ID = '"&amp;B232&amp;"'; "</f>
        <v xml:space="preserve">Update dcollab.collab_group Set group_code = 'MansourA_WurzburgU' where Group_ID = 'CGRP00232'; </v>
      </c>
    </row>
    <row r="233" spans="1:20">
      <c r="A233" t="s">
        <v>5371</v>
      </c>
      <c r="B233" t="s">
        <v>9026</v>
      </c>
      <c r="D233" t="s">
        <v>5370</v>
      </c>
      <c r="E233" t="s">
        <v>5374</v>
      </c>
      <c r="F233">
        <f>LEN(I233)</f>
        <v>21</v>
      </c>
      <c r="G233" t="str">
        <f>VLOOKUP(E233,Organisation!$A$2:$C$499,3,FALSE)</f>
        <v>CORG00126</v>
      </c>
      <c r="H233" t="str">
        <f>VLOOKUP(G233,Organisation!$C$2:$E$318,3,FALSE)</f>
        <v>MonashMalaysia</v>
      </c>
      <c r="I233" t="s">
        <v>10464</v>
      </c>
      <c r="J233">
        <f t="shared" si="3"/>
        <v>1</v>
      </c>
      <c r="L233" t="s">
        <v>1492</v>
      </c>
      <c r="M233" t="s">
        <v>5375</v>
      </c>
      <c r="N233" t="s">
        <v>2369</v>
      </c>
      <c r="P233" t="s">
        <v>8866</v>
      </c>
      <c r="Q233" s="1">
        <v>1</v>
      </c>
      <c r="R233" t="str">
        <f>"Update Collaborator_Group Set Organisation = '"&amp;E233&amp;"' where Group_ID = '"&amp;A233&amp;"'; "</f>
        <v xml:space="preserve">Update Collaborator_Group Set Organisation = 'Monash University Malaysia' where Group_ID = 'CG00232'; </v>
      </c>
      <c r="S233" t="str">
        <f>"Update Collaborator_Group Set Group_Name = '"&amp;I233&amp;"' where Group_ID = '"&amp;A233&amp;"'; "</f>
        <v xml:space="preserve">Update Collaborator_Group Set Group_Name = 'YeongK_MonashMalaysia' where Group_ID = 'CG00232'; </v>
      </c>
      <c r="T233" t="str">
        <f>"Update dcollab.collab_group Set group_code = '"&amp;I233&amp;"' where Group_ID = '"&amp;B233&amp;"'; "</f>
        <v xml:space="preserve">Update dcollab.collab_group Set group_code = 'YeongK_MonashMalaysia' where Group_ID = 'CGRP00233'; </v>
      </c>
    </row>
    <row r="234" spans="1:20">
      <c r="A234" t="s">
        <v>520</v>
      </c>
      <c r="B234" t="s">
        <v>9180</v>
      </c>
      <c r="D234" t="s">
        <v>3570</v>
      </c>
      <c r="E234" t="s">
        <v>524</v>
      </c>
      <c r="F234">
        <f>LEN(I234)</f>
        <v>21</v>
      </c>
      <c r="G234" t="str">
        <f>VLOOKUP(E234,Organisation!$A$2:$C$499,3,FALSE)</f>
        <v>CORG00255</v>
      </c>
      <c r="H234" t="str">
        <f>VLOOKUP(G234,Organisation!$C$2:$E$318,3,FALSE)</f>
        <v>UNewcastle</v>
      </c>
      <c r="I234" t="s">
        <v>5564</v>
      </c>
      <c r="J234">
        <f t="shared" si="3"/>
        <v>1</v>
      </c>
      <c r="L234" t="s">
        <v>3572</v>
      </c>
      <c r="M234" t="s">
        <v>526</v>
      </c>
      <c r="N234" t="s">
        <v>14</v>
      </c>
      <c r="P234" t="s">
        <v>8866</v>
      </c>
      <c r="Q234" s="1">
        <v>1</v>
      </c>
      <c r="R234" t="str">
        <f>"Update Collaborator_Group Set Organisation = '"&amp;E234&amp;"' where Group_ID = '"&amp;A234&amp;"'; "</f>
        <v xml:space="preserve">Update Collaborator_Group Set Organisation = 'University of Newcastle' where Group_ID = 'CG00233'; </v>
      </c>
      <c r="S234" t="str">
        <f>"Update Collaborator_Group Set Group_Name = '"&amp;I234&amp;"' where Group_ID = '"&amp;A234&amp;"'; "</f>
        <v xml:space="preserve">Update Collaborator_Group Set Group_Name = 'McCluskeyA_UNewcastle' where Group_ID = 'CG00233'; </v>
      </c>
      <c r="T234" t="str">
        <f>"Update dcollab.collab_group Set group_code = '"&amp;I234&amp;"' where Group_ID = '"&amp;B234&amp;"'; "</f>
        <v xml:space="preserve">Update dcollab.collab_group Set group_code = 'McCluskeyA_UNewcastle' where Group_ID = 'CGRP00234'; </v>
      </c>
    </row>
    <row r="235" spans="1:20">
      <c r="A235" t="s">
        <v>1094</v>
      </c>
      <c r="B235" t="s">
        <v>9079</v>
      </c>
      <c r="D235" t="s">
        <v>4162</v>
      </c>
      <c r="E235" t="s">
        <v>1097</v>
      </c>
      <c r="F235">
        <f>LEN(I235)</f>
        <v>21</v>
      </c>
      <c r="G235" t="str">
        <f>VLOOKUP(E235,Organisation!$A$2:$C$499,3,FALSE)</f>
        <v>CORG00175</v>
      </c>
      <c r="H235" t="str">
        <f>VLOOKUP(G235,Organisation!$C$2:$E$318,3,FALSE)</f>
        <v>SVenkateswaraU</v>
      </c>
      <c r="I235" t="s">
        <v>10465</v>
      </c>
      <c r="J235">
        <f t="shared" si="3"/>
        <v>1</v>
      </c>
      <c r="L235" t="s">
        <v>73</v>
      </c>
      <c r="M235" t="s">
        <v>1098</v>
      </c>
      <c r="N235" t="s">
        <v>211</v>
      </c>
      <c r="P235" t="s">
        <v>8866</v>
      </c>
      <c r="Q235" s="1">
        <v>1</v>
      </c>
      <c r="R235" t="str">
        <f>"Update Collaborator_Group Set Organisation = '"&amp;E235&amp;"' where Group_ID = '"&amp;A235&amp;"'; "</f>
        <v xml:space="preserve">Update Collaborator_Group Set Organisation = 'Sri Venkateswara University' where Group_ID = 'CG00234'; </v>
      </c>
      <c r="S235" t="str">
        <f>"Update Collaborator_Group Set Group_Name = '"&amp;I235&amp;"' where Group_ID = '"&amp;A235&amp;"'; "</f>
        <v xml:space="preserve">Update Collaborator_Group Set Group_Name = 'PonneV_SVenkateswaraU' where Group_ID = 'CG00234'; </v>
      </c>
      <c r="T235" t="str">
        <f>"Update dcollab.collab_group Set group_code = '"&amp;I235&amp;"' where Group_ID = '"&amp;B235&amp;"'; "</f>
        <v xml:space="preserve">Update dcollab.collab_group Set group_code = 'PonneV_SVenkateswaraU' where Group_ID = 'CGRP00235'; </v>
      </c>
    </row>
    <row r="236" spans="1:20">
      <c r="A236" t="s">
        <v>4143</v>
      </c>
      <c r="B236" t="s">
        <v>8876</v>
      </c>
      <c r="D236" t="s">
        <v>4377</v>
      </c>
      <c r="E236" t="s">
        <v>4147</v>
      </c>
      <c r="F236">
        <f>LEN(I236)</f>
        <v>20</v>
      </c>
      <c r="G236" t="str">
        <f>VLOOKUP(E236,Organisation!$A$2:$C$499,3,FALSE)</f>
        <v>CORG00005</v>
      </c>
      <c r="H236" t="str">
        <f>VLOOKUP(G236,Organisation!$C$2:$E$318,3,FALSE)</f>
        <v>AixMarseilleU</v>
      </c>
      <c r="I236" t="s">
        <v>5794</v>
      </c>
      <c r="J236">
        <f t="shared" si="3"/>
        <v>1</v>
      </c>
      <c r="L236" t="s">
        <v>4148</v>
      </c>
      <c r="M236" t="s">
        <v>4149</v>
      </c>
      <c r="N236" t="s">
        <v>704</v>
      </c>
      <c r="P236" t="s">
        <v>8866</v>
      </c>
      <c r="Q236" s="1">
        <v>1</v>
      </c>
      <c r="R236" t="str">
        <f>"Update Collaborator_Group Set Organisation = '"&amp;E236&amp;"' where Group_ID = '"&amp;A236&amp;"'; "</f>
        <v xml:space="preserve">Update Collaborator_Group Set Organisation = 'Aix-Marseille University' where Group_ID = 'CG00235'; </v>
      </c>
      <c r="S236" t="str">
        <f>"Update Collaborator_Group Set Group_Name = '"&amp;I236&amp;"' where Group_ID = '"&amp;A236&amp;"'; "</f>
        <v xml:space="preserve">Update Collaborator_Group Set Group_Name = 'RobinM_AixMarseilleU' where Group_ID = 'CG00235'; </v>
      </c>
      <c r="T236" t="str">
        <f>"Update dcollab.collab_group Set group_code = '"&amp;I236&amp;"' where Group_ID = '"&amp;B236&amp;"'; "</f>
        <v xml:space="preserve">Update dcollab.collab_group Set group_code = 'RobinM_AixMarseilleU' where Group_ID = 'CGRP00236'; </v>
      </c>
    </row>
    <row r="237" spans="1:20">
      <c r="A237" t="s">
        <v>862</v>
      </c>
      <c r="B237" t="s">
        <v>9189</v>
      </c>
      <c r="D237" t="s">
        <v>861</v>
      </c>
      <c r="E237" t="s">
        <v>865</v>
      </c>
      <c r="F237">
        <f>LEN(I237)</f>
        <v>14</v>
      </c>
      <c r="G237" t="str">
        <f>VLOOKUP(E237,Organisation!$A$2:$C$499,3,FALSE)</f>
        <v>CORG00262</v>
      </c>
      <c r="H237" t="str">
        <f>VLOOKUP(G237,Organisation!$C$2:$E$318,3,FALSE)</f>
        <v>UPorto</v>
      </c>
      <c r="I237" t="s">
        <v>5554</v>
      </c>
      <c r="J237">
        <f t="shared" si="3"/>
        <v>1</v>
      </c>
      <c r="L237" t="s">
        <v>640</v>
      </c>
      <c r="M237" t="s">
        <v>866</v>
      </c>
      <c r="N237" t="s">
        <v>408</v>
      </c>
      <c r="P237" t="s">
        <v>8866</v>
      </c>
      <c r="Q237" s="1">
        <v>1</v>
      </c>
      <c r="R237" t="str">
        <f>"Update Collaborator_Group Set Organisation = '"&amp;E237&amp;"' where Group_ID = '"&amp;A237&amp;"'; "</f>
        <v xml:space="preserve">Update Collaborator_Group Set Organisation = 'University of Porto' where Group_ID = 'CG00236'; </v>
      </c>
      <c r="S237" t="str">
        <f>"Update Collaborator_Group Set Group_Name = '"&amp;I237&amp;"' where Group_ID = '"&amp;A237&amp;"'; "</f>
        <v xml:space="preserve">Update Collaborator_Group Set Group_Name = 'BorgesF_UPorto' where Group_ID = 'CG00236'; </v>
      </c>
      <c r="T237" t="str">
        <f>"Update dcollab.collab_group Set group_code = '"&amp;I237&amp;"' where Group_ID = '"&amp;B237&amp;"'; "</f>
        <v xml:space="preserve">Update dcollab.collab_group Set group_code = 'BorgesF_UPorto' where Group_ID = 'CGRP00237'; </v>
      </c>
    </row>
    <row r="238" spans="1:20">
      <c r="A238" t="s">
        <v>2826</v>
      </c>
      <c r="B238" t="s">
        <v>8925</v>
      </c>
      <c r="D238" t="s">
        <v>2825</v>
      </c>
      <c r="E238" t="s">
        <v>2829</v>
      </c>
      <c r="F238">
        <f>LEN(I238)</f>
        <v>19</v>
      </c>
      <c r="G238" t="str">
        <f>VLOOKUP(E238,Organisation!$A$2:$C$499,3,FALSE)</f>
        <v>CORG00047</v>
      </c>
      <c r="H238" t="str">
        <f>VLOOKUP(G238,Organisation!$C$2:$E$318,3,FALSE)</f>
        <v>DamanhourUT</v>
      </c>
      <c r="I238" t="s">
        <v>10466</v>
      </c>
      <c r="J238">
        <f t="shared" si="3"/>
        <v>1</v>
      </c>
      <c r="L238" t="s">
        <v>35</v>
      </c>
      <c r="M238" t="s">
        <v>2830</v>
      </c>
      <c r="N238" t="s">
        <v>55</v>
      </c>
      <c r="P238" t="s">
        <v>8866</v>
      </c>
      <c r="Q238" s="1">
        <v>1</v>
      </c>
      <c r="R238" t="str">
        <f>"Update Collaborator_Group Set Organisation = '"&amp;E238&amp;"' where Group_ID = '"&amp;A238&amp;"'; "</f>
        <v xml:space="preserve">Update Collaborator_Group Set Organisation = 'Damanhour University' where Group_ID = 'CG00237'; </v>
      </c>
      <c r="S238" t="str">
        <f>"Update Collaborator_Group Set Group_Name = '"&amp;I238&amp;"' where Group_ID = '"&amp;A238&amp;"'; "</f>
        <v xml:space="preserve">Update Collaborator_Group Set Group_Name = 'KassabS_DamanhourUT' where Group_ID = 'CG00237'; </v>
      </c>
      <c r="T238" t="str">
        <f>"Update dcollab.collab_group Set group_code = '"&amp;I238&amp;"' where Group_ID = '"&amp;B238&amp;"'; "</f>
        <v xml:space="preserve">Update dcollab.collab_group Set group_code = 'KassabS_DamanhourUT' where Group_ID = 'CGRP00238'; </v>
      </c>
    </row>
    <row r="239" spans="1:20">
      <c r="A239" t="s">
        <v>1020</v>
      </c>
      <c r="B239" t="s">
        <v>9131</v>
      </c>
      <c r="D239" t="s">
        <v>1312</v>
      </c>
      <c r="E239" t="s">
        <v>596</v>
      </c>
      <c r="F239">
        <f>LEN(I239)</f>
        <v>15</v>
      </c>
      <c r="G239" t="str">
        <f>VLOOKUP(E239,Organisation!$A$2:$C$499,3,FALSE)</f>
        <v>CORG00216</v>
      </c>
      <c r="H239" t="str">
        <f>VLOOKUP(G239,Organisation!$C$2:$E$318,3,FALSE)</f>
        <v>UAuckland</v>
      </c>
      <c r="I239" t="s">
        <v>5602</v>
      </c>
      <c r="J239">
        <f t="shared" si="3"/>
        <v>1</v>
      </c>
      <c r="L239" t="s">
        <v>597</v>
      </c>
      <c r="M239" t="s">
        <v>1024</v>
      </c>
      <c r="N239" t="s">
        <v>223</v>
      </c>
      <c r="P239" t="s">
        <v>8866</v>
      </c>
      <c r="Q239" s="1">
        <v>1</v>
      </c>
      <c r="R239" t="str">
        <f>"Update Collaborator_Group Set Organisation = '"&amp;E239&amp;"' where Group_ID = '"&amp;A239&amp;"'; "</f>
        <v xml:space="preserve">Update Collaborator_Group Set Organisation = 'University of Auckland' where Group_ID = 'CG00238'; </v>
      </c>
      <c r="S239" t="str">
        <f>"Update Collaborator_Group Set Group_Name = '"&amp;I239&amp;"' where Group_ID = '"&amp;A239&amp;"'; "</f>
        <v xml:space="preserve">Update Collaborator_Group Set Group_Name = 'CoppB_UAuckland' where Group_ID = 'CG00238'; </v>
      </c>
      <c r="T239" t="str">
        <f>"Update dcollab.collab_group Set group_code = '"&amp;I239&amp;"' where Group_ID = '"&amp;B239&amp;"'; "</f>
        <v xml:space="preserve">Update dcollab.collab_group Set group_code = 'CoppB_UAuckland' where Group_ID = 'CGRP00239'; </v>
      </c>
    </row>
    <row r="240" spans="1:20">
      <c r="A240" t="s">
        <v>3981</v>
      </c>
      <c r="B240" t="s">
        <v>8970</v>
      </c>
      <c r="D240" t="s">
        <v>3980</v>
      </c>
      <c r="E240" t="s">
        <v>2041</v>
      </c>
      <c r="F240">
        <f>LEN(I240)</f>
        <v>14</v>
      </c>
      <c r="G240" t="str">
        <f>VLOOKUP(E240,Organisation!$A$2:$C$499,3,FALSE)</f>
        <v>CORG00085</v>
      </c>
      <c r="H240" t="str">
        <f>VLOOKUP(G240,Organisation!$C$2:$E$318,3,FALSE)</f>
        <v>IPC</v>
      </c>
      <c r="I240" t="s">
        <v>5725</v>
      </c>
      <c r="J240">
        <f t="shared" si="3"/>
        <v>1</v>
      </c>
      <c r="L240" t="s">
        <v>2042</v>
      </c>
      <c r="M240" t="s">
        <v>2043</v>
      </c>
      <c r="N240" t="s">
        <v>1600</v>
      </c>
      <c r="P240" t="s">
        <v>8866</v>
      </c>
      <c r="Q240" s="1">
        <v>1</v>
      </c>
      <c r="R240" t="str">
        <f>"Update Collaborator_Group Set Organisation = '"&amp;E240&amp;"' where Group_ID = '"&amp;A240&amp;"'; "</f>
        <v xml:space="preserve">Update Collaborator_Group Set Organisation = 'Institute of Petrochemistry and Catalysis' where Group_ID = 'CG00239'; </v>
      </c>
      <c r="S240" t="str">
        <f>"Update Collaborator_Group Set Group_Name = '"&amp;I240&amp;"' where Group_ID = '"&amp;A240&amp;"'; "</f>
        <v xml:space="preserve">Update Collaborator_Group Set Group_Name = 'ParfenovaL_IPC' where Group_ID = 'CG00239'; </v>
      </c>
      <c r="T240" t="str">
        <f>"Update dcollab.collab_group Set group_code = '"&amp;I240&amp;"' where Group_ID = '"&amp;B240&amp;"'; "</f>
        <v xml:space="preserve">Update dcollab.collab_group Set group_code = 'ParfenovaL_IPC' where Group_ID = 'CGRP00240'; </v>
      </c>
    </row>
    <row r="241" spans="1:20">
      <c r="A241" t="s">
        <v>1717</v>
      </c>
      <c r="B241" t="s">
        <v>8931</v>
      </c>
      <c r="D241" t="s">
        <v>1716</v>
      </c>
      <c r="E241" t="s">
        <v>8757</v>
      </c>
      <c r="F241">
        <f>LEN(I241)</f>
        <v>11</v>
      </c>
      <c r="G241" t="str">
        <f>VLOOKUP(E241,Organisation!$A$2:$C$499,3,FALSE)</f>
        <v>CORG00052</v>
      </c>
      <c r="H241" t="str">
        <f>VLOOKUP(G241,Organisation!$C$2:$E$318,3,FALSE)</f>
        <v>EPFL</v>
      </c>
      <c r="I241" t="s">
        <v>5753</v>
      </c>
      <c r="J241">
        <f t="shared" si="3"/>
        <v>1</v>
      </c>
      <c r="L241" t="s">
        <v>1720</v>
      </c>
      <c r="M241" t="s">
        <v>1721</v>
      </c>
      <c r="N241" t="s">
        <v>253</v>
      </c>
      <c r="P241" t="s">
        <v>8866</v>
      </c>
      <c r="Q241" s="1">
        <v>1</v>
      </c>
      <c r="R241" t="str">
        <f>"Update Collaborator_Group Set Organisation = '"&amp;E241&amp;"' where Group_ID = '"&amp;A241&amp;"'; "</f>
        <v xml:space="preserve">Update Collaborator_Group Set Organisation = 'Ecole Polytechnique Fédérale de Lausanne' where Group_ID = 'CG00240'; </v>
      </c>
      <c r="S241" t="str">
        <f>"Update Collaborator_Group Set Group_Name = '"&amp;I241&amp;"' where Group_ID = '"&amp;A241&amp;"'; "</f>
        <v xml:space="preserve">Update Collaborator_Group Set Group_Name = 'DysonP_EPFL' where Group_ID = 'CG00240'; </v>
      </c>
      <c r="T241" t="str">
        <f>"Update dcollab.collab_group Set group_code = '"&amp;I241&amp;"' where Group_ID = '"&amp;B241&amp;"'; "</f>
        <v xml:space="preserve">Update dcollab.collab_group Set group_code = 'DysonP_EPFL' where Group_ID = 'CGRP00241'; </v>
      </c>
    </row>
    <row r="242" spans="1:20">
      <c r="A242" t="s">
        <v>59</v>
      </c>
      <c r="B242" t="s">
        <v>9018</v>
      </c>
      <c r="D242" t="s">
        <v>58</v>
      </c>
      <c r="E242" t="s">
        <v>5798</v>
      </c>
      <c r="F242">
        <f>LEN(I242)</f>
        <v>16</v>
      </c>
      <c r="G242" t="str">
        <f>VLOOKUP(E242,Organisation!$A$2:$C$499,3,FALSE)</f>
        <v>CORG00124</v>
      </c>
      <c r="H242" t="str">
        <f>VLOOKUP(G242,Organisation!$C$2:$E$318,3,FALSE)</f>
        <v>MUTI</v>
      </c>
      <c r="I242" t="s">
        <v>10538</v>
      </c>
      <c r="J242">
        <f t="shared" si="3"/>
        <v>1</v>
      </c>
      <c r="L242" t="s">
        <v>8835</v>
      </c>
      <c r="M242" t="s">
        <v>64</v>
      </c>
      <c r="N242" t="s">
        <v>55</v>
      </c>
      <c r="P242" t="s">
        <v>8866</v>
      </c>
      <c r="Q242" s="1">
        <v>1</v>
      </c>
      <c r="R242" t="str">
        <f>"Update Collaborator_Group Set Organisation = '"&amp;E242&amp;"' where Group_ID = '"&amp;A242&amp;"'; "</f>
        <v xml:space="preserve">Update Collaborator_Group Set Organisation = 'Modern University for Technology and Information' where Group_ID = 'CG00241'; </v>
      </c>
      <c r="S242" t="str">
        <f>"Update Collaborator_Group Set Group_Name = '"&amp;I242&amp;"' where Group_ID = '"&amp;A242&amp;"'; "</f>
        <v xml:space="preserve">Update Collaborator_Group Set Group_Name = 'AbdElAleamR_MUTI' where Group_ID = 'CG00241'; </v>
      </c>
      <c r="T242" t="str">
        <f>"Update dcollab.collab_group Set group_code = '"&amp;I242&amp;"' where Group_ID = '"&amp;B242&amp;"'; "</f>
        <v xml:space="preserve">Update dcollab.collab_group Set group_code = 'AbdElAleamR_MUTI' where Group_ID = 'CGRP00242'; </v>
      </c>
    </row>
    <row r="243" spans="1:20">
      <c r="A243" t="s">
        <v>2627</v>
      </c>
      <c r="B243" t="s">
        <v>9038</v>
      </c>
      <c r="D243" t="s">
        <v>2626</v>
      </c>
      <c r="E243" t="s">
        <v>2631</v>
      </c>
      <c r="F243">
        <f>LEN(I243)</f>
        <v>30</v>
      </c>
      <c r="G243" t="str">
        <f>VLOOKUP(E243,Organisation!$A$2:$C$499,3,FALSE)</f>
        <v>CORG00137</v>
      </c>
      <c r="H243" t="str">
        <f>VLOOKUP(G243,Organisation!$C$2:$E$318,3,FALSE)</f>
        <v>NTUAthen</v>
      </c>
      <c r="I243" t="s">
        <v>5669</v>
      </c>
      <c r="J243">
        <f t="shared" si="3"/>
        <v>1</v>
      </c>
      <c r="L243" t="s">
        <v>2632</v>
      </c>
      <c r="M243" t="s">
        <v>2633</v>
      </c>
      <c r="N243" t="s">
        <v>2634</v>
      </c>
      <c r="P243" t="s">
        <v>8866</v>
      </c>
      <c r="Q243" s="1">
        <v>1</v>
      </c>
      <c r="R243" t="str">
        <f>"Update Collaborator_Group Set Organisation = '"&amp;E243&amp;"' where Group_ID = '"&amp;A243&amp;"'; "</f>
        <v xml:space="preserve">Update Collaborator_Group Set Organisation = 'National Technical University of Athens' where Group_ID = 'CG00242'; </v>
      </c>
      <c r="S243" t="str">
        <f>"Update Collaborator_Group Set Group_Name = '"&amp;I243&amp;"' where Group_ID = '"&amp;A243&amp;"'; "</f>
        <v xml:space="preserve">Update Collaborator_Group Set Group_Name = 'Igglessi-MarkopoulouO_NTUAthen' where Group_ID = 'CG00242'; </v>
      </c>
      <c r="T243" t="str">
        <f>"Update dcollab.collab_group Set group_code = '"&amp;I243&amp;"' where Group_ID = '"&amp;B243&amp;"'; "</f>
        <v xml:space="preserve">Update dcollab.collab_group Set group_code = 'Igglessi-MarkopoulouO_NTUAthen' where Group_ID = 'CGRP00243'; </v>
      </c>
    </row>
    <row r="244" spans="1:20">
      <c r="A244" t="s">
        <v>1085</v>
      </c>
      <c r="B244" t="s">
        <v>9090</v>
      </c>
      <c r="D244" t="s">
        <v>1084</v>
      </c>
      <c r="E244" t="s">
        <v>1088</v>
      </c>
      <c r="F244">
        <f>LEN(I244)</f>
        <v>17</v>
      </c>
      <c r="G244" t="str">
        <f>VLOOKUP(E244,Organisation!$A$2:$C$499,3,FALSE)</f>
        <v>CORG00186</v>
      </c>
      <c r="H244" t="str">
        <f>VLOOKUP(G244,Organisation!$C$2:$E$318,3,FALSE)</f>
        <v>TelAvivU</v>
      </c>
      <c r="I244" t="s">
        <v>5626</v>
      </c>
      <c r="J244">
        <f t="shared" si="3"/>
        <v>1</v>
      </c>
      <c r="L244" t="s">
        <v>1089</v>
      </c>
      <c r="N244" t="s">
        <v>1090</v>
      </c>
      <c r="O244" t="s">
        <v>5625</v>
      </c>
      <c r="P244" t="s">
        <v>8867</v>
      </c>
      <c r="Q244" s="1">
        <v>1</v>
      </c>
      <c r="R244" t="str">
        <f>"Update Collaborator_Group Set Organisation = '"&amp;E244&amp;"' where Group_ID = '"&amp;A244&amp;"'; "</f>
        <v xml:space="preserve">Update Collaborator_Group Set Organisation = 'Tel Aviv University' where Group_ID = 'CG00243'; </v>
      </c>
      <c r="S244" t="str">
        <f>"Update Collaborator_Group Set Group_Name = '"&amp;I244&amp;"' where Group_ID = '"&amp;A244&amp;"'; "</f>
        <v xml:space="preserve">Update Collaborator_Group Set Group_Name = 'CarmeliS_TelAvivU' where Group_ID = 'CG00243'; </v>
      </c>
      <c r="T244" t="str">
        <f>"Update dcollab.collab_group Set group_code = '"&amp;I244&amp;"' where Group_ID = '"&amp;B244&amp;"'; "</f>
        <v xml:space="preserve">Update dcollab.collab_group Set group_code = 'CarmeliS_TelAvivU' where Group_ID = 'CGRP00244'; </v>
      </c>
    </row>
    <row r="245" spans="1:20">
      <c r="A245" t="s">
        <v>1268</v>
      </c>
      <c r="B245" t="s">
        <v>9166</v>
      </c>
      <c r="D245" t="s">
        <v>1267</v>
      </c>
      <c r="E245" t="s">
        <v>1271</v>
      </c>
      <c r="F245">
        <f>LEN(I245)</f>
        <v>18</v>
      </c>
      <c r="G245" t="str">
        <f>VLOOKUP(E245,Organisation!$A$2:$C$499,3,FALSE)</f>
        <v>CORG00244</v>
      </c>
      <c r="H245" t="str">
        <f>VLOOKUP(G245,Organisation!$C$2:$E$318,3,FALSE)</f>
        <v>UMelbourne</v>
      </c>
      <c r="I245" t="s">
        <v>5573</v>
      </c>
      <c r="J245">
        <f t="shared" si="3"/>
        <v>1</v>
      </c>
      <c r="L245" t="s">
        <v>1272</v>
      </c>
      <c r="N245" t="s">
        <v>14</v>
      </c>
      <c r="P245" t="s">
        <v>8866</v>
      </c>
      <c r="Q245" s="1">
        <v>1</v>
      </c>
      <c r="R245" t="str">
        <f>"Update Collaborator_Group Set Organisation = '"&amp;E245&amp;"' where Group_ID = '"&amp;A245&amp;"'; "</f>
        <v xml:space="preserve">Update Collaborator_Group Set Organisation = 'University of Melbourne' where Group_ID = 'CG00244'; </v>
      </c>
      <c r="S245" t="str">
        <f>"Update Collaborator_Group Set Group_Name = '"&amp;I245&amp;"' where Group_ID = '"&amp;A245&amp;"'; "</f>
        <v xml:space="preserve">Update Collaborator_Group Set Group_Name = 'ConnalL_UMelbourne' where Group_ID = 'CG00244'; </v>
      </c>
      <c r="T245" t="str">
        <f>"Update dcollab.collab_group Set group_code = '"&amp;I245&amp;"' where Group_ID = '"&amp;B245&amp;"'; "</f>
        <v xml:space="preserve">Update dcollab.collab_group Set group_code = 'ConnalL_UMelbourne' where Group_ID = 'CGRP00245'; </v>
      </c>
    </row>
    <row r="246" spans="1:20">
      <c r="A246" t="s">
        <v>2355</v>
      </c>
      <c r="B246" t="s">
        <v>9009</v>
      </c>
      <c r="D246" t="s">
        <v>2354</v>
      </c>
      <c r="E246" t="s">
        <v>2358</v>
      </c>
      <c r="F246">
        <f>LEN(I246)</f>
        <v>23</v>
      </c>
      <c r="G246" t="str">
        <f>VLOOKUP(E246,Organisation!$A$2:$C$499,3,FALSE)</f>
        <v>CORG00116</v>
      </c>
      <c r="H246" t="str">
        <f>VLOOKUP(G246,Organisation!$C$2:$E$318,3,FALSE)</f>
        <v>MUSouthCarolina</v>
      </c>
      <c r="I246" t="s">
        <v>5692</v>
      </c>
      <c r="J246">
        <f t="shared" si="3"/>
        <v>1</v>
      </c>
      <c r="L246" t="s">
        <v>2359</v>
      </c>
      <c r="M246" t="s">
        <v>2360</v>
      </c>
      <c r="N246" t="s">
        <v>8808</v>
      </c>
      <c r="P246" t="s">
        <v>8866</v>
      </c>
      <c r="Q246" s="1">
        <v>1</v>
      </c>
      <c r="R246" t="str">
        <f>"Update Collaborator_Group Set Organisation = '"&amp;E246&amp;"' where Group_ID = '"&amp;A246&amp;"'; "</f>
        <v xml:space="preserve">Update Collaborator_Group Set Organisation = 'Medical University of South Carolina' where Group_ID = 'CG00245'; </v>
      </c>
      <c r="S246" t="str">
        <f>"Update Collaborator_Group Set Group_Name = '"&amp;I246&amp;"' where Group_ID = '"&amp;A246&amp;"'; "</f>
        <v xml:space="preserve">Update Collaborator_Group Set Group_Name = 'HamannM_MUSouthCarolina' where Group_ID = 'CG00245'; </v>
      </c>
      <c r="T246" t="str">
        <f>"Update dcollab.collab_group Set group_code = '"&amp;I246&amp;"' where Group_ID = '"&amp;B246&amp;"'; "</f>
        <v xml:space="preserve">Update dcollab.collab_group Set group_code = 'HamannM_MUSouthCarolina' where Group_ID = 'CGRP00246'; </v>
      </c>
    </row>
    <row r="247" spans="1:20">
      <c r="A247" t="s">
        <v>2258</v>
      </c>
      <c r="B247" t="s">
        <v>9175</v>
      </c>
      <c r="D247" t="s">
        <v>2257</v>
      </c>
      <c r="E247" t="s">
        <v>1539</v>
      </c>
      <c r="F247">
        <f>LEN(I247)</f>
        <v>22</v>
      </c>
      <c r="G247" t="str">
        <f>VLOOKUP(E247,Organisation!$A$2:$C$499,3,FALSE)</f>
        <v>CORG00252</v>
      </c>
      <c r="H247" t="str">
        <f>VLOOKUP(G247,Organisation!$C$2:$E$318,3,FALSE)</f>
        <v>UoNewEngland</v>
      </c>
      <c r="I247" t="s">
        <v>10467</v>
      </c>
      <c r="J247">
        <f t="shared" si="3"/>
        <v>1</v>
      </c>
      <c r="L247" t="s">
        <v>2261</v>
      </c>
      <c r="M247" t="s">
        <v>2262</v>
      </c>
      <c r="N247" t="s">
        <v>14</v>
      </c>
      <c r="P247" t="s">
        <v>8866</v>
      </c>
      <c r="Q247" s="1">
        <v>1</v>
      </c>
      <c r="R247" t="str">
        <f>"Update Collaborator_Group Set Organisation = '"&amp;E247&amp;"' where Group_ID = '"&amp;A247&amp;"'; "</f>
        <v xml:space="preserve">Update Collaborator_Group Set Organisation = 'University of New England' where Group_ID = 'CG00246'; </v>
      </c>
      <c r="S247" t="str">
        <f>"Update Collaborator_Group Set Group_Name = '"&amp;I247&amp;"' where Group_ID = '"&amp;A247&amp;"'; "</f>
        <v xml:space="preserve">Update Collaborator_Group Set Group_Name = 'GreatrexB_UoNewEngland' where Group_ID = 'CG00246'; </v>
      </c>
      <c r="T247" t="str">
        <f>"Update dcollab.collab_group Set group_code = '"&amp;I247&amp;"' where Group_ID = '"&amp;B247&amp;"'; "</f>
        <v xml:space="preserve">Update dcollab.collab_group Set group_code = 'GreatrexB_UoNewEngland' where Group_ID = 'CGRP00247'; </v>
      </c>
    </row>
    <row r="248" spans="1:20">
      <c r="A248" t="s">
        <v>2700</v>
      </c>
      <c r="B248" t="s">
        <v>8951</v>
      </c>
      <c r="D248" t="s">
        <v>3636</v>
      </c>
      <c r="E248" t="s">
        <v>3640</v>
      </c>
      <c r="F248">
        <f>LEN(I248)</f>
        <v>15</v>
      </c>
      <c r="G248" t="str">
        <f>VLOOKUP(E248,Organisation!$A$2:$C$499,3,FALSE)</f>
        <v>CORG00068</v>
      </c>
      <c r="H248" t="str">
        <f>VLOOKUP(G248,Organisation!$C$2:$E$318,3,FALSE)</f>
        <v>GulfC</v>
      </c>
      <c r="I248" t="s">
        <v>10543</v>
      </c>
      <c r="J248">
        <f t="shared" si="3"/>
        <v>1</v>
      </c>
      <c r="L248" t="s">
        <v>84</v>
      </c>
      <c r="M248" t="s">
        <v>2703</v>
      </c>
      <c r="N248" t="s">
        <v>86</v>
      </c>
      <c r="P248" t="s">
        <v>8866</v>
      </c>
      <c r="Q248" s="1">
        <v>1</v>
      </c>
      <c r="R248" t="str">
        <f>"Update Collaborator_Group Set Organisation = '"&amp;E248&amp;"' where Group_ID = '"&amp;A248&amp;"'; "</f>
        <v xml:space="preserve">Update Collaborator_Group Set Organisation = 'Gulf College' where Group_ID = 'CG00247'; </v>
      </c>
      <c r="S248" t="str">
        <f>"Update Collaborator_Group Set Group_Name = '"&amp;I248&amp;"' where Group_ID = '"&amp;A248&amp;"'; "</f>
        <v xml:space="preserve">Update Collaborator_Group Set Group_Name = 'MohamedAl_GulfC' where Group_ID = 'CG00247'; </v>
      </c>
      <c r="T248" t="str">
        <f>"Update dcollab.collab_group Set group_code = '"&amp;I248&amp;"' where Group_ID = '"&amp;B248&amp;"'; "</f>
        <v xml:space="preserve">Update dcollab.collab_group Set group_code = 'MohamedAl_GulfC' where Group_ID = 'CGRP00248'; </v>
      </c>
    </row>
    <row r="249" spans="1:20">
      <c r="A249" t="s">
        <v>1656</v>
      </c>
      <c r="B249" t="s">
        <v>9022</v>
      </c>
      <c r="D249" t="s">
        <v>3592</v>
      </c>
      <c r="E249" t="s">
        <v>517</v>
      </c>
      <c r="F249">
        <f>LEN(I249)</f>
        <v>15</v>
      </c>
      <c r="G249" t="str">
        <f>VLOOKUP(E249,Organisation!$A$2:$C$499,3,FALSE)</f>
        <v>CORG00125</v>
      </c>
      <c r="H249" t="str">
        <f>VLOOKUP(G249,Organisation!$C$2:$E$318,3,FALSE)</f>
        <v>Monash</v>
      </c>
      <c r="I249" t="s">
        <v>5680</v>
      </c>
      <c r="J249">
        <f t="shared" si="3"/>
        <v>1</v>
      </c>
      <c r="L249" t="s">
        <v>1659</v>
      </c>
      <c r="M249" t="s">
        <v>3595</v>
      </c>
      <c r="N249" t="s">
        <v>14</v>
      </c>
      <c r="P249" t="s">
        <v>8866</v>
      </c>
      <c r="Q249" s="1">
        <v>1</v>
      </c>
      <c r="R249" t="str">
        <f>"Update Collaborator_Group Set Organisation = '"&amp;E249&amp;"' where Group_ID = '"&amp;A249&amp;"'; "</f>
        <v xml:space="preserve">Update Collaborator_Group Set Organisation = 'Monash University' where Group_ID = 'CG00248'; </v>
      </c>
      <c r="S249" t="str">
        <f>"Update Collaborator_Group Set Group_Name = '"&amp;I249&amp;"' where Group_ID = '"&amp;A249&amp;"'; "</f>
        <v xml:space="preserve">Update Collaborator_Group Set Group_Name = 'McGowanS_Monash' where Group_ID = 'CG00248'; </v>
      </c>
      <c r="T249" t="str">
        <f>"Update dcollab.collab_group Set group_code = '"&amp;I249&amp;"' where Group_ID = '"&amp;B249&amp;"'; "</f>
        <v xml:space="preserve">Update dcollab.collab_group Set group_code = 'McGowanS_Monash' where Group_ID = 'CGRP00249'; </v>
      </c>
    </row>
    <row r="250" spans="1:20">
      <c r="A250" t="s">
        <v>4218</v>
      </c>
      <c r="B250" t="s">
        <v>8884</v>
      </c>
      <c r="D250" t="s">
        <v>4217</v>
      </c>
      <c r="E250" t="s">
        <v>92</v>
      </c>
      <c r="F250">
        <f>LEN(I250)</f>
        <v>14</v>
      </c>
      <c r="G250" t="str">
        <f>VLOOKUP(E250,Organisation!$A$2:$C$499,3,FALSE)</f>
        <v>CORG00011</v>
      </c>
      <c r="H250" t="str">
        <f>VLOOKUP(G250,Organisation!$C$2:$E$318,3,FALSE)</f>
        <v>AssiutU</v>
      </c>
      <c r="I250" t="s">
        <v>5788</v>
      </c>
      <c r="J250">
        <f t="shared" si="3"/>
        <v>1</v>
      </c>
      <c r="L250" t="s">
        <v>3193</v>
      </c>
      <c r="M250" t="s">
        <v>4221</v>
      </c>
      <c r="N250" t="s">
        <v>55</v>
      </c>
      <c r="P250" t="s">
        <v>8866</v>
      </c>
      <c r="Q250" s="1">
        <v>1</v>
      </c>
      <c r="R250" t="str">
        <f>"Update Collaborator_Group Set Organisation = '"&amp;E250&amp;"' where Group_ID = '"&amp;A250&amp;"'; "</f>
        <v xml:space="preserve">Update Collaborator_Group Set Organisation = 'Assiut University' where Group_ID = 'CG00249'; </v>
      </c>
      <c r="S250" t="str">
        <f>"Update Collaborator_Group Set Group_Name = '"&amp;I250&amp;"' where Group_ID = '"&amp;A250&amp;"'; "</f>
        <v xml:space="preserve">Update Collaborator_Group Set Group_Name = 'QayedW_AssiutU' where Group_ID = 'CG00249'; </v>
      </c>
      <c r="T250" t="str">
        <f>"Update dcollab.collab_group Set group_code = '"&amp;I250&amp;"' where Group_ID = '"&amp;B250&amp;"'; "</f>
        <v xml:space="preserve">Update dcollab.collab_group Set group_code = 'QayedW_AssiutU' where Group_ID = 'CGRP00250'; </v>
      </c>
    </row>
    <row r="251" spans="1:20">
      <c r="A251" t="s">
        <v>4464</v>
      </c>
      <c r="B251" t="s">
        <v>8952</v>
      </c>
      <c r="D251" t="s">
        <v>4743</v>
      </c>
      <c r="E251" t="s">
        <v>4467</v>
      </c>
      <c r="F251">
        <f>LEN(I251)</f>
        <v>18</v>
      </c>
      <c r="G251" t="str">
        <f>VLOOKUP(E251,Organisation!$A$2:$C$499,3,FALSE)</f>
        <v>CORG00069</v>
      </c>
      <c r="H251" t="str">
        <f>VLOOKUP(G251,Organisation!$C$2:$E$318,3,FALSE)</f>
        <v>HacettepeU</v>
      </c>
      <c r="I251" t="s">
        <v>10468</v>
      </c>
      <c r="J251">
        <f t="shared" si="3"/>
        <v>1</v>
      </c>
      <c r="L251" t="s">
        <v>4468</v>
      </c>
      <c r="M251" t="s">
        <v>4469</v>
      </c>
      <c r="N251" t="s">
        <v>8809</v>
      </c>
      <c r="P251" t="s">
        <v>8866</v>
      </c>
      <c r="Q251" s="1">
        <v>1</v>
      </c>
      <c r="R251" t="str">
        <f>"Update Collaborator_Group Set Organisation = '"&amp;E251&amp;"' where Group_ID = '"&amp;A251&amp;"'; "</f>
        <v xml:space="preserve">Update Collaborator_Group Set Organisation = 'Hacettepe University' where Group_ID = 'CG00250'; </v>
      </c>
      <c r="S251" t="str">
        <f>"Update Collaborator_Group Set Group_Name = '"&amp;I251&amp;"' where Group_ID = '"&amp;A251&amp;"'; "</f>
        <v xml:space="preserve">Update Collaborator_Group Set Group_Name = 'SimsekR_HacettepeU' where Group_ID = 'CG00250'; </v>
      </c>
      <c r="T251" t="str">
        <f>"Update dcollab.collab_group Set group_code = '"&amp;I251&amp;"' where Group_ID = '"&amp;B251&amp;"'; "</f>
        <v xml:space="preserve">Update dcollab.collab_group Set group_code = 'SimsekR_HacettepeU' where Group_ID = 'CGRP00251'; </v>
      </c>
    </row>
    <row r="252" spans="1:20">
      <c r="A252" t="s">
        <v>1837</v>
      </c>
      <c r="B252" t="s">
        <v>8903</v>
      </c>
      <c r="D252" t="s">
        <v>1836</v>
      </c>
      <c r="E252" t="s">
        <v>1841</v>
      </c>
      <c r="F252">
        <f>LEN(I252)</f>
        <v>15</v>
      </c>
      <c r="G252" t="str">
        <f>VLOOKUP(E252,Organisation!$A$2:$C$499,3,FALSE)</f>
        <v>CORG00026</v>
      </c>
      <c r="H252" t="str">
        <f>VLOOKUP(G252,Organisation!$C$2:$E$318,3,FALSE)</f>
        <v>CairoU</v>
      </c>
      <c r="I252" t="s">
        <v>10469</v>
      </c>
      <c r="J252">
        <f t="shared" si="3"/>
        <v>1</v>
      </c>
      <c r="L252" t="s">
        <v>8833</v>
      </c>
      <c r="M252" t="s">
        <v>1843</v>
      </c>
      <c r="N252" t="s">
        <v>55</v>
      </c>
      <c r="P252" t="s">
        <v>8866</v>
      </c>
      <c r="Q252" s="1">
        <v>1</v>
      </c>
      <c r="R252" t="str">
        <f>"Update Collaborator_Group Set Organisation = '"&amp;E252&amp;"' where Group_ID = '"&amp;A252&amp;"'; "</f>
        <v xml:space="preserve">Update Collaborator_Group Set Organisation = 'Cairo University' where Group_ID = 'CG00251'; </v>
      </c>
      <c r="S252" t="str">
        <f>"Update Collaborator_Group Set Group_Name = '"&amp;I252&amp;"' where Group_ID = '"&amp;A252&amp;"'; "</f>
        <v xml:space="preserve">Update Collaborator_Group Set Group_Name = 'ElsayedN_CairoU' where Group_ID = 'CG00251'; </v>
      </c>
      <c r="T252" t="str">
        <f>"Update dcollab.collab_group Set group_code = '"&amp;I252&amp;"' where Group_ID = '"&amp;B252&amp;"'; "</f>
        <v xml:space="preserve">Update dcollab.collab_group Set group_code = 'ElsayedN_CairoU' where Group_ID = 'CGRP00252'; </v>
      </c>
    </row>
    <row r="253" spans="1:20">
      <c r="A253" t="s">
        <v>204</v>
      </c>
      <c r="B253" t="s">
        <v>8977</v>
      </c>
      <c r="D253" t="s">
        <v>976</v>
      </c>
      <c r="E253" t="s">
        <v>208</v>
      </c>
      <c r="F253">
        <f>LEN(I253)</f>
        <v>16</v>
      </c>
      <c r="G253" t="str">
        <f>VLOOKUP(E253,Organisation!$A$2:$C$499,3,FALSE)</f>
        <v>CORG00090</v>
      </c>
      <c r="H253" t="str">
        <f>VLOOKUP(G253,Organisation!$C$2:$E$318,3,FALSE)</f>
        <v>JainU</v>
      </c>
      <c r="I253" t="s">
        <v>5720</v>
      </c>
      <c r="J253">
        <f t="shared" si="3"/>
        <v>1</v>
      </c>
      <c r="L253" t="s">
        <v>209</v>
      </c>
      <c r="M253" t="s">
        <v>5719</v>
      </c>
      <c r="N253" t="s">
        <v>211</v>
      </c>
      <c r="P253" t="s">
        <v>8866</v>
      </c>
      <c r="Q253" s="1">
        <v>1</v>
      </c>
      <c r="R253" t="str">
        <f>"Update Collaborator_Group Set Organisation = '"&amp;E253&amp;"' where Group_ID = '"&amp;A253&amp;"'; "</f>
        <v xml:space="preserve">Update Collaborator_Group Set Organisation = 'Jain University' where Group_ID = 'CG00252'; </v>
      </c>
      <c r="S253" t="str">
        <f>"Update Collaborator_Group Set Group_Name = '"&amp;I253&amp;"' where Group_ID = '"&amp;A253&amp;"'; "</f>
        <v xml:space="preserve">Update Collaborator_Group Set Group_Name = 'BudagumpiS_JainU' where Group_ID = 'CG00252'; </v>
      </c>
      <c r="T253" t="str">
        <f>"Update dcollab.collab_group Set group_code = '"&amp;I253&amp;"' where Group_ID = '"&amp;B253&amp;"'; "</f>
        <v xml:space="preserve">Update dcollab.collab_group Set group_code = 'BudagumpiS_JainU' where Group_ID = 'CGRP00253'; </v>
      </c>
    </row>
    <row r="254" spans="1:20">
      <c r="A254" t="s">
        <v>4756</v>
      </c>
      <c r="B254" t="s">
        <v>9155</v>
      </c>
      <c r="D254" t="s">
        <v>4755</v>
      </c>
      <c r="E254" t="s">
        <v>2228</v>
      </c>
      <c r="F254">
        <f>LEN(I254)</f>
        <v>20</v>
      </c>
      <c r="G254" t="str">
        <f>VLOOKUP(E254,Organisation!$A$2:$C$499,3,FALSE)</f>
        <v>CORG00235</v>
      </c>
      <c r="H254" t="str">
        <f>VLOOKUP(G254,Organisation!$C$2:$E$318,3,FALSE)</f>
        <v>UKwaZuluNatal</v>
      </c>
      <c r="I254" t="s">
        <v>5582</v>
      </c>
      <c r="J254">
        <f t="shared" si="3"/>
        <v>1</v>
      </c>
      <c r="L254" t="s">
        <v>4759</v>
      </c>
      <c r="M254" t="s">
        <v>4760</v>
      </c>
      <c r="N254" t="s">
        <v>609</v>
      </c>
      <c r="P254" t="s">
        <v>8866</v>
      </c>
      <c r="Q254" s="1">
        <v>1</v>
      </c>
      <c r="R254" t="str">
        <f>"Update Collaborator_Group Set Organisation = '"&amp;E254&amp;"' where Group_ID = '"&amp;A254&amp;"'; "</f>
        <v xml:space="preserve">Update Collaborator_Group Set Organisation = 'University of KwaZulu-Natal' where Group_ID = 'CG00253'; </v>
      </c>
      <c r="S254" t="str">
        <f>"Update Collaborator_Group Set Group_Name = '"&amp;I254&amp;"' where Group_ID = '"&amp;A254&amp;"'; "</f>
        <v xml:space="preserve">Update Collaborator_Group Set Group_Name = 'SinghP_UKwaZuluNatal' where Group_ID = 'CG00253'; </v>
      </c>
      <c r="T254" t="str">
        <f>"Update dcollab.collab_group Set group_code = '"&amp;I254&amp;"' where Group_ID = '"&amp;B254&amp;"'; "</f>
        <v xml:space="preserve">Update dcollab.collab_group Set group_code = 'SinghP_UKwaZuluNatal' where Group_ID = 'CGRP00254'; </v>
      </c>
    </row>
    <row r="255" spans="1:20">
      <c r="A255" t="s">
        <v>1409</v>
      </c>
      <c r="B255" t="s">
        <v>9108</v>
      </c>
      <c r="D255" t="s">
        <v>4224</v>
      </c>
      <c r="E255" t="s">
        <v>1413</v>
      </c>
      <c r="F255">
        <f>LEN(I255)</f>
        <v>16</v>
      </c>
      <c r="G255" t="str">
        <f>VLOOKUP(E255,Organisation!$A$2:$C$499,3,FALSE)</f>
        <v>CORG00202</v>
      </c>
      <c r="H255" t="str">
        <f>VLOOKUP(G255,Organisation!$C$2:$E$318,3,FALSE)</f>
        <v>UMontreal</v>
      </c>
      <c r="I255" t="s">
        <v>5510</v>
      </c>
      <c r="J255">
        <f t="shared" si="3"/>
        <v>1</v>
      </c>
      <c r="L255" t="s">
        <v>1414</v>
      </c>
      <c r="M255" t="s">
        <v>1415</v>
      </c>
      <c r="N255" t="s">
        <v>75</v>
      </c>
      <c r="P255" t="s">
        <v>8866</v>
      </c>
      <c r="Q255" s="1">
        <v>1</v>
      </c>
      <c r="R255" t="str">
        <f>"Update Collaborator_Group Set Organisation = '"&amp;E255&amp;"' where Group_ID = '"&amp;A255&amp;"'; "</f>
        <v xml:space="preserve">Update Collaborator_Group Set Organisation = 'Université de Montréal' where Group_ID = 'CG00254'; </v>
      </c>
      <c r="S255" t="str">
        <f>"Update Collaborator_Group Set Group_Name = '"&amp;I255&amp;"' where Group_ID = '"&amp;A255&amp;"'; "</f>
        <v xml:space="preserve">Update Collaborator_Group Set Group_Name = 'RafeiM_UMontreal' where Group_ID = 'CG00254'; </v>
      </c>
      <c r="T255" t="str">
        <f>"Update dcollab.collab_group Set group_code = '"&amp;I255&amp;"' where Group_ID = '"&amp;B255&amp;"'; "</f>
        <v xml:space="preserve">Update dcollab.collab_group Set group_code = 'RafeiM_UMontreal' where Group_ID = 'CGRP00255'; </v>
      </c>
    </row>
    <row r="256" spans="1:20">
      <c r="A256" t="s">
        <v>2021</v>
      </c>
      <c r="B256" t="s">
        <v>9039</v>
      </c>
      <c r="D256" t="s">
        <v>3748</v>
      </c>
      <c r="E256" t="s">
        <v>2024</v>
      </c>
      <c r="F256">
        <f>LEN(I256)</f>
        <v>17</v>
      </c>
      <c r="G256" t="str">
        <f>VLOOKUP(E256,Organisation!$A$2:$C$499,3,FALSE)</f>
        <v>CORG00138</v>
      </c>
      <c r="H256" t="str">
        <f>VLOOKUP(G256,Organisation!$C$2:$E$318,3,FALSE)</f>
        <v>NUIGalway</v>
      </c>
      <c r="I256" t="s">
        <v>5668</v>
      </c>
      <c r="J256">
        <f t="shared" si="3"/>
        <v>1</v>
      </c>
      <c r="L256" t="s">
        <v>73</v>
      </c>
      <c r="M256" t="s">
        <v>2025</v>
      </c>
      <c r="N256" t="s">
        <v>1235</v>
      </c>
      <c r="P256" t="s">
        <v>8866</v>
      </c>
      <c r="Q256" s="1">
        <v>1</v>
      </c>
      <c r="R256" t="str">
        <f>"Update Collaborator_Group Set Organisation = '"&amp;E256&amp;"' where Group_ID = '"&amp;A256&amp;"'; "</f>
        <v xml:space="preserve">Update Collaborator_Group Set Organisation = 'National University of Ireland Galway' where Group_ID = 'CG00255'; </v>
      </c>
      <c r="S256" t="str">
        <f>"Update Collaborator_Group Set Group_Name = '"&amp;I256&amp;"' where Group_ID = '"&amp;A256&amp;"'; "</f>
        <v xml:space="preserve">Update Collaborator_Group Set Group_Name = 'MurphyP_NUIGalway' where Group_ID = 'CG00255'; </v>
      </c>
      <c r="T256" t="str">
        <f>"Update dcollab.collab_group Set group_code = '"&amp;I256&amp;"' where Group_ID = '"&amp;B256&amp;"'; "</f>
        <v xml:space="preserve">Update dcollab.collab_group Set group_code = 'MurphyP_NUIGalway' where Group_ID = 'CGRP00256'; </v>
      </c>
    </row>
    <row r="257" spans="1:20">
      <c r="A257" t="s">
        <v>495</v>
      </c>
      <c r="B257" t="s">
        <v>9181</v>
      </c>
      <c r="D257" t="s">
        <v>494</v>
      </c>
      <c r="E257" t="s">
        <v>499</v>
      </c>
      <c r="F257">
        <f>LEN(I257)</f>
        <v>23</v>
      </c>
      <c r="G257" t="str">
        <f>VLOOKUP(E257,Organisation!$A$2:$C$499,3,FALSE)</f>
        <v>CORG00256</v>
      </c>
      <c r="H257" t="str">
        <f>VLOOKUP(G257,Organisation!$C$2:$E$318,3,FALSE)</f>
        <v>UNorthCarolina</v>
      </c>
      <c r="I257" t="s">
        <v>10470</v>
      </c>
      <c r="J257">
        <f t="shared" si="3"/>
        <v>1</v>
      </c>
      <c r="L257" t="s">
        <v>500</v>
      </c>
      <c r="M257" t="s">
        <v>501</v>
      </c>
      <c r="N257" t="s">
        <v>8808</v>
      </c>
      <c r="P257" t="s">
        <v>8866</v>
      </c>
      <c r="Q257" s="1">
        <v>1</v>
      </c>
      <c r="R257" t="str">
        <f>"Update Collaborator_Group Set Organisation = '"&amp;E257&amp;"' where Group_ID = '"&amp;A257&amp;"'; "</f>
        <v xml:space="preserve">Update Collaborator_Group Set Organisation = 'University of North Carolina at Chapel Hill' where Group_ID = 'CG00256'; </v>
      </c>
      <c r="S257" t="str">
        <f>"Update Collaborator_Group Set Group_Name = '"&amp;I257&amp;"' where Group_ID = '"&amp;A257&amp;"'; "</f>
        <v xml:space="preserve">Update Collaborator_Group Set Group_Name = 'AsquithC_UNorthCarolina' where Group_ID = 'CG00256'; </v>
      </c>
      <c r="T257" t="str">
        <f>"Update dcollab.collab_group Set group_code = '"&amp;I257&amp;"' where Group_ID = '"&amp;B257&amp;"'; "</f>
        <v xml:space="preserve">Update dcollab.collab_group Set group_code = 'AsquithC_UNorthCarolina' where Group_ID = 'CGRP00257'; </v>
      </c>
    </row>
    <row r="258" spans="1:20">
      <c r="A258" t="s">
        <v>4985</v>
      </c>
      <c r="B258" t="s">
        <v>9006</v>
      </c>
      <c r="D258" t="s">
        <v>4984</v>
      </c>
      <c r="E258" t="s">
        <v>4988</v>
      </c>
      <c r="F258">
        <f>LEN(I258)</f>
        <v>16</v>
      </c>
      <c r="G258" t="str">
        <f>VLOOKUP(E258,Organisation!$A$2:$C$499,3,FALSE)</f>
        <v>CORG00113</v>
      </c>
      <c r="H258" t="str">
        <f>VLOOKUP(G258,Organisation!$C$2:$E$318,3,FALSE)</f>
        <v>MasarykU</v>
      </c>
      <c r="I258" t="s">
        <v>5693</v>
      </c>
      <c r="J258">
        <f t="shared" si="3"/>
        <v>1</v>
      </c>
      <c r="L258" t="s">
        <v>73</v>
      </c>
      <c r="M258" t="s">
        <v>4989</v>
      </c>
      <c r="N258" t="s">
        <v>8860</v>
      </c>
      <c r="P258" t="s">
        <v>8866</v>
      </c>
      <c r="Q258" s="1">
        <v>1</v>
      </c>
      <c r="R258" t="str">
        <f>"Update Collaborator_Group Set Organisation = '"&amp;E258&amp;"' where Group_ID = '"&amp;A258&amp;"'; "</f>
        <v xml:space="preserve">Update Collaborator_Group Set Organisation = 'Masaryk University' where Group_ID = 'CG00257'; </v>
      </c>
      <c r="S258" t="str">
        <f>"Update Collaborator_Group Set Group_Name = '"&amp;I258&amp;"' where Group_ID = '"&amp;A258&amp;"'; "</f>
        <v xml:space="preserve">Update Collaborator_Group Set Group_Name = 'SvendaJ_MasarykU' where Group_ID = 'CG00257'; </v>
      </c>
      <c r="T258" t="str">
        <f>"Update dcollab.collab_group Set group_code = '"&amp;I258&amp;"' where Group_ID = '"&amp;B258&amp;"'; "</f>
        <v xml:space="preserve">Update dcollab.collab_group Set group_code = 'SvendaJ_MasarykU' where Group_ID = 'CGRP00258'; </v>
      </c>
    </row>
    <row r="259" spans="1:20">
      <c r="A259" t="s">
        <v>505</v>
      </c>
      <c r="B259" t="s">
        <v>9256</v>
      </c>
      <c r="D259" t="s">
        <v>2492</v>
      </c>
      <c r="E259" t="s">
        <v>220</v>
      </c>
      <c r="F259">
        <f>LEN(I259)</f>
        <v>21</v>
      </c>
      <c r="G259" t="str">
        <f>VLOOKUP(E259,Organisation!$A$2:$C$499,3,FALSE)</f>
        <v>CORG00300</v>
      </c>
      <c r="H259" t="str">
        <f>VLOOKUP(G259,Organisation!$C$2:$E$318,3,FALSE)</f>
        <v>VUWellington</v>
      </c>
      <c r="I259" t="s">
        <v>5503</v>
      </c>
      <c r="J259">
        <f t="shared" ref="J259:J322" si="4">COUNTIF($I$2:$I$416,I259)</f>
        <v>1</v>
      </c>
      <c r="L259" t="s">
        <v>509</v>
      </c>
      <c r="M259" t="s">
        <v>510</v>
      </c>
      <c r="N259" t="s">
        <v>223</v>
      </c>
      <c r="P259" t="s">
        <v>8866</v>
      </c>
      <c r="Q259" s="1">
        <v>1</v>
      </c>
      <c r="R259" t="str">
        <f>"Update Collaborator_Group Set Organisation = '"&amp;E259&amp;"' where Group_ID = '"&amp;A259&amp;"'; "</f>
        <v xml:space="preserve">Update Collaborator_Group Set Organisation = 'Victoria University of Wellington' where Group_ID = 'CG00258'; </v>
      </c>
      <c r="S259" t="str">
        <f>"Update Collaborator_Group Set Group_Name = '"&amp;I259&amp;"' where Group_ID = '"&amp;A259&amp;"'; "</f>
        <v xml:space="preserve">Update Collaborator_Group Set Group_Name = 'HinkleyS_VUWellington' where Group_ID = 'CG00258'; </v>
      </c>
      <c r="T259" t="str">
        <f>"Update dcollab.collab_group Set group_code = '"&amp;I259&amp;"' where Group_ID = '"&amp;B259&amp;"'; "</f>
        <v xml:space="preserve">Update dcollab.collab_group Set group_code = 'HinkleyS_VUWellington' where Group_ID = 'CGRP00259'; </v>
      </c>
    </row>
    <row r="260" spans="1:20">
      <c r="A260" t="s">
        <v>5093</v>
      </c>
      <c r="B260" t="s">
        <v>8892</v>
      </c>
      <c r="D260" t="s">
        <v>5335</v>
      </c>
      <c r="E260" t="s">
        <v>5096</v>
      </c>
      <c r="F260">
        <f>LEN(I260)</f>
        <v>13</v>
      </c>
      <c r="G260" t="str">
        <f>VLOOKUP(E260,Organisation!$A$2:$C$499,3,FALSE)</f>
        <v>CORG00016</v>
      </c>
      <c r="H260" t="str">
        <f>VLOOKUP(G260,Organisation!$C$2:$E$318,3,FALSE)</f>
        <v>BaylorU</v>
      </c>
      <c r="I260" t="s">
        <v>5781</v>
      </c>
      <c r="J260">
        <f t="shared" si="4"/>
        <v>1</v>
      </c>
      <c r="L260" t="s">
        <v>640</v>
      </c>
      <c r="M260" t="s">
        <v>5097</v>
      </c>
      <c r="N260" t="s">
        <v>8808</v>
      </c>
      <c r="P260" t="s">
        <v>8866</v>
      </c>
      <c r="Q260" s="1">
        <v>1</v>
      </c>
      <c r="R260" t="str">
        <f>"Update Collaborator_Group Set Organisation = '"&amp;E260&amp;"' where Group_ID = '"&amp;A260&amp;"'; "</f>
        <v xml:space="preserve">Update Collaborator_Group Set Organisation = 'Baylor University' where Group_ID = 'CG00259'; </v>
      </c>
      <c r="S260" t="str">
        <f>"Update Collaborator_Group Set Group_Name = '"&amp;I260&amp;"' where Group_ID = '"&amp;A260&amp;"'; "</f>
        <v xml:space="preserve">Update Collaborator_Group Set Group_Name = 'WoodJ_BaylorU' where Group_ID = 'CG00259'; </v>
      </c>
      <c r="T260" t="str">
        <f>"Update dcollab.collab_group Set group_code = '"&amp;I260&amp;"' where Group_ID = '"&amp;B260&amp;"'; "</f>
        <v xml:space="preserve">Update dcollab.collab_group Set group_code = 'WoodJ_BaylorU' where Group_ID = 'CGRP00260'; </v>
      </c>
    </row>
    <row r="261" spans="1:20">
      <c r="A261" t="s">
        <v>561</v>
      </c>
      <c r="B261" t="s">
        <v>9023</v>
      </c>
      <c r="D261" t="s">
        <v>3861</v>
      </c>
      <c r="E261" t="s">
        <v>517</v>
      </c>
      <c r="F261">
        <f>LEN(I261)</f>
        <v>14</v>
      </c>
      <c r="G261" t="str">
        <f>VLOOKUP(E261,Organisation!$A$2:$C$499,3,FALSE)</f>
        <v>CORG00125</v>
      </c>
      <c r="H261" t="str">
        <f>VLOOKUP(G261,Organisation!$C$2:$E$318,3,FALSE)</f>
        <v>Monash</v>
      </c>
      <c r="I261" t="s">
        <v>5678</v>
      </c>
      <c r="J261">
        <f t="shared" si="4"/>
        <v>1</v>
      </c>
      <c r="L261" t="s">
        <v>565</v>
      </c>
      <c r="M261" t="s">
        <v>5677</v>
      </c>
      <c r="N261" t="s">
        <v>14</v>
      </c>
      <c r="P261" t="s">
        <v>8866</v>
      </c>
      <c r="Q261" s="1">
        <v>1</v>
      </c>
      <c r="R261" t="str">
        <f>"Update Collaborator_Group Set Organisation = '"&amp;E261&amp;"' where Group_ID = '"&amp;A261&amp;"'; "</f>
        <v xml:space="preserve">Update Collaborator_Group Set Organisation = 'Monash University' where Group_ID = 'CG00260'; </v>
      </c>
      <c r="S261" t="str">
        <f>"Update Collaborator_Group Set Group_Name = '"&amp;I261&amp;"' where Group_ID = '"&amp;A261&amp;"'; "</f>
        <v xml:space="preserve">Update Collaborator_Group Set Group_Name = 'NortonR_Monash' where Group_ID = 'CG00260'; </v>
      </c>
      <c r="T261" t="str">
        <f>"Update dcollab.collab_group Set group_code = '"&amp;I261&amp;"' where Group_ID = '"&amp;B261&amp;"'; "</f>
        <v xml:space="preserve">Update dcollab.collab_group Set group_code = 'NortonR_Monash' where Group_ID = 'CGRP00261'; </v>
      </c>
    </row>
    <row r="262" spans="1:20">
      <c r="A262" t="s">
        <v>4708</v>
      </c>
      <c r="B262" t="s">
        <v>9222</v>
      </c>
      <c r="D262" t="s">
        <v>4707</v>
      </c>
      <c r="E262" t="s">
        <v>4289</v>
      </c>
      <c r="F262">
        <f>LEN(I262)</f>
        <v>14</v>
      </c>
      <c r="G262" t="str">
        <f>VLOOKUP(E262,Organisation!$A$2:$C$499,3,FALSE)</f>
        <v>CORG00273</v>
      </c>
      <c r="H262" t="str">
        <f>VLOOKUP(G262,Organisation!$C$2:$E$318,3,FALSE)</f>
        <v>UTSyd</v>
      </c>
      <c r="I262" t="s">
        <v>10471</v>
      </c>
      <c r="J262">
        <f t="shared" si="4"/>
        <v>1</v>
      </c>
      <c r="L262" t="s">
        <v>5530</v>
      </c>
      <c r="M262" t="s">
        <v>4713</v>
      </c>
      <c r="N262" t="s">
        <v>14</v>
      </c>
      <c r="P262" t="s">
        <v>8866</v>
      </c>
      <c r="Q262" s="1">
        <v>1</v>
      </c>
      <c r="R262" t="str">
        <f>"Update Collaborator_Group Set Organisation = '"&amp;E262&amp;"' where Group_ID = '"&amp;A262&amp;"'; "</f>
        <v xml:space="preserve">Update Collaborator_Group Set Organisation = 'University of Technology Sydney' where Group_ID = 'CG00261'; </v>
      </c>
      <c r="S262" t="str">
        <f>"Update Collaborator_Group Set Group_Name = '"&amp;I262&amp;"' where Group_ID = '"&amp;A262&amp;"'; "</f>
        <v xml:space="preserve">Update Collaborator_Group Set Group_Name = 'ShimmonR_UTSyd' where Group_ID = 'CG00261'; </v>
      </c>
      <c r="T262" t="str">
        <f>"Update dcollab.collab_group Set group_code = '"&amp;I262&amp;"' where Group_ID = '"&amp;B262&amp;"'; "</f>
        <v xml:space="preserve">Update dcollab.collab_group Set group_code = 'ShimmonR_UTSyd' where Group_ID = 'CGRP00262'; </v>
      </c>
    </row>
    <row r="263" spans="1:20">
      <c r="A263" t="s">
        <v>4353</v>
      </c>
      <c r="B263" t="s">
        <v>9273</v>
      </c>
      <c r="D263" t="s">
        <v>4352</v>
      </c>
      <c r="E263" t="s">
        <v>8743</v>
      </c>
      <c r="F263">
        <f>LEN(I263)</f>
        <v>11</v>
      </c>
      <c r="G263" t="str">
        <f>VLOOKUP(E263,Organisation!$A$2:$C$499,3,FALSE)</f>
        <v>CORG00314</v>
      </c>
      <c r="H263" t="e">
        <f>VLOOKUP(G263,Organisation!$C$2:$E$318,3,FALSE)</f>
        <v>#N/A</v>
      </c>
      <c r="I263" t="s">
        <v>5486</v>
      </c>
      <c r="J263">
        <f t="shared" si="4"/>
        <v>1</v>
      </c>
      <c r="L263" t="s">
        <v>4358</v>
      </c>
      <c r="M263" t="s">
        <v>4359</v>
      </c>
      <c r="N263" t="s">
        <v>253</v>
      </c>
      <c r="P263" t="s">
        <v>8866</v>
      </c>
      <c r="Q263" s="1">
        <v>1</v>
      </c>
      <c r="R263" t="str">
        <f>"Update Collaborator_Group Set Organisation = '"&amp;E263&amp;"' where Group_ID = '"&amp;A263&amp;"'; "</f>
        <v xml:space="preserve">Update Collaborator_Group Set Organisation = 'Zurich University of Applied Sciences' where Group_ID = 'CG00262'; </v>
      </c>
      <c r="S263" t="str">
        <f>"Update Collaborator_Group Set Group_Name = '"&amp;I263&amp;"' where Group_ID = '"&amp;A263&amp;"'; "</f>
        <v xml:space="preserve">Update Collaborator_Group Set Group_Name = 'RiedlR_ZHAW' where Group_ID = 'CG00262'; </v>
      </c>
      <c r="T263" t="str">
        <f>"Update dcollab.collab_group Set group_code = '"&amp;I263&amp;"' where Group_ID = '"&amp;B263&amp;"'; "</f>
        <v xml:space="preserve">Update dcollab.collab_group Set group_code = 'RiedlR_ZHAW' where Group_ID = 'CGRP00263'; </v>
      </c>
    </row>
    <row r="264" spans="1:20">
      <c r="A264" t="s">
        <v>1213</v>
      </c>
      <c r="B264" t="s">
        <v>9220</v>
      </c>
      <c r="D264" t="s">
        <v>1212</v>
      </c>
      <c r="E264" t="s">
        <v>389</v>
      </c>
      <c r="F264">
        <f>LEN(I264)</f>
        <v>10</v>
      </c>
      <c r="G264" t="str">
        <f>VLOOKUP(E264,Organisation!$A$2:$C$499,3,FALSE)</f>
        <v>CORG00271</v>
      </c>
      <c r="H264" t="str">
        <f>VLOOKUP(G264,Organisation!$C$2:$E$318,3,FALSE)</f>
        <v>USYD</v>
      </c>
      <c r="I264" t="s">
        <v>10472</v>
      </c>
      <c r="J264">
        <f t="shared" si="4"/>
        <v>1</v>
      </c>
      <c r="L264" t="s">
        <v>1217</v>
      </c>
      <c r="M264" t="s">
        <v>1218</v>
      </c>
      <c r="N264" t="s">
        <v>14</v>
      </c>
      <c r="P264" t="s">
        <v>8866</v>
      </c>
      <c r="Q264" s="1">
        <v>1</v>
      </c>
      <c r="R264" t="str">
        <f>"Update Collaborator_Group Set Organisation = '"&amp;E264&amp;"' where Group_ID = '"&amp;A264&amp;"'; "</f>
        <v xml:space="preserve">Update Collaborator_Group Set Organisation = 'University of Sydney' where Group_ID = 'CG00263'; </v>
      </c>
      <c r="S264" t="str">
        <f>"Update Collaborator_Group Set Group_Name = '"&amp;I264&amp;"' where Group_ID = '"&amp;A264&amp;"'; "</f>
        <v xml:space="preserve">Update Collaborator_Group Set Group_Name = 'CoddR_USYD' where Group_ID = 'CG00263'; </v>
      </c>
      <c r="T264" t="str">
        <f>"Update dcollab.collab_group Set group_code = '"&amp;I264&amp;"' where Group_ID = '"&amp;B264&amp;"'; "</f>
        <v xml:space="preserve">Update dcollab.collab_group Set group_code = 'CoddR_USYD' where Group_ID = 'CGRP00264'; </v>
      </c>
    </row>
    <row r="265" spans="1:20">
      <c r="A265" t="s">
        <v>708</v>
      </c>
      <c r="B265" t="s">
        <v>9061</v>
      </c>
      <c r="D265" t="s">
        <v>707</v>
      </c>
      <c r="E265" t="s">
        <v>711</v>
      </c>
      <c r="F265">
        <f>LEN(I265)</f>
        <v>15</v>
      </c>
      <c r="G265" t="str">
        <f>VLOOKUP(E265,Organisation!$A$2:$C$499,3,FALSE)</f>
        <v>CORG00158</v>
      </c>
      <c r="H265" t="str">
        <f>VLOOKUP(G265,Organisation!$C$2:$E$318,3,FALSE)</f>
        <v>RhodesU</v>
      </c>
      <c r="I265" t="s">
        <v>10473</v>
      </c>
      <c r="J265">
        <f t="shared" si="4"/>
        <v>1</v>
      </c>
      <c r="L265" t="s">
        <v>712</v>
      </c>
      <c r="M265" t="s">
        <v>713</v>
      </c>
      <c r="N265" t="s">
        <v>609</v>
      </c>
      <c r="P265" t="s">
        <v>8866</v>
      </c>
      <c r="Q265" s="1">
        <v>1</v>
      </c>
      <c r="R265" t="str">
        <f>"Update Collaborator_Group Set Organisation = '"&amp;E265&amp;"' where Group_ID = '"&amp;A265&amp;"'; "</f>
        <v xml:space="preserve">Update Collaborator_Group Set Organisation = 'Rhodes University' where Group_ID = 'CG00264'; </v>
      </c>
      <c r="S265" t="str">
        <f>"Update Collaborator_Group Set Group_Name = '"&amp;I265&amp;"' where Group_ID = '"&amp;A265&amp;"'; "</f>
        <v xml:space="preserve">Update Collaborator_Group Set Group_Name = 'BeteckR_RhodesU' where Group_ID = 'CG00264'; </v>
      </c>
      <c r="T265" t="str">
        <f>"Update dcollab.collab_group Set group_code = '"&amp;I265&amp;"' where Group_ID = '"&amp;B265&amp;"'; "</f>
        <v xml:space="preserve">Update dcollab.collab_group Set group_code = 'BeteckR_RhodesU' where Group_ID = 'CGRP00265'; </v>
      </c>
    </row>
    <row r="266" spans="1:20">
      <c r="A266" t="s">
        <v>786</v>
      </c>
      <c r="B266" t="s">
        <v>8901</v>
      </c>
      <c r="D266" t="s">
        <v>3778</v>
      </c>
      <c r="E266" t="s">
        <v>790</v>
      </c>
      <c r="F266">
        <f>LEN(I266)</f>
        <v>14</v>
      </c>
      <c r="G266" t="str">
        <f>VLOOKUP(E266,Organisation!$A$2:$C$499,3,FALSE)</f>
        <v>CORG00024</v>
      </c>
      <c r="H266" t="str">
        <f>VLOOKUP(G266,Organisation!$C$2:$E$318,3,FALSE)</f>
        <v>BroadI</v>
      </c>
      <c r="I266" t="s">
        <v>5623</v>
      </c>
      <c r="J266">
        <f t="shared" si="4"/>
        <v>1</v>
      </c>
      <c r="L266" t="s">
        <v>791</v>
      </c>
      <c r="M266" t="s">
        <v>792</v>
      </c>
      <c r="N266" t="s">
        <v>8808</v>
      </c>
      <c r="P266" t="s">
        <v>8866</v>
      </c>
      <c r="Q266" s="1">
        <v>1</v>
      </c>
      <c r="R266" t="str">
        <f>"Update Collaborator_Group Set Organisation = '"&amp;E266&amp;"' where Group_ID = '"&amp;A266&amp;"'; "</f>
        <v xml:space="preserve">Update Collaborator_Group Set Organisation = 'Broad Institute' where Group_ID = 'CG00265'; </v>
      </c>
      <c r="S266" t="str">
        <f>"Update Collaborator_Group Set Group_Name = '"&amp;I266&amp;"' where Group_ID = '"&amp;A266&amp;"'; "</f>
        <v xml:space="preserve">Update Collaborator_Group Set Group_Name = 'BroadInstitute' where Group_ID = 'CG00265'; </v>
      </c>
      <c r="T266" t="str">
        <f>"Update dcollab.collab_group Set group_code = '"&amp;I266&amp;"' where Group_ID = '"&amp;B266&amp;"'; "</f>
        <v xml:space="preserve">Update dcollab.collab_group Set group_code = 'BroadInstitute' where Group_ID = 'CGRP00266'; </v>
      </c>
    </row>
    <row r="267" spans="1:20">
      <c r="A267" t="s">
        <v>1803</v>
      </c>
      <c r="B267" t="s">
        <v>9031</v>
      </c>
      <c r="D267" t="s">
        <v>1802</v>
      </c>
      <c r="E267" t="s">
        <v>8768</v>
      </c>
      <c r="F267">
        <f>LEN(I267)</f>
        <v>17</v>
      </c>
      <c r="G267" t="str">
        <f>VLOOKUP(E267,Organisation!$A$2:$C$499,3,FALSE)</f>
        <v>CORG00131</v>
      </c>
      <c r="H267" t="str">
        <f>VLOOKUP(G267,Organisation!$C$2:$E$318,3,FALSE)</f>
        <v>NCRRT</v>
      </c>
      <c r="I267" t="s">
        <v>10474</v>
      </c>
      <c r="J267">
        <f t="shared" si="4"/>
        <v>1</v>
      </c>
      <c r="L267" t="s">
        <v>1807</v>
      </c>
      <c r="M267" t="s">
        <v>1808</v>
      </c>
      <c r="N267" t="s">
        <v>55</v>
      </c>
      <c r="P267" t="s">
        <v>8866</v>
      </c>
      <c r="Q267" s="1">
        <v>1</v>
      </c>
      <c r="R267" t="str">
        <f>"Update Collaborator_Group Set Organisation = '"&amp;E267&amp;"' where Group_ID = '"&amp;A267&amp;"'; "</f>
        <v xml:space="preserve">Update Collaborator_Group Set Organisation = 'National Center for Radiation Research and Technology' where Group_ID = 'CG00266'; </v>
      </c>
      <c r="S267" t="str">
        <f>"Update Collaborator_Group Set Group_Name = '"&amp;I267&amp;"' where Group_ID = '"&amp;A267&amp;"'; "</f>
        <v xml:space="preserve">Update Collaborator_Group Set Group_Name = 'Ell-GazzarM_NCRRT' where Group_ID = 'CG00266'; </v>
      </c>
      <c r="T267" t="str">
        <f>"Update dcollab.collab_group Set group_code = '"&amp;I267&amp;"' where Group_ID = '"&amp;B267&amp;"'; "</f>
        <v xml:space="preserve">Update dcollab.collab_group Set group_code = 'Ell-GazzarM_NCRRT' where Group_ID = 'CGRP00267'; </v>
      </c>
    </row>
    <row r="268" spans="1:20">
      <c r="A268" t="s">
        <v>2757</v>
      </c>
      <c r="B268" t="s">
        <v>9257</v>
      </c>
      <c r="D268" t="s">
        <v>2756</v>
      </c>
      <c r="E268" t="s">
        <v>1446</v>
      </c>
      <c r="F268">
        <f>LEN(I268)</f>
        <v>9</v>
      </c>
      <c r="G268" t="str">
        <f>VLOOKUP(E268,Organisation!$A$2:$C$499,3,FALSE)</f>
        <v>CORG00301</v>
      </c>
      <c r="H268" t="str">
        <f>VLOOKUP(G268,Organisation!$C$2:$E$318,3,FALSE)</f>
        <v>VIT</v>
      </c>
      <c r="I268" t="s">
        <v>10475</v>
      </c>
      <c r="J268">
        <f t="shared" si="4"/>
        <v>1</v>
      </c>
      <c r="L268" t="s">
        <v>84</v>
      </c>
      <c r="M268" t="s">
        <v>2760</v>
      </c>
      <c r="N268" t="s">
        <v>211</v>
      </c>
      <c r="P268" t="s">
        <v>8866</v>
      </c>
      <c r="Q268" s="1">
        <v>1</v>
      </c>
      <c r="R268" t="str">
        <f>"Update Collaborator_Group Set Organisation = '"&amp;E268&amp;"' where Group_ID = '"&amp;A268&amp;"'; "</f>
        <v xml:space="preserve">Update Collaborator_Group Set Organisation = 'VIT University' where Group_ID = 'CG00267'; </v>
      </c>
      <c r="S268" t="str">
        <f>"Update Collaborator_Group Set Group_Name = '"&amp;I268&amp;"' where Group_ID = '"&amp;A268&amp;"'; "</f>
        <v xml:space="preserve">Update Collaborator_Group Set Group_Name = 'KahnN_VIT' where Group_ID = 'CG00267'; </v>
      </c>
      <c r="T268" t="str">
        <f>"Update dcollab.collab_group Set group_code = '"&amp;I268&amp;"' where Group_ID = '"&amp;B268&amp;"'; "</f>
        <v xml:space="preserve">Update dcollab.collab_group Set group_code = 'KahnN_VIT' where Group_ID = 'CGRP00268'; </v>
      </c>
    </row>
    <row r="269" spans="1:20">
      <c r="A269" t="s">
        <v>412</v>
      </c>
      <c r="B269" t="s">
        <v>9205</v>
      </c>
      <c r="D269" t="s">
        <v>3973</v>
      </c>
      <c r="E269" t="s">
        <v>362</v>
      </c>
      <c r="F269">
        <f>LEN(I269)</f>
        <v>10</v>
      </c>
      <c r="G269" t="str">
        <f>VLOOKUP(E269,Organisation!$A$2:$C$499,3,FALSE)</f>
        <v>CORG00001</v>
      </c>
      <c r="H269" t="str">
        <f>VLOOKUP(G269,Organisation!$C$2:$E$318,3,FALSE)</f>
        <v>UQ</v>
      </c>
      <c r="I269" t="s">
        <v>5547</v>
      </c>
      <c r="J269">
        <f t="shared" si="4"/>
        <v>1</v>
      </c>
      <c r="L269" t="s">
        <v>435</v>
      </c>
      <c r="M269" t="s">
        <v>5546</v>
      </c>
      <c r="N269" t="s">
        <v>14</v>
      </c>
      <c r="P269" t="s">
        <v>8866</v>
      </c>
      <c r="Q269" s="1">
        <v>1</v>
      </c>
      <c r="R269" t="str">
        <f>"Update Collaborator_Group Set Organisation = '"&amp;E269&amp;"' where Group_ID = '"&amp;A269&amp;"'; "</f>
        <v xml:space="preserve">Update Collaborator_Group Set Organisation = 'University of Queensland' where Group_ID = 'CG00268'; </v>
      </c>
      <c r="S269" t="str">
        <f>"Update Collaborator_Group Set Group_Name = '"&amp;I269&amp;"' where Group_ID = '"&amp;A269&amp;"'; "</f>
        <v xml:space="preserve">Update Collaborator_Group Set Group_Name = 'ParekhH_UQ' where Group_ID = 'CG00268'; </v>
      </c>
      <c r="T269" t="str">
        <f>"Update dcollab.collab_group Set group_code = '"&amp;I269&amp;"' where Group_ID = '"&amp;B269&amp;"'; "</f>
        <v xml:space="preserve">Update dcollab.collab_group Set group_code = 'ParekhH_UQ' where Group_ID = 'CGRP00269'; </v>
      </c>
    </row>
    <row r="270" spans="1:20">
      <c r="A270" t="s">
        <v>377</v>
      </c>
      <c r="B270" t="s">
        <v>9150</v>
      </c>
      <c r="D270" t="s">
        <v>3763</v>
      </c>
      <c r="E270" t="s">
        <v>381</v>
      </c>
      <c r="F270">
        <f>LEN(I270)</f>
        <v>26</v>
      </c>
      <c r="G270" t="str">
        <f>VLOOKUP(E270,Organisation!$A$2:$C$499,3,FALSE)</f>
        <v>CORG00229</v>
      </c>
      <c r="H270" t="str">
        <f>VLOOKUP(G270,Organisation!$C$2:$E$318,3,FALSE)</f>
        <v>UEastAnglia</v>
      </c>
      <c r="I270" t="s">
        <v>10476</v>
      </c>
      <c r="J270">
        <f t="shared" si="4"/>
        <v>1</v>
      </c>
      <c r="L270" t="s">
        <v>170</v>
      </c>
      <c r="M270" t="s">
        <v>382</v>
      </c>
      <c r="N270" t="s">
        <v>269</v>
      </c>
      <c r="P270" t="s">
        <v>8866</v>
      </c>
      <c r="Q270" s="1">
        <v>1</v>
      </c>
      <c r="R270" t="str">
        <f>"Update Collaborator_Group Set Organisation = '"&amp;E270&amp;"' where Group_ID = '"&amp;A270&amp;"'; "</f>
        <v xml:space="preserve">Update Collaborator_Group Set Organisation = 'University of East Anglia' where Group_ID = 'CG00269'; </v>
      </c>
      <c r="S270" t="str">
        <f>"Update Collaborator_Group Set Group_Name = '"&amp;I270&amp;"' where Group_ID = '"&amp;A270&amp;"'; "</f>
        <v xml:space="preserve">Update Collaborator_Group Set Group_Name = 'Muñoz-HerranzM_UEastAnglia' where Group_ID = 'CG00269'; </v>
      </c>
      <c r="T270" t="str">
        <f>"Update dcollab.collab_group Set group_code = '"&amp;I270&amp;"' where Group_ID = '"&amp;B270&amp;"'; "</f>
        <v xml:space="preserve">Update dcollab.collab_group Set group_code = 'Muñoz-HerranzM_UEastAnglia' where Group_ID = 'CGRP00270'; </v>
      </c>
    </row>
    <row r="271" spans="1:20">
      <c r="A271" t="s">
        <v>4286</v>
      </c>
      <c r="B271" t="s">
        <v>9223</v>
      </c>
      <c r="D271" t="s">
        <v>4285</v>
      </c>
      <c r="E271" t="s">
        <v>4289</v>
      </c>
      <c r="F271">
        <f>LEN(I271)</f>
        <v>14</v>
      </c>
      <c r="G271" t="str">
        <f>VLOOKUP(E271,Organisation!$A$2:$C$499,3,FALSE)</f>
        <v>CORG00273</v>
      </c>
      <c r="H271" t="str">
        <f>VLOOKUP(G271,Organisation!$C$2:$E$318,3,FALSE)</f>
        <v>UTSyd</v>
      </c>
      <c r="I271" t="s">
        <v>10477</v>
      </c>
      <c r="J271">
        <f t="shared" si="4"/>
        <v>1</v>
      </c>
      <c r="L271" t="s">
        <v>4290</v>
      </c>
      <c r="M271" t="s">
        <v>4291</v>
      </c>
      <c r="N271" t="s">
        <v>14</v>
      </c>
      <c r="P271" t="s">
        <v>8866</v>
      </c>
      <c r="Q271" s="1">
        <v>1</v>
      </c>
      <c r="R271" t="str">
        <f>"Update Collaborator_Group Set Organisation = '"&amp;E271&amp;"' where Group_ID = '"&amp;A271&amp;"'; "</f>
        <v xml:space="preserve">Update Collaborator_Group Set Organisation = 'University of Technology Sydney' where Group_ID = 'CG00270'; </v>
      </c>
      <c r="S271" t="str">
        <f>"Update Collaborator_Group Set Group_Name = '"&amp;I271&amp;"' where Group_ID = '"&amp;A271&amp;"'; "</f>
        <v xml:space="preserve">Update Collaborator_Group Set Group_Name = 'RawlingT_UTSyd' where Group_ID = 'CG00270'; </v>
      </c>
      <c r="T271" t="str">
        <f>"Update dcollab.collab_group Set group_code = '"&amp;I271&amp;"' where Group_ID = '"&amp;B271&amp;"'; "</f>
        <v xml:space="preserve">Update dcollab.collab_group Set group_code = 'RawlingT_UTSyd' where Group_ID = 'CGRP00271'; </v>
      </c>
    </row>
    <row r="272" spans="1:20">
      <c r="A272" t="s">
        <v>1443</v>
      </c>
      <c r="B272" t="s">
        <v>9258</v>
      </c>
      <c r="D272" t="s">
        <v>1442</v>
      </c>
      <c r="E272" t="s">
        <v>1446</v>
      </c>
      <c r="F272">
        <f>LEN(I272)</f>
        <v>12</v>
      </c>
      <c r="G272" t="str">
        <f>VLOOKUP(E272,Organisation!$A$2:$C$499,3,FALSE)</f>
        <v>CORG00301</v>
      </c>
      <c r="H272" t="str">
        <f>VLOOKUP(G272,Organisation!$C$2:$E$318,3,FALSE)</f>
        <v>VIT</v>
      </c>
      <c r="I272" t="s">
        <v>10478</v>
      </c>
      <c r="J272">
        <f t="shared" si="4"/>
        <v>1</v>
      </c>
      <c r="L272" t="s">
        <v>1447</v>
      </c>
      <c r="M272" t="s">
        <v>1448</v>
      </c>
      <c r="N272" t="s">
        <v>211</v>
      </c>
      <c r="P272" t="s">
        <v>8866</v>
      </c>
      <c r="Q272" s="1">
        <v>1</v>
      </c>
      <c r="R272" t="str">
        <f>"Update Collaborator_Group Set Organisation = '"&amp;E272&amp;"' where Group_ID = '"&amp;A272&amp;"'; "</f>
        <v xml:space="preserve">Update Collaborator_Group Set Organisation = 'VIT University' where Group_ID = 'CG00271'; </v>
      </c>
      <c r="S272" t="str">
        <f>"Update Collaborator_Group Set Group_Name = '"&amp;I272&amp;"' where Group_ID = '"&amp;A272&amp;"'; "</f>
        <v xml:space="preserve">Update Collaborator_Group Set Group_Name = 'DalavaiR_VIT' where Group_ID = 'CG00271'; </v>
      </c>
      <c r="T272" t="str">
        <f>"Update dcollab.collab_group Set group_code = '"&amp;I272&amp;"' where Group_ID = '"&amp;B272&amp;"'; "</f>
        <v xml:space="preserve">Update dcollab.collab_group Set group_code = 'DalavaiR_VIT' where Group_ID = 'CGRP00272'; </v>
      </c>
    </row>
    <row r="273" spans="1:20">
      <c r="A273" t="s">
        <v>2595</v>
      </c>
      <c r="B273" t="s">
        <v>9012</v>
      </c>
      <c r="D273" t="s">
        <v>5033</v>
      </c>
      <c r="E273" t="s">
        <v>8767</v>
      </c>
      <c r="F273">
        <f>LEN(I273)</f>
        <v>10</v>
      </c>
      <c r="G273" t="str">
        <f>VLOOKUP(E273,Organisation!$A$2:$C$499,3,FALSE)</f>
        <v>CORG00119</v>
      </c>
      <c r="H273" t="str">
        <f>VLOOKUP(G273,Organisation!$C$2:$E$318,3,FALSE)</f>
        <v>MSKCC</v>
      </c>
      <c r="I273" t="s">
        <v>5689</v>
      </c>
      <c r="J273">
        <f t="shared" si="4"/>
        <v>1</v>
      </c>
      <c r="L273" t="s">
        <v>2600</v>
      </c>
      <c r="M273" t="s">
        <v>2601</v>
      </c>
      <c r="N273" t="s">
        <v>8808</v>
      </c>
      <c r="O273" t="s">
        <v>5688</v>
      </c>
      <c r="P273" t="s">
        <v>8867</v>
      </c>
      <c r="Q273" s="1">
        <v>1</v>
      </c>
      <c r="R273" t="str">
        <f>"Update Collaborator_Group Set Organisation = '"&amp;E273&amp;"' where Group_ID = '"&amp;A273&amp;"'; "</f>
        <v xml:space="preserve">Update Collaborator_Group Set Organisation = 'Memorial Sloan Kettering Cancer Center' where Group_ID = 'CG00272'; </v>
      </c>
      <c r="S273" t="str">
        <f>"Update Collaborator_Group Set Group_Name = '"&amp;I273&amp;"' where Group_ID = '"&amp;A273&amp;"'; "</f>
        <v xml:space="preserve">Update Collaborator_Group Set Group_Name = 'TanD_MSKCC' where Group_ID = 'CG00272'; </v>
      </c>
      <c r="T273" t="str">
        <f>"Update dcollab.collab_group Set group_code = '"&amp;I273&amp;"' where Group_ID = '"&amp;B273&amp;"'; "</f>
        <v xml:space="preserve">Update dcollab.collab_group Set group_code = 'TanD_MSKCC' where Group_ID = 'CGRP00273'; </v>
      </c>
    </row>
    <row r="274" spans="1:20">
      <c r="A274" t="s">
        <v>2970</v>
      </c>
      <c r="B274" t="s">
        <v>9260</v>
      </c>
      <c r="D274" t="s">
        <v>2969</v>
      </c>
      <c r="E274" t="s">
        <v>2972</v>
      </c>
      <c r="F274">
        <f>LEN(I274)</f>
        <v>17</v>
      </c>
      <c r="G274" t="str">
        <f>VLOOKUP(E274,Organisation!$A$2:$C$499,3,FALSE)</f>
        <v>CORG00303</v>
      </c>
      <c r="H274" t="str">
        <f>VLOOKUP(G274,Organisation!$C$2:$E$318,3,FALSE)</f>
        <v>WakeForestU</v>
      </c>
      <c r="I274" t="s">
        <v>5501</v>
      </c>
      <c r="J274">
        <f t="shared" si="4"/>
        <v>1</v>
      </c>
      <c r="L274" t="s">
        <v>84</v>
      </c>
      <c r="M274" t="s">
        <v>2973</v>
      </c>
      <c r="N274" t="s">
        <v>8808</v>
      </c>
      <c r="P274" t="s">
        <v>8866</v>
      </c>
      <c r="Q274" s="1">
        <v>1</v>
      </c>
      <c r="R274" t="str">
        <f>"Update Collaborator_Group Set Organisation = '"&amp;E274&amp;"' where Group_ID = '"&amp;A274&amp;"'; "</f>
        <v xml:space="preserve">Update Collaborator_Group Set Organisation = 'Wake Forest University' where Group_ID = 'CG00273'; </v>
      </c>
      <c r="S274" t="str">
        <f>"Update Collaborator_Group Set Group_Name = '"&amp;I274&amp;"' where Group_ID = '"&amp;A274&amp;"'; "</f>
        <v xml:space="preserve">Update Collaborator_Group Set Group_Name = 'KingB_WakeForestU' where Group_ID = 'CG00273'; </v>
      </c>
      <c r="T274" t="str">
        <f>"Update dcollab.collab_group Set group_code = '"&amp;I274&amp;"' where Group_ID = '"&amp;B274&amp;"'; "</f>
        <v xml:space="preserve">Update dcollab.collab_group Set group_code = 'KingB_WakeForestU' where Group_ID = 'CGRP00274'; </v>
      </c>
    </row>
    <row r="275" spans="1:20">
      <c r="A275" t="s">
        <v>1003</v>
      </c>
      <c r="B275" t="s">
        <v>9228</v>
      </c>
      <c r="D275" t="s">
        <v>1002</v>
      </c>
      <c r="E275" t="s">
        <v>1007</v>
      </c>
      <c r="F275">
        <f>LEN(I275)</f>
        <v>20</v>
      </c>
      <c r="G275" t="str">
        <f>VLOOKUP(E275,Organisation!$A$2:$C$499,3,FALSE)</f>
        <v>CORG00279</v>
      </c>
      <c r="H275" t="str">
        <f>VLOOKUP(G275,Organisation!$C$2:$E$318,3,FALSE)</f>
        <v>UWesternCape</v>
      </c>
      <c r="I275" t="s">
        <v>5515</v>
      </c>
      <c r="J275">
        <f t="shared" si="4"/>
        <v>1</v>
      </c>
      <c r="L275" t="s">
        <v>1008</v>
      </c>
      <c r="M275" t="s">
        <v>1009</v>
      </c>
      <c r="N275" t="s">
        <v>609</v>
      </c>
      <c r="O275" t="s">
        <v>5514</v>
      </c>
      <c r="P275" t="s">
        <v>8867</v>
      </c>
      <c r="Q275" s="1">
        <v>1</v>
      </c>
      <c r="R275" t="str">
        <f>"Update Collaborator_Group Set Organisation = '"&amp;E275&amp;"' where Group_ID = '"&amp;A275&amp;"'; "</f>
        <v xml:space="preserve">Update Collaborator_Group Set Organisation = 'University of the Western Cape' where Group_ID = 'CG00274'; </v>
      </c>
      <c r="S275" t="str">
        <f>"Update Collaborator_Group Set Group_Name = '"&amp;I275&amp;"' where Group_ID = '"&amp;A275&amp;"'; "</f>
        <v xml:space="preserve">Update Collaborator_Group Set Group_Name = 'BurgerA_UWesternCape' where Group_ID = 'CG00274'; </v>
      </c>
      <c r="T275" t="str">
        <f>"Update dcollab.collab_group Set group_code = '"&amp;I275&amp;"' where Group_ID = '"&amp;B275&amp;"'; "</f>
        <v xml:space="preserve">Update dcollab.collab_group Set group_code = 'BurgerA_UWesternCape' where Group_ID = 'CGRP00275'; </v>
      </c>
    </row>
    <row r="276" spans="1:20">
      <c r="A276" t="s">
        <v>5550</v>
      </c>
      <c r="B276" t="s">
        <v>9203</v>
      </c>
      <c r="D276" t="s">
        <v>4373</v>
      </c>
      <c r="E276" t="s">
        <v>362</v>
      </c>
      <c r="F276">
        <f>LEN(I276)</f>
        <v>13</v>
      </c>
      <c r="G276" t="str">
        <f>VLOOKUP(E276,Organisation!$A$2:$C$499,3,FALSE)</f>
        <v>CORG00001</v>
      </c>
      <c r="H276" t="str">
        <f>VLOOKUP(G276,Organisation!$C$2:$E$318,3,FALSE)</f>
        <v>UQ</v>
      </c>
      <c r="I276" t="s">
        <v>5549</v>
      </c>
      <c r="J276">
        <f t="shared" si="4"/>
        <v>1</v>
      </c>
      <c r="L276" t="s">
        <v>416</v>
      </c>
      <c r="M276" t="s">
        <v>5548</v>
      </c>
      <c r="N276" t="s">
        <v>14</v>
      </c>
      <c r="P276" t="s">
        <v>8866</v>
      </c>
      <c r="Q276" s="1">
        <v>1</v>
      </c>
      <c r="R276" t="str">
        <f>"Update Collaborator_Group Set Organisation = '"&amp;E276&amp;"' where Group_ID = '"&amp;A276&amp;"'; "</f>
        <v xml:space="preserve">Update Collaborator_Group Set Organisation = 'University of Queensland' where Group_ID = 'CG00275'; </v>
      </c>
      <c r="S276" t="str">
        <f>"Update Collaborator_Group Set Group_Name = '"&amp;I276&amp;"' where Group_ID = '"&amp;A276&amp;"'; "</f>
        <v xml:space="preserve">Update Collaborator_Group Set Group_Name = 'RobertsonA_UQ' where Group_ID = 'CG00275'; </v>
      </c>
      <c r="T276" t="str">
        <f>"Update dcollab.collab_group Set group_code = '"&amp;I276&amp;"' where Group_ID = '"&amp;B276&amp;"'; "</f>
        <v xml:space="preserve">Update dcollab.collab_group Set group_code = 'RobertsonA_UQ' where Group_ID = 'CGRP00276'; </v>
      </c>
    </row>
    <row r="277" spans="1:20">
      <c r="A277" t="s">
        <v>5159</v>
      </c>
      <c r="B277" t="s">
        <v>9233</v>
      </c>
      <c r="D277" t="s">
        <v>5352</v>
      </c>
      <c r="E277" t="s">
        <v>5162</v>
      </c>
      <c r="F277">
        <f>LEN(I277)</f>
        <v>16</v>
      </c>
      <c r="G277" t="str">
        <f>VLOOKUP(E277,Organisation!$A$2:$C$499,3,FALSE)</f>
        <v>CORG00285</v>
      </c>
      <c r="H277" t="str">
        <f>VLOOKUP(G277,Organisation!$C$2:$E$318,3,FALSE)</f>
        <v>UVictoria</v>
      </c>
      <c r="I277" t="s">
        <v>5526</v>
      </c>
      <c r="J277">
        <f t="shared" si="4"/>
        <v>1</v>
      </c>
      <c r="L277" t="s">
        <v>84</v>
      </c>
      <c r="M277" t="s">
        <v>5163</v>
      </c>
      <c r="N277" t="s">
        <v>75</v>
      </c>
      <c r="P277" t="s">
        <v>8866</v>
      </c>
      <c r="Q277" s="1">
        <v>1</v>
      </c>
      <c r="R277" t="str">
        <f>"Update Collaborator_Group Set Organisation = '"&amp;E277&amp;"' where Group_ID = '"&amp;A277&amp;"'; "</f>
        <v xml:space="preserve">Update Collaborator_Group Set Organisation = 'University of Victoria' where Group_ID = 'CG00276'; </v>
      </c>
      <c r="S277" t="str">
        <f>"Update Collaborator_Group Set Group_Name = '"&amp;I277&amp;"' where Group_ID = '"&amp;A277&amp;"'; "</f>
        <v xml:space="preserve">Update Collaborator_Group Set Group_Name = 'WulffJ_UVictoria' where Group_ID = 'CG00276'; </v>
      </c>
      <c r="T277" t="str">
        <f>"Update dcollab.collab_group Set group_code = '"&amp;I277&amp;"' where Group_ID = '"&amp;B277&amp;"'; "</f>
        <v xml:space="preserve">Update dcollab.collab_group Set group_code = 'WulffJ_UVictoria' where Group_ID = 'CGRP00277'; </v>
      </c>
    </row>
    <row r="278" spans="1:20">
      <c r="A278" t="s">
        <v>3018</v>
      </c>
      <c r="B278" t="s">
        <v>9171</v>
      </c>
      <c r="D278" t="s">
        <v>4249</v>
      </c>
      <c r="E278" t="s">
        <v>3022</v>
      </c>
      <c r="F278">
        <f>LEN(I278)</f>
        <v>12</v>
      </c>
      <c r="G278" t="str">
        <f>VLOOKUP(E278,Organisation!$A$2:$C$499,3,FALSE)</f>
        <v>CORG00249</v>
      </c>
      <c r="H278" t="str">
        <f>VLOOKUP(G278,Organisation!$C$2:$E$318,3,FALSE)</f>
        <v>UMysore</v>
      </c>
      <c r="I278" t="s">
        <v>10479</v>
      </c>
      <c r="J278">
        <f t="shared" si="4"/>
        <v>1</v>
      </c>
      <c r="L278" t="s">
        <v>3023</v>
      </c>
      <c r="M278" t="s">
        <v>3024</v>
      </c>
      <c r="N278" t="s">
        <v>211</v>
      </c>
      <c r="P278" t="s">
        <v>8866</v>
      </c>
      <c r="Q278" s="1">
        <v>1</v>
      </c>
      <c r="R278" t="str">
        <f>"Update Collaborator_Group Set Organisation = '"&amp;E278&amp;"' where Group_ID = '"&amp;A278&amp;"'; "</f>
        <v xml:space="preserve">Update Collaborator_Group Set Organisation = 'University of Mysore' where Group_ID = 'CG00277'; </v>
      </c>
      <c r="S278" t="str">
        <f>"Update Collaborator_Group Set Group_Name = '"&amp;I278&amp;"' where Group_ID = '"&amp;A278&amp;"'; "</f>
        <v xml:space="preserve">Update Collaborator_Group Set Group_Name = 'RaiK_UMysore' where Group_ID = 'CG00277'; </v>
      </c>
      <c r="T278" t="str">
        <f>"Update dcollab.collab_group Set group_code = '"&amp;I278&amp;"' where Group_ID = '"&amp;B278&amp;"'; "</f>
        <v xml:space="preserve">Update dcollab.collab_group Set group_code = 'RaiK_UMysore' where Group_ID = 'CGRP00278'; </v>
      </c>
    </row>
    <row r="279" spans="1:20">
      <c r="A279" t="s">
        <v>4557</v>
      </c>
      <c r="B279" t="s">
        <v>9082</v>
      </c>
      <c r="D279" t="s">
        <v>4556</v>
      </c>
      <c r="E279" t="s">
        <v>4560</v>
      </c>
      <c r="F279">
        <f>LEN(I279)</f>
        <v>25</v>
      </c>
      <c r="G279" t="str">
        <f>VLOOKUP(E279,Organisation!$A$2:$C$499,3,FALSE)</f>
        <v>CORG00178</v>
      </c>
      <c r="H279" t="str">
        <f>VLOOKUP(G279,Organisation!$C$2:$E$318,3,FALSE)</f>
        <v>StandfordU</v>
      </c>
      <c r="I279" t="s">
        <v>10480</v>
      </c>
      <c r="J279">
        <f t="shared" si="4"/>
        <v>1</v>
      </c>
      <c r="L279" t="s">
        <v>84</v>
      </c>
      <c r="M279" t="s">
        <v>4561</v>
      </c>
      <c r="N279" t="s">
        <v>8808</v>
      </c>
      <c r="P279" t="s">
        <v>8866</v>
      </c>
      <c r="Q279" s="1">
        <v>1</v>
      </c>
      <c r="R279" t="str">
        <f>"Update Collaborator_Group Set Organisation = '"&amp;E279&amp;"' where Group_ID = '"&amp;A279&amp;"'; "</f>
        <v xml:space="preserve">Update Collaborator_Group Set Organisation = 'Stanford University' where Group_ID = 'CG00278'; </v>
      </c>
      <c r="S279" t="str">
        <f>"Update Collaborator_Group Set Group_Name = '"&amp;I279&amp;"' where Group_ID = '"&amp;A279&amp;"'; "</f>
        <v xml:space="preserve">Update Collaborator_Group Set Group_Name = 'SathyamoorthiS_StandfordU' where Group_ID = 'CG00278'; </v>
      </c>
      <c r="T279" t="str">
        <f>"Update dcollab.collab_group Set group_code = '"&amp;I279&amp;"' where Group_ID = '"&amp;B279&amp;"'; "</f>
        <v xml:space="preserve">Update dcollab.collab_group Set group_code = 'SathyamoorthiS_StandfordU' where Group_ID = 'CGRP00279'; </v>
      </c>
    </row>
    <row r="280" spans="1:20">
      <c r="A280" t="s">
        <v>594</v>
      </c>
      <c r="B280" t="s">
        <v>9132</v>
      </c>
      <c r="D280" t="s">
        <v>593</v>
      </c>
      <c r="E280" t="s">
        <v>596</v>
      </c>
      <c r="F280">
        <f>LEN(I280)</f>
        <v>17</v>
      </c>
      <c r="G280" t="str">
        <f>VLOOKUP(E280,Organisation!$A$2:$C$499,3,FALSE)</f>
        <v>CORG00216</v>
      </c>
      <c r="H280" t="str">
        <f>VLOOKUP(G280,Organisation!$C$2:$E$318,3,FALSE)</f>
        <v>UAuckland</v>
      </c>
      <c r="I280" t="s">
        <v>5601</v>
      </c>
      <c r="J280">
        <f t="shared" si="4"/>
        <v>1</v>
      </c>
      <c r="L280" t="s">
        <v>597</v>
      </c>
      <c r="M280" t="s">
        <v>598</v>
      </c>
      <c r="N280" t="s">
        <v>223</v>
      </c>
      <c r="P280" t="s">
        <v>8866</v>
      </c>
      <c r="Q280" s="1">
        <v>1</v>
      </c>
      <c r="R280" t="str">
        <f>"Update Collaborator_Group Set Organisation = '"&amp;E280&amp;"' where Group_ID = '"&amp;A280&amp;"'; "</f>
        <v xml:space="preserve">Update Collaborator_Group Set Organisation = 'University of Auckland' where Group_ID = 'CG00279'; </v>
      </c>
      <c r="S280" t="str">
        <f>"Update Collaborator_Group Set Group_Name = '"&amp;I280&amp;"' where Group_ID = '"&amp;A280&amp;"'; "</f>
        <v xml:space="preserve">Update Collaborator_Group Set Group_Name = 'BarkerD_UAuckland' where Group_ID = 'CG00279'; </v>
      </c>
      <c r="T280" t="str">
        <f>"Update dcollab.collab_group Set group_code = '"&amp;I280&amp;"' where Group_ID = '"&amp;B280&amp;"'; "</f>
        <v xml:space="preserve">Update dcollab.collab_group Set group_code = 'BarkerD_UAuckland' where Group_ID = 'CGRP00280'; </v>
      </c>
    </row>
    <row r="281" spans="1:20">
      <c r="A281" t="s">
        <v>4423</v>
      </c>
      <c r="B281" t="s">
        <v>8950</v>
      </c>
      <c r="D281" t="s">
        <v>4422</v>
      </c>
      <c r="E281" t="s">
        <v>1327</v>
      </c>
      <c r="F281">
        <f>LEN(I281)</f>
        <v>19</v>
      </c>
      <c r="G281" t="str">
        <f>VLOOKUP(E281,Organisation!$A$2:$C$499,3,FALSE)</f>
        <v>CORG00067</v>
      </c>
      <c r="H281" t="str">
        <f>VLOOKUP(G281,Organisation!$C$2:$E$318,3,FALSE)</f>
        <v>GriffithU</v>
      </c>
      <c r="I281" t="s">
        <v>10481</v>
      </c>
      <c r="J281">
        <f t="shared" si="4"/>
        <v>1</v>
      </c>
      <c r="L281" t="s">
        <v>4426</v>
      </c>
      <c r="M281" t="s">
        <v>4427</v>
      </c>
      <c r="N281" t="s">
        <v>14</v>
      </c>
      <c r="P281" t="s">
        <v>8866</v>
      </c>
      <c r="Q281" s="1">
        <v>1</v>
      </c>
      <c r="R281" t="str">
        <f>"Update Collaborator_Group Set Organisation = '"&amp;E281&amp;"' where Group_ID = '"&amp;A281&amp;"'; "</f>
        <v xml:space="preserve">Update Collaborator_Group Set Organisation = 'Griffith University' where Group_ID = 'CG00280'; </v>
      </c>
      <c r="S281" t="str">
        <f>"Update Collaborator_Group Set Group_Name = '"&amp;I281&amp;"' where Group_ID = '"&amp;A281&amp;"'; "</f>
        <v xml:space="preserve">Update Collaborator_Group Set Group_Name = 'RudrawarS_GriffithU' where Group_ID = 'CG00280'; </v>
      </c>
      <c r="T281" t="str">
        <f>"Update dcollab.collab_group Set group_code = '"&amp;I281&amp;"' where Group_ID = '"&amp;B281&amp;"'; "</f>
        <v xml:space="preserve">Update dcollab.collab_group Set group_code = 'RudrawarS_GriffithU' where Group_ID = 'CGRP00281'; </v>
      </c>
    </row>
    <row r="282" spans="1:20">
      <c r="A282" t="s">
        <v>2411</v>
      </c>
      <c r="B282" t="s">
        <v>9264</v>
      </c>
      <c r="D282" t="s">
        <v>4237</v>
      </c>
      <c r="E282" t="s">
        <v>2415</v>
      </c>
      <c r="F282">
        <f>LEN(I282)</f>
        <v>17</v>
      </c>
      <c r="G282" t="str">
        <f>VLOOKUP(E282,Organisation!$A$2:$C$499,3,FALSE)</f>
        <v>CORG00307</v>
      </c>
      <c r="H282" t="str">
        <f>VLOOKUP(G282,Organisation!$C$2:$E$318,3,FALSE)</f>
        <v>WesternU</v>
      </c>
      <c r="I282" t="s">
        <v>5496</v>
      </c>
      <c r="J282">
        <f t="shared" si="4"/>
        <v>1</v>
      </c>
      <c r="L282" t="s">
        <v>84</v>
      </c>
      <c r="M282" t="s">
        <v>2416</v>
      </c>
      <c r="N282" t="s">
        <v>75</v>
      </c>
      <c r="P282" t="s">
        <v>8866</v>
      </c>
      <c r="Q282" s="1">
        <v>1</v>
      </c>
      <c r="R282" t="str">
        <f>"Update Collaborator_Group Set Organisation = '"&amp;E282&amp;"' where Group_ID = '"&amp;A282&amp;"'; "</f>
        <v xml:space="preserve">Update Collaborator_Group Set Organisation = 'Western University' where Group_ID = 'CG00281'; </v>
      </c>
      <c r="S282" t="str">
        <f>"Update Collaborator_Group Set Group_Name = '"&amp;I282&amp;"' where Group_ID = '"&amp;A282&amp;"'; "</f>
        <v xml:space="preserve">Update Collaborator_Group Set Group_Name = 'RagognaP_WesternU' where Group_ID = 'CG00281'; </v>
      </c>
      <c r="T282" t="str">
        <f>"Update dcollab.collab_group Set group_code = '"&amp;I282&amp;"' where Group_ID = '"&amp;B282&amp;"'; "</f>
        <v xml:space="preserve">Update dcollab.collab_group Set group_code = 'RagognaP_WesternU' where Group_ID = 'CGRP00282'; </v>
      </c>
    </row>
    <row r="283" spans="1:20">
      <c r="A283" t="s">
        <v>6</v>
      </c>
      <c r="B283" t="s">
        <v>9207</v>
      </c>
      <c r="D283" t="s">
        <v>1202</v>
      </c>
      <c r="E283" t="s">
        <v>362</v>
      </c>
      <c r="F283">
        <f>LEN(I283)</f>
        <v>9</v>
      </c>
      <c r="G283" t="str">
        <f>VLOOKUP(E283,Organisation!$A$2:$C$499,3,FALSE)</f>
        <v>CORG00001</v>
      </c>
      <c r="H283" t="str">
        <f>VLOOKUP(G283,Organisation!$C$2:$E$318,3,FALSE)</f>
        <v>UQ</v>
      </c>
      <c r="I283" t="s">
        <v>5535</v>
      </c>
      <c r="J283">
        <f t="shared" si="4"/>
        <v>1</v>
      </c>
      <c r="L283" t="s">
        <v>12</v>
      </c>
      <c r="M283" t="s">
        <v>13</v>
      </c>
      <c r="N283" t="s">
        <v>14</v>
      </c>
      <c r="P283" t="s">
        <v>8866</v>
      </c>
      <c r="Q283" s="1">
        <v>1</v>
      </c>
      <c r="R283" t="str">
        <f>"Update Collaborator_Group Set Organisation = '"&amp;E283&amp;"' where Group_ID = '"&amp;A283&amp;"'; "</f>
        <v xml:space="preserve">Update Collaborator_Group Set Organisation = 'University of Queensland' where Group_ID = 'CG00282'; </v>
      </c>
      <c r="S283" t="str">
        <f>"Update Collaborator_Group Set Group_Name = '"&amp;I283&amp;"' where Group_ID = '"&amp;A283&amp;"'; "</f>
        <v xml:space="preserve">Update Collaborator_Group Set Group_Name = 'CleggJ_UQ' where Group_ID = 'CG00282'; </v>
      </c>
      <c r="T283" t="str">
        <f>"Update dcollab.collab_group Set group_code = '"&amp;I283&amp;"' where Group_ID = '"&amp;B283&amp;"'; "</f>
        <v xml:space="preserve">Update dcollab.collab_group Set group_code = 'CleggJ_UQ' where Group_ID = 'CGRP00283'; </v>
      </c>
    </row>
    <row r="284" spans="1:20">
      <c r="A284" t="s">
        <v>2029</v>
      </c>
      <c r="B284" t="s">
        <v>9270</v>
      </c>
      <c r="D284" t="s">
        <v>4525</v>
      </c>
      <c r="E284" t="s">
        <v>1699</v>
      </c>
      <c r="F284">
        <f>LEN(I284)</f>
        <v>20</v>
      </c>
      <c r="G284" t="str">
        <f>VLOOKUP(E284,Organisation!$A$2:$C$499,3,FALSE)</f>
        <v>CORG00312</v>
      </c>
      <c r="H284" t="str">
        <f>VLOOKUP(G284,Organisation!$C$2:$E$318,3,FALSE)</f>
        <v>YerevanSU</v>
      </c>
      <c r="I284" t="s">
        <v>5490</v>
      </c>
      <c r="J284">
        <f t="shared" si="4"/>
        <v>1</v>
      </c>
      <c r="L284" t="s">
        <v>1447</v>
      </c>
      <c r="M284" t="s">
        <v>2033</v>
      </c>
      <c r="N284" t="s">
        <v>1701</v>
      </c>
      <c r="P284" t="s">
        <v>8866</v>
      </c>
      <c r="Q284" s="1">
        <v>1</v>
      </c>
      <c r="R284" t="str">
        <f>"Update Collaborator_Group Set Organisation = '"&amp;E284&amp;"' where Group_ID = '"&amp;A284&amp;"'; "</f>
        <v xml:space="preserve">Update Collaborator_Group Set Organisation = 'Yerevan State University' where Group_ID = 'CG00283'; </v>
      </c>
      <c r="S284" t="str">
        <f>"Update Collaborator_Group Set Group_Name = '"&amp;I284&amp;"' where Group_ID = '"&amp;A284&amp;"'; "</f>
        <v xml:space="preserve">Update Collaborator_Group Set Group_Name = 'SamvelyanM_YerevanSU' where Group_ID = 'CG00283'; </v>
      </c>
      <c r="T284" t="str">
        <f>"Update dcollab.collab_group Set group_code = '"&amp;I284&amp;"' where Group_ID = '"&amp;B284&amp;"'; "</f>
        <v xml:space="preserve">Update dcollab.collab_group Set group_code = 'SamvelyanM_YerevanSU' where Group_ID = 'CGRP00284'; </v>
      </c>
    </row>
    <row r="285" spans="1:20">
      <c r="A285" t="s">
        <v>2063</v>
      </c>
      <c r="B285" t="s">
        <v>8896</v>
      </c>
      <c r="D285" t="s">
        <v>2062</v>
      </c>
      <c r="E285" t="s">
        <v>2066</v>
      </c>
      <c r="F285">
        <f>LEN(I285)</f>
        <v>14</v>
      </c>
      <c r="G285" t="str">
        <f>VLOOKUP(E285,Organisation!$A$2:$C$499,3,FALSE)</f>
        <v>CORG00020</v>
      </c>
      <c r="H285" t="str">
        <f>VLOOKUP(G285,Organisation!$C$2:$E$318,3,FALSE)</f>
        <v>BMSCoE</v>
      </c>
      <c r="I285" t="s">
        <v>5784</v>
      </c>
      <c r="J285">
        <f t="shared" si="4"/>
        <v>1</v>
      </c>
      <c r="L285" t="s">
        <v>73</v>
      </c>
      <c r="M285" t="s">
        <v>2067</v>
      </c>
      <c r="N285" t="s">
        <v>211</v>
      </c>
      <c r="P285" t="s">
        <v>8866</v>
      </c>
      <c r="Q285" s="1">
        <v>1</v>
      </c>
      <c r="R285" t="str">
        <f>"Update Collaborator_Group Set Organisation = '"&amp;E285&amp;"' where Group_ID = '"&amp;A285&amp;"'; "</f>
        <v xml:space="preserve">Update Collaborator_Group Set Organisation = 'BMS College of Engineering' where Group_ID = 'CG00284'; </v>
      </c>
      <c r="S285" t="str">
        <f>"Update Collaborator_Group Set Group_Name = '"&amp;I285&amp;"' where Group_ID = '"&amp;A285&amp;"'; "</f>
        <v xml:space="preserve">Update Collaborator_Group Set Group_Name = 'GaneshM_BMSCoE' where Group_ID = 'CG00284'; </v>
      </c>
      <c r="T285" t="str">
        <f>"Update dcollab.collab_group Set group_code = '"&amp;I285&amp;"' where Group_ID = '"&amp;B285&amp;"'; "</f>
        <v xml:space="preserve">Update dcollab.collab_group Set group_code = 'GaneshM_BMSCoE' where Group_ID = 'CGRP00285'; </v>
      </c>
    </row>
    <row r="286" spans="1:20">
      <c r="A286" t="s">
        <v>1681</v>
      </c>
      <c r="B286" t="s">
        <v>9097</v>
      </c>
      <c r="D286" t="s">
        <v>1680</v>
      </c>
      <c r="E286" t="s">
        <v>1684</v>
      </c>
      <c r="F286">
        <f>LEN(I286)</f>
        <v>19</v>
      </c>
      <c r="G286" t="str">
        <f>VLOOKUP(E286,Organisation!$A$2:$C$499,3,FALSE)</f>
        <v>CORG00192</v>
      </c>
      <c r="H286" t="str">
        <f>VLOOKUP(G286,Organisation!$C$2:$E$318,3,FALSE)</f>
        <v>UBuenosAires</v>
      </c>
      <c r="I286" t="s">
        <v>5616</v>
      </c>
      <c r="J286">
        <f t="shared" si="4"/>
        <v>1</v>
      </c>
      <c r="L286" t="s">
        <v>1447</v>
      </c>
      <c r="M286" t="s">
        <v>1685</v>
      </c>
      <c r="N286" t="s">
        <v>481</v>
      </c>
      <c r="P286" t="s">
        <v>8866</v>
      </c>
      <c r="Q286" s="1">
        <v>1</v>
      </c>
      <c r="R286" t="str">
        <f>"Update Collaborator_Group Set Organisation = '"&amp;E286&amp;"' where Group_ID = '"&amp;A286&amp;"'; "</f>
        <v xml:space="preserve">Update Collaborator_Group Set Organisation = 'Universidad de Buenos Aires' where Group_ID = 'CG00285'; </v>
      </c>
      <c r="S286" t="str">
        <f>"Update Collaborator_Group Set Group_Name = '"&amp;I286&amp;"' where Group_ID = '"&amp;A286&amp;"'; "</f>
        <v xml:space="preserve">Update Collaborator_Group Set Group_Name = 'DuranF_UBuenosAires' where Group_ID = 'CG00285'; </v>
      </c>
      <c r="T286" t="str">
        <f>"Update dcollab.collab_group Set group_code = '"&amp;I286&amp;"' where Group_ID = '"&amp;B286&amp;"'; "</f>
        <v xml:space="preserve">Update dcollab.collab_group Set group_code = 'DuranF_UBuenosAires' where Group_ID = 'CGRP00286'; </v>
      </c>
    </row>
    <row r="287" spans="1:20">
      <c r="A287" t="s">
        <v>2907</v>
      </c>
      <c r="B287" t="s">
        <v>8957</v>
      </c>
      <c r="D287" t="s">
        <v>2906</v>
      </c>
      <c r="E287" t="s">
        <v>2910</v>
      </c>
      <c r="F287">
        <f>LEN(I287)</f>
        <v>18</v>
      </c>
      <c r="G287" t="str">
        <f>VLOOKUP(E287,Organisation!$A$2:$C$499,3,FALSE)</f>
        <v>CORG00074</v>
      </c>
      <c r="H287" t="str">
        <f>VLOOKUP(G287,Organisation!$C$2:$E$318,3,FALSE)</f>
        <v>IITMadras</v>
      </c>
      <c r="I287" t="s">
        <v>5737</v>
      </c>
      <c r="J287">
        <f t="shared" si="4"/>
        <v>1</v>
      </c>
      <c r="L287" t="s">
        <v>2911</v>
      </c>
      <c r="M287" t="s">
        <v>2912</v>
      </c>
      <c r="N287" t="s">
        <v>211</v>
      </c>
      <c r="P287" t="s">
        <v>8866</v>
      </c>
      <c r="Q287" s="1">
        <v>1</v>
      </c>
      <c r="R287" t="str">
        <f>"Update Collaborator_Group Set Organisation = '"&amp;E287&amp;"' where Group_ID = '"&amp;A287&amp;"'; "</f>
        <v xml:space="preserve">Update Collaborator_Group Set Organisation = 'IIT Madras' where Group_ID = 'CG00286'; </v>
      </c>
      <c r="S287" t="str">
        <f>"Update Collaborator_Group Set Group_Name = '"&amp;I287&amp;"' where Group_ID = '"&amp;A287&amp;"'; "</f>
        <v xml:space="preserve">Update Collaborator_Group Set Group_Name = 'KesavanV_IITMadras' where Group_ID = 'CG00286'; </v>
      </c>
      <c r="T287" t="str">
        <f>"Update dcollab.collab_group Set group_code = '"&amp;I287&amp;"' where Group_ID = '"&amp;B287&amp;"'; "</f>
        <v xml:space="preserve">Update dcollab.collab_group Set group_code = 'KesavanV_IITMadras' where Group_ID = 'CGRP00287'; </v>
      </c>
    </row>
    <row r="288" spans="1:20">
      <c r="A288" t="s">
        <v>2294</v>
      </c>
      <c r="B288" t="s">
        <v>9010</v>
      </c>
      <c r="D288" t="s">
        <v>2293</v>
      </c>
      <c r="E288" t="s">
        <v>2296</v>
      </c>
      <c r="F288">
        <f>LEN(I288)</f>
        <v>20</v>
      </c>
      <c r="G288" t="str">
        <f>VLOOKUP(E288,Organisation!$A$2:$C$499,3,FALSE)</f>
        <v>CORG00117</v>
      </c>
      <c r="H288" t="str">
        <f>VLOOKUP(G288,Organisation!$C$2:$E$318,3,FALSE)</f>
        <v>MedUniVienna</v>
      </c>
      <c r="I288" t="s">
        <v>5691</v>
      </c>
      <c r="J288">
        <f t="shared" si="4"/>
        <v>1</v>
      </c>
      <c r="L288" t="s">
        <v>2297</v>
      </c>
      <c r="M288" t="s">
        <v>2298</v>
      </c>
      <c r="N288" t="s">
        <v>694</v>
      </c>
      <c r="P288" t="s">
        <v>8866</v>
      </c>
      <c r="Q288" s="1">
        <v>1</v>
      </c>
      <c r="R288" t="str">
        <f>"Update Collaborator_Group Set Organisation = '"&amp;E288&amp;"' where Group_ID = '"&amp;A288&amp;"'; "</f>
        <v xml:space="preserve">Update Collaborator_Group Set Organisation = 'Medical University of Vienna' where Group_ID = 'CG00287'; </v>
      </c>
      <c r="S288" t="str">
        <f>"Update Collaborator_Group Set Group_Name = '"&amp;I288&amp;"' where Group_ID = '"&amp;A288&amp;"'; "</f>
        <v xml:space="preserve">Update Collaborator_Group Set Group_Name = 'GruberC_MedUniVienna' where Group_ID = 'CG00287'; </v>
      </c>
      <c r="T288" t="str">
        <f>"Update dcollab.collab_group Set group_code = '"&amp;I288&amp;"' where Group_ID = '"&amp;B288&amp;"'; "</f>
        <v xml:space="preserve">Update dcollab.collab_group Set group_code = 'GruberC_MedUniVienna' where Group_ID = 'CGRP00288'; </v>
      </c>
    </row>
    <row r="289" spans="1:20">
      <c r="A289" t="s">
        <v>349</v>
      </c>
      <c r="B289" t="s">
        <v>9230</v>
      </c>
      <c r="D289" t="s">
        <v>348</v>
      </c>
      <c r="E289" t="s">
        <v>352</v>
      </c>
      <c r="F289">
        <f>LEN(I289)</f>
        <v>17</v>
      </c>
      <c r="G289" t="str">
        <f>VLOOKUP(E289,Organisation!$A$2:$C$499,3,FALSE)</f>
        <v>CORG00281</v>
      </c>
      <c r="H289" t="str">
        <f>VLOOKUP(G289,Organisation!$C$2:$E$318,3,FALSE)</f>
        <v>UTrieste</v>
      </c>
      <c r="I289" t="s">
        <v>5529</v>
      </c>
      <c r="J289">
        <f t="shared" si="4"/>
        <v>1</v>
      </c>
      <c r="L289" t="s">
        <v>353</v>
      </c>
      <c r="M289" t="s">
        <v>354</v>
      </c>
      <c r="N289" t="s">
        <v>355</v>
      </c>
      <c r="P289" t="s">
        <v>8866</v>
      </c>
      <c r="Q289" s="1">
        <v>1</v>
      </c>
      <c r="R289" t="str">
        <f>"Update Collaborator_Group Set Organisation = '"&amp;E289&amp;"' where Group_ID = '"&amp;A289&amp;"'; "</f>
        <v xml:space="preserve">Update Collaborator_Group Set Organisation = 'University of Trieste' where Group_ID = 'CG00288'; </v>
      </c>
      <c r="S289" t="str">
        <f>"Update Collaborator_Group Set Group_Name = '"&amp;I289&amp;"' where Group_ID = '"&amp;A289&amp;"'; "</f>
        <v xml:space="preserve">Update Collaborator_Group Set Group_Name = 'AlessioE_UTrieste' where Group_ID = 'CG00288'; </v>
      </c>
      <c r="T289" t="str">
        <f>"Update dcollab.collab_group Set group_code = '"&amp;I289&amp;"' where Group_ID = '"&amp;B289&amp;"'; "</f>
        <v xml:space="preserve">Update dcollab.collab_group Set group_code = 'AlessioE_UTrieste' where Group_ID = 'CGRP00289'; </v>
      </c>
    </row>
    <row r="290" spans="1:20">
      <c r="A290" t="s">
        <v>330</v>
      </c>
      <c r="B290" t="s">
        <v>9249</v>
      </c>
      <c r="D290" t="s">
        <v>329</v>
      </c>
      <c r="E290" t="s">
        <v>334</v>
      </c>
      <c r="F290">
        <f>LEN(I290)</f>
        <v>16</v>
      </c>
      <c r="G290" t="str">
        <f>VLOOKUP(E290,Organisation!$A$2:$C$499,3,FALSE)</f>
        <v>CORG00295</v>
      </c>
      <c r="H290" t="str">
        <f>VLOOKUP(G290,Organisation!$C$2:$E$318,3,FALSE)</f>
        <v>UZurich</v>
      </c>
      <c r="I290" t="s">
        <v>5518</v>
      </c>
      <c r="J290">
        <f t="shared" si="4"/>
        <v>1</v>
      </c>
      <c r="L290" t="s">
        <v>335</v>
      </c>
      <c r="M290" t="s">
        <v>336</v>
      </c>
      <c r="N290" t="s">
        <v>253</v>
      </c>
      <c r="P290" t="s">
        <v>8866</v>
      </c>
      <c r="Q290" s="1">
        <v>1</v>
      </c>
      <c r="R290" t="str">
        <f>"Update Collaborator_Group Set Organisation = '"&amp;E290&amp;"' where Group_ID = '"&amp;A290&amp;"'; "</f>
        <v xml:space="preserve">Update Collaborator_Group Set Organisation = 'University of Zurich' where Group_ID = 'CG00289'; </v>
      </c>
      <c r="S290" t="str">
        <f>"Update Collaborator_Group Set Group_Name = '"&amp;I290&amp;"' where Group_ID = '"&amp;A290&amp;"'; "</f>
        <v xml:space="preserve">Update Collaborator_Group Set Group_Name = 'AlbertoR_UZurich' where Group_ID = 'CG00289'; </v>
      </c>
      <c r="T290" t="str">
        <f>"Update dcollab.collab_group Set group_code = '"&amp;I290&amp;"' where Group_ID = '"&amp;B290&amp;"'; "</f>
        <v xml:space="preserve">Update dcollab.collab_group Set group_code = 'AlbertoR_UZurich' where Group_ID = 'CGRP00290'; </v>
      </c>
    </row>
    <row r="291" spans="1:20">
      <c r="A291" t="s">
        <v>2107</v>
      </c>
      <c r="B291" t="s">
        <v>8908</v>
      </c>
      <c r="D291" t="s">
        <v>2106</v>
      </c>
      <c r="E291" t="s">
        <v>2110</v>
      </c>
      <c r="F291">
        <f>LEN(I291)</f>
        <v>23</v>
      </c>
      <c r="G291" t="str">
        <f>VLOOKUP(E291,Organisation!$A$2:$C$499,3,FALSE)</f>
        <v>CORG00032</v>
      </c>
      <c r="H291" t="str">
        <f>VLOOKUP(G291,Organisation!$C$2:$E$318,3,FALSE)</f>
        <v>ParisTechPSLUni</v>
      </c>
      <c r="I291" t="s">
        <v>10482</v>
      </c>
      <c r="J291">
        <f t="shared" si="4"/>
        <v>1</v>
      </c>
      <c r="L291" t="s">
        <v>2111</v>
      </c>
      <c r="M291" t="s">
        <v>2112</v>
      </c>
      <c r="N291" t="s">
        <v>704</v>
      </c>
      <c r="P291" t="s">
        <v>8866</v>
      </c>
      <c r="Q291" s="1">
        <v>1</v>
      </c>
      <c r="R291" t="str">
        <f>"Update Collaborator_Group Set Organisation = '"&amp;E291&amp;"' where Group_ID = '"&amp;A291&amp;"'; "</f>
        <v xml:space="preserve">Update Collaborator_Group Set Organisation = 'Chimie ParisTech PSL University' where Group_ID = 'CG00290'; </v>
      </c>
      <c r="S291" t="str">
        <f>"Update Collaborator_Group Set Group_Name = '"&amp;I291&amp;"' where Group_ID = '"&amp;A291&amp;"'; "</f>
        <v xml:space="preserve">Update Collaborator_Group Set Group_Name = 'GasserG_ParisTechPSLUni' where Group_ID = 'CG00290'; </v>
      </c>
      <c r="T291" t="str">
        <f>"Update dcollab.collab_group Set group_code = '"&amp;I291&amp;"' where Group_ID = '"&amp;B291&amp;"'; "</f>
        <v xml:space="preserve">Update dcollab.collab_group Set group_code = 'GasserG_ParisTechPSLUni' where Group_ID = 'CGRP00291'; </v>
      </c>
    </row>
    <row r="292" spans="1:20">
      <c r="A292" t="s">
        <v>3802</v>
      </c>
      <c r="B292" t="s">
        <v>8880</v>
      </c>
      <c r="D292" t="s">
        <v>5421</v>
      </c>
      <c r="E292" t="s">
        <v>3805</v>
      </c>
      <c r="F292">
        <f>LEN(I292)</f>
        <v>26</v>
      </c>
      <c r="G292" t="str">
        <f>VLOOKUP(E292,Organisation!$A$2:$C$499,3,FALSE)</f>
        <v>CORG00008</v>
      </c>
      <c r="H292" t="str">
        <f>VLOOKUP(G292,Organisation!$C$2:$E$318,3,FALSE)</f>
        <v>AIOUIslamabad</v>
      </c>
      <c r="I292" t="s">
        <v>5791</v>
      </c>
      <c r="J292">
        <f t="shared" si="4"/>
        <v>1</v>
      </c>
      <c r="L292" t="s">
        <v>84</v>
      </c>
      <c r="M292" t="s">
        <v>3806</v>
      </c>
      <c r="N292" t="s">
        <v>2674</v>
      </c>
      <c r="P292" t="s">
        <v>8866</v>
      </c>
      <c r="Q292" s="1">
        <v>1</v>
      </c>
      <c r="R292" t="str">
        <f>"Update Collaborator_Group Set Organisation = '"&amp;E292&amp;"' where Group_ID = '"&amp;A292&amp;"'; "</f>
        <v xml:space="preserve">Update Collaborator_Group Set Organisation = 'Allama Iqbal Open University Islamabad' where Group_ID = 'CG00291'; </v>
      </c>
      <c r="S292" t="str">
        <f>"Update Collaborator_Group Set Group_Name = '"&amp;I292&amp;"' where Group_ID = '"&amp;A292&amp;"'; "</f>
        <v xml:space="preserve">Update Collaborator_Group Set Group_Name = 'ZamanAshrafM_AIOUIslamabad' where Group_ID = 'CG00291'; </v>
      </c>
      <c r="T292" t="str">
        <f>"Update dcollab.collab_group Set group_code = '"&amp;I292&amp;"' where Group_ID = '"&amp;B292&amp;"'; "</f>
        <v xml:space="preserve">Update dcollab.collab_group Set group_code = 'ZamanAshrafM_AIOUIslamabad' where Group_ID = 'CGRP00292'; </v>
      </c>
    </row>
    <row r="293" spans="1:20">
      <c r="A293" t="s">
        <v>2878</v>
      </c>
      <c r="B293" t="s">
        <v>9139</v>
      </c>
      <c r="D293" t="s">
        <v>2877</v>
      </c>
      <c r="E293" t="s">
        <v>8749</v>
      </c>
      <c r="F293">
        <f>LEN(I293)</f>
        <v>12</v>
      </c>
      <c r="G293" t="str">
        <f>VLOOKUP(E293,Organisation!$A$2:$C$499,3,FALSE)</f>
        <v>CORG00221</v>
      </c>
      <c r="H293" t="str">
        <f>VLOOKUP(G293,Organisation!$C$2:$E$318,3,FALSE)</f>
        <v>UCSD</v>
      </c>
      <c r="I293" t="s">
        <v>10483</v>
      </c>
      <c r="J293">
        <f t="shared" si="4"/>
        <v>1</v>
      </c>
      <c r="L293" t="s">
        <v>2881</v>
      </c>
      <c r="M293" t="s">
        <v>2882</v>
      </c>
      <c r="N293" t="s">
        <v>8808</v>
      </c>
      <c r="P293" t="s">
        <v>8866</v>
      </c>
      <c r="Q293" s="1">
        <v>1</v>
      </c>
      <c r="R293" t="str">
        <f>"Update Collaborator_Group Set Organisation = '"&amp;E293&amp;"' where Group_ID = '"&amp;A293&amp;"'; "</f>
        <v xml:space="preserve">Update Collaborator_Group Set Organisation = 'University of California San Diego' where Group_ID = 'CG00292'; </v>
      </c>
      <c r="S293" t="str">
        <f>"Update Collaborator_Group Set Group_Name = '"&amp;I293&amp;"' where Group_ID = '"&amp;A293&amp;"'; "</f>
        <v xml:space="preserve">Update Collaborator_Group Set Group_Name = 'KelnerM_UCSD' where Group_ID = 'CG00292'; </v>
      </c>
      <c r="T293" t="str">
        <f>"Update dcollab.collab_group Set group_code = '"&amp;I293&amp;"' where Group_ID = '"&amp;B293&amp;"'; "</f>
        <v xml:space="preserve">Update dcollab.collab_group Set group_code = 'KelnerM_UCSD' where Group_ID = 'CGRP00293'; </v>
      </c>
    </row>
    <row r="294" spans="1:20">
      <c r="A294" t="s">
        <v>5052</v>
      </c>
      <c r="B294" t="s">
        <v>8964</v>
      </c>
      <c r="D294" t="s">
        <v>5051</v>
      </c>
      <c r="E294" t="s">
        <v>5054</v>
      </c>
      <c r="F294">
        <f>LEN(I294)</f>
        <v>27</v>
      </c>
      <c r="G294" t="str">
        <f>VLOOKUP(E294,Organisation!$A$2:$C$499,3,FALSE)</f>
        <v>CORG00080</v>
      </c>
      <c r="H294" t="str">
        <f>VLOOKUP(G294,Organisation!$C$2:$E$318,3,FALSE)</f>
        <v>IndiraGandhiNTU</v>
      </c>
      <c r="I294" t="s">
        <v>5729</v>
      </c>
      <c r="J294">
        <f t="shared" si="4"/>
        <v>1</v>
      </c>
      <c r="L294" t="s">
        <v>5055</v>
      </c>
      <c r="M294" t="s">
        <v>5056</v>
      </c>
      <c r="N294" t="s">
        <v>211</v>
      </c>
      <c r="P294" t="s">
        <v>8866</v>
      </c>
      <c r="Q294" s="1">
        <v>1</v>
      </c>
      <c r="R294" t="str">
        <f>"Update Collaborator_Group Set Organisation = '"&amp;E294&amp;"' where Group_ID = '"&amp;A294&amp;"'; "</f>
        <v xml:space="preserve">Update Collaborator_Group Set Organisation = 'Indira Gandhi National Tribal University' where Group_ID = 'CG00293'; </v>
      </c>
      <c r="S294" t="str">
        <f>"Update Collaborator_Group Set Group_Name = '"&amp;I294&amp;"' where Group_ID = '"&amp;A294&amp;"'; "</f>
        <v xml:space="preserve">Update Collaborator_Group Set Group_Name = 'TantravahiS_IndiraGandhiNTU' where Group_ID = 'CG00293'; </v>
      </c>
      <c r="T294" t="str">
        <f>"Update dcollab.collab_group Set group_code = '"&amp;I294&amp;"' where Group_ID = '"&amp;B294&amp;"'; "</f>
        <v xml:space="preserve">Update dcollab.collab_group Set group_code = 'TantravahiS_IndiraGandhiNTU' where Group_ID = 'CGRP00294'; </v>
      </c>
    </row>
    <row r="295" spans="1:20">
      <c r="A295" t="s">
        <v>2769</v>
      </c>
      <c r="B295" t="s">
        <v>9225</v>
      </c>
      <c r="D295" t="s">
        <v>2768</v>
      </c>
      <c r="E295" t="s">
        <v>4404</v>
      </c>
      <c r="F295">
        <f>LEN(I295)</f>
        <v>16</v>
      </c>
      <c r="G295" t="str">
        <f>VLOOKUP(E295,Organisation!$A$2:$C$499,3,FALSE)</f>
        <v>CORG00275</v>
      </c>
      <c r="H295" t="str">
        <f>VLOOKUP(G295,Organisation!$C$2:$E$318,3,FALSE)</f>
        <v>UFreeState</v>
      </c>
      <c r="I295" t="s">
        <v>10484</v>
      </c>
      <c r="J295">
        <f t="shared" si="4"/>
        <v>1</v>
      </c>
      <c r="L295" t="s">
        <v>84</v>
      </c>
      <c r="M295" t="s">
        <v>2774</v>
      </c>
      <c r="N295" t="s">
        <v>609</v>
      </c>
      <c r="P295" t="s">
        <v>8866</v>
      </c>
      <c r="Q295" s="1">
        <v>1</v>
      </c>
      <c r="R295" t="str">
        <f>"Update Collaborator_Group Set Organisation = '"&amp;E295&amp;"' where Group_ID = '"&amp;A295&amp;"'; "</f>
        <v xml:space="preserve">Update Collaborator_Group Set Organisation = 'University of the Free State' where Group_ID = 'CG00294'; </v>
      </c>
      <c r="S295" t="str">
        <f>"Update Collaborator_Group Set Group_Name = '"&amp;I295&amp;"' where Group_ID = '"&amp;A295&amp;"'; "</f>
        <v xml:space="preserve">Update Collaborator_Group Set Group_Name = 'KamaD_UFreeState' where Group_ID = 'CG00294'; </v>
      </c>
      <c r="T295" t="str">
        <f>"Update dcollab.collab_group Set group_code = '"&amp;I295&amp;"' where Group_ID = '"&amp;B295&amp;"'; "</f>
        <v xml:space="preserve">Update dcollab.collab_group Set group_code = 'KamaD_UFreeState' where Group_ID = 'CGRP00295'; </v>
      </c>
    </row>
    <row r="296" spans="1:20">
      <c r="A296" t="s">
        <v>4117</v>
      </c>
      <c r="B296" t="s">
        <v>9137</v>
      </c>
      <c r="D296" t="s">
        <v>4116</v>
      </c>
      <c r="E296" t="s">
        <v>4120</v>
      </c>
      <c r="F296">
        <f>LEN(I296)</f>
        <v>15</v>
      </c>
      <c r="G296" t="str">
        <f>VLOOKUP(E296,Organisation!$A$2:$C$499,3,FALSE)</f>
        <v>CORG00219</v>
      </c>
      <c r="H296" t="str">
        <f>VLOOKUP(G296,Organisation!$C$2:$E$318,3,FALSE)</f>
        <v>UBradford</v>
      </c>
      <c r="I296" t="s">
        <v>5595</v>
      </c>
      <c r="J296">
        <f t="shared" si="4"/>
        <v>1</v>
      </c>
      <c r="L296" t="s">
        <v>4121</v>
      </c>
      <c r="M296" t="s">
        <v>4122</v>
      </c>
      <c r="N296" t="s">
        <v>269</v>
      </c>
      <c r="P296" t="s">
        <v>8866</v>
      </c>
      <c r="Q296" s="1">
        <v>1</v>
      </c>
      <c r="R296" t="str">
        <f>"Update Collaborator_Group Set Organisation = '"&amp;E296&amp;"' where Group_ID = '"&amp;A296&amp;"'; "</f>
        <v xml:space="preserve">Update Collaborator_Group Set Organisation = 'University of Bradford' where Group_ID = 'CG00295'; </v>
      </c>
      <c r="S296" t="str">
        <f>"Update Collaborator_Group Set Group_Name = '"&amp;I296&amp;"' where Group_ID = '"&amp;A296&amp;"'; "</f>
        <v xml:space="preserve">Update Collaborator_Group Set Group_Name = 'PikeS_UBradford' where Group_ID = 'CG00295'; </v>
      </c>
      <c r="T296" t="str">
        <f>"Update dcollab.collab_group Set group_code = '"&amp;I296&amp;"' where Group_ID = '"&amp;B296&amp;"'; "</f>
        <v xml:space="preserve">Update dcollab.collab_group Set group_code = 'PikeS_UBradford' where Group_ID = 'CGRP00296'; </v>
      </c>
    </row>
    <row r="297" spans="1:20">
      <c r="A297" t="s">
        <v>3175</v>
      </c>
      <c r="B297" t="s">
        <v>8873</v>
      </c>
      <c r="D297" t="s">
        <v>3174</v>
      </c>
      <c r="E297" t="s">
        <v>3177</v>
      </c>
      <c r="F297">
        <f>LEN(I297)</f>
        <v>14</v>
      </c>
      <c r="G297" t="str">
        <f>VLOOKUP(E297,Organisation!$A$2:$C$499,3,FALSE)</f>
        <v>CORG00002</v>
      </c>
      <c r="H297" t="str">
        <f>VLOOKUP(G297,Organisation!$C$2:$E$318,3,FALSE)</f>
        <v>AbileneCU</v>
      </c>
      <c r="I297" t="s">
        <v>5797</v>
      </c>
      <c r="J297">
        <f t="shared" si="4"/>
        <v>1</v>
      </c>
      <c r="L297" t="s">
        <v>640</v>
      </c>
      <c r="M297" t="s">
        <v>3178</v>
      </c>
      <c r="N297" t="s">
        <v>8808</v>
      </c>
      <c r="P297" t="s">
        <v>8866</v>
      </c>
      <c r="Q297" s="1">
        <v>1</v>
      </c>
      <c r="R297" t="str">
        <f>"Update Collaborator_Group Set Organisation = '"&amp;E297&amp;"' where Group_ID = '"&amp;A297&amp;"'; "</f>
        <v xml:space="preserve">Update Collaborator_Group Set Organisation = 'Abilene Christian University' where Group_ID = 'CG00296'; </v>
      </c>
      <c r="S297" t="str">
        <f>"Update Collaborator_Group Set Group_Name = '"&amp;I297&amp;"' where Group_ID = '"&amp;A297&amp;"'; "</f>
        <v xml:space="preserve">Update Collaborator_Group Set Group_Name = 'LeeK_AbileneCU' where Group_ID = 'CG00296'; </v>
      </c>
      <c r="T297" t="str">
        <f>"Update dcollab.collab_group Set group_code = '"&amp;I297&amp;"' where Group_ID = '"&amp;B297&amp;"'; "</f>
        <v xml:space="preserve">Update dcollab.collab_group Set group_code = 'LeeK_AbileneCU' where Group_ID = 'CGRP00297'; </v>
      </c>
    </row>
    <row r="298" spans="1:20">
      <c r="A298" t="s">
        <v>4764</v>
      </c>
      <c r="B298" t="s">
        <v>9001</v>
      </c>
      <c r="D298" t="s">
        <v>4763</v>
      </c>
      <c r="E298" t="s">
        <v>4766</v>
      </c>
      <c r="F298">
        <f>LEN(I298)</f>
        <v>15</v>
      </c>
      <c r="G298" t="str">
        <f>VLOOKUP(E298,Organisation!$A$2:$C$499,3,FALSE)</f>
        <v>CORG00108</v>
      </c>
      <c r="H298" t="str">
        <f>VLOOKUP(G298,Organisation!$C$2:$E$318,3,FALSE)</f>
        <v>UMullana</v>
      </c>
      <c r="I298" t="s">
        <v>5697</v>
      </c>
      <c r="J298">
        <f t="shared" si="4"/>
        <v>1</v>
      </c>
      <c r="L298" t="s">
        <v>73</v>
      </c>
      <c r="M298" t="s">
        <v>5696</v>
      </c>
      <c r="N298" t="s">
        <v>211</v>
      </c>
      <c r="P298" t="s">
        <v>8866</v>
      </c>
      <c r="Q298" s="1">
        <v>1</v>
      </c>
      <c r="R298" t="str">
        <f>"Update Collaborator_Group Set Organisation = '"&amp;E298&amp;"' where Group_ID = '"&amp;A298&amp;"'; "</f>
        <v xml:space="preserve">Update Collaborator_Group Set Organisation = 'Maharishi Markandeshwar University Mullana' where Group_ID = 'CG00297'; </v>
      </c>
      <c r="S298" t="str">
        <f>"Update Collaborator_Group Set Group_Name = '"&amp;I298&amp;"' where Group_ID = '"&amp;A298&amp;"'; "</f>
        <v xml:space="preserve">Update Collaborator_Group Set Group_Name = 'SinghK_UMullana' where Group_ID = 'CG00297'; </v>
      </c>
      <c r="T298" t="str">
        <f>"Update dcollab.collab_group Set group_code = '"&amp;I298&amp;"' where Group_ID = '"&amp;B298&amp;"'; "</f>
        <v xml:space="preserve">Update dcollab.collab_group Set group_code = 'SinghK_UMullana' where Group_ID = 'CGRP00298'; </v>
      </c>
    </row>
    <row r="299" spans="1:20">
      <c r="A299" t="s">
        <v>4596</v>
      </c>
      <c r="B299" t="s">
        <v>9024</v>
      </c>
      <c r="D299" t="s">
        <v>5137</v>
      </c>
      <c r="E299" t="s">
        <v>517</v>
      </c>
      <c r="F299">
        <f>LEN(I299)</f>
        <v>12</v>
      </c>
      <c r="G299" t="str">
        <f>VLOOKUP(E299,Organisation!$A$2:$C$499,3,FALSE)</f>
        <v>CORG00125</v>
      </c>
      <c r="H299" t="str">
        <f>VLOOKUP(G299,Organisation!$C$2:$E$318,3,FALSE)</f>
        <v>Monash</v>
      </c>
      <c r="I299" t="s">
        <v>5681</v>
      </c>
      <c r="J299">
        <f t="shared" si="4"/>
        <v>1</v>
      </c>
      <c r="L299" t="s">
        <v>84</v>
      </c>
      <c r="M299" t="s">
        <v>4599</v>
      </c>
      <c r="N299" t="s">
        <v>14</v>
      </c>
      <c r="P299" t="s">
        <v>8866</v>
      </c>
      <c r="Q299" s="1">
        <v>1</v>
      </c>
      <c r="R299" t="str">
        <f>"Update Collaborator_Group Set Organisation = '"&amp;E299&amp;"' where Group_ID = '"&amp;A299&amp;"'; "</f>
        <v xml:space="preserve">Update Collaborator_Group Set Organisation = 'Monash University' where Group_ID = 'CG00298'; </v>
      </c>
      <c r="S299" t="str">
        <f>"Update Collaborator_Group Set Group_Name = '"&amp;I299&amp;"' where Group_ID = '"&amp;A299&amp;"'; "</f>
        <v xml:space="preserve">Update Collaborator_Group Set Group_Name = 'TuckK_Monash' where Group_ID = 'CG00298'; </v>
      </c>
      <c r="T299" t="str">
        <f>"Update dcollab.collab_group Set group_code = '"&amp;I299&amp;"' where Group_ID = '"&amp;B299&amp;"'; "</f>
        <v xml:space="preserve">Update dcollab.collab_group Set group_code = 'TuckK_Monash' where Group_ID = 'CGRP00299'; </v>
      </c>
    </row>
    <row r="300" spans="1:20">
      <c r="A300" t="s">
        <v>2212</v>
      </c>
      <c r="B300" t="s">
        <v>9070</v>
      </c>
      <c r="D300" t="s">
        <v>2211</v>
      </c>
      <c r="E300" t="s">
        <v>2214</v>
      </c>
      <c r="F300">
        <f>LEN(I300)</f>
        <v>17</v>
      </c>
      <c r="G300" t="str">
        <f>VLOOKUP(E300,Organisation!$A$2:$C$499,3,FALSE)</f>
        <v>CORG00167</v>
      </c>
      <c r="H300" t="str">
        <f>VLOOKUP(G300,Organisation!$C$2:$E$318,3,FALSE)</f>
        <v>RyersonU</v>
      </c>
      <c r="I300" t="s">
        <v>5641</v>
      </c>
      <c r="J300">
        <f t="shared" si="4"/>
        <v>1</v>
      </c>
      <c r="L300" t="s">
        <v>2215</v>
      </c>
      <c r="M300" t="s">
        <v>2216</v>
      </c>
      <c r="N300" t="s">
        <v>75</v>
      </c>
      <c r="P300" t="s">
        <v>8866</v>
      </c>
      <c r="Q300" s="1">
        <v>1</v>
      </c>
      <c r="R300" t="str">
        <f>"Update Collaborator_Group Set Organisation = '"&amp;E300&amp;"' where Group_ID = '"&amp;A300&amp;"'; "</f>
        <v xml:space="preserve">Update Collaborator_Group Set Organisation = 'Ryerson Unversity' where Group_ID = 'CG00299'; </v>
      </c>
      <c r="S300" t="str">
        <f>"Update Collaborator_Group Set Group_Name = '"&amp;I300&amp;"' where Group_ID = '"&amp;A300&amp;"'; "</f>
        <v xml:space="preserve">Update Collaborator_Group Set Group_Name = 'GossageR_RyersonU' where Group_ID = 'CG00299'; </v>
      </c>
      <c r="T300" t="str">
        <f>"Update dcollab.collab_group Set group_code = '"&amp;I300&amp;"' where Group_ID = '"&amp;B300&amp;"'; "</f>
        <v xml:space="preserve">Update dcollab.collab_group Set group_code = 'GossageR_RyersonU' where Group_ID = 'CGRP00300'; </v>
      </c>
    </row>
    <row r="301" spans="1:20">
      <c r="A301" t="s">
        <v>3160</v>
      </c>
      <c r="B301" t="s">
        <v>9110</v>
      </c>
      <c r="D301" t="s">
        <v>4856</v>
      </c>
      <c r="E301" t="s">
        <v>3164</v>
      </c>
      <c r="F301">
        <f>LEN(I301)</f>
        <v>18</v>
      </c>
      <c r="G301" t="str">
        <f>VLOOKUP(E301,Organisation!$A$2:$C$499,3,FALSE)</f>
        <v>CORG00203</v>
      </c>
      <c r="H301" t="str">
        <f>VLOOKUP(G301,Organisation!$C$2:$E$318,3,FALSE)</f>
        <v>USherbrooke</v>
      </c>
      <c r="I301" t="s">
        <v>5509</v>
      </c>
      <c r="J301">
        <f t="shared" si="4"/>
        <v>1</v>
      </c>
      <c r="L301" t="s">
        <v>84</v>
      </c>
      <c r="M301" t="s">
        <v>4859</v>
      </c>
      <c r="N301" t="s">
        <v>75</v>
      </c>
      <c r="O301" t="s">
        <v>5507</v>
      </c>
      <c r="P301" t="s">
        <v>8867</v>
      </c>
      <c r="Q301" s="1">
        <v>1</v>
      </c>
      <c r="R301" t="str">
        <f>"Update Collaborator_Group Set Organisation = '"&amp;E301&amp;"' where Group_ID = '"&amp;A301&amp;"'; "</f>
        <v xml:space="preserve">Update Collaborator_Group Set Organisation = 'Université de Sherbrooke' where Group_ID = 'CG00300'; </v>
      </c>
      <c r="S301" t="str">
        <f>"Update Collaborator_Group Set Group_Name = '"&amp;I301&amp;"' where Group_ID = '"&amp;A301&amp;"'; "</f>
        <v xml:space="preserve">Update Collaborator_Group Set Group_Name = 'SpinoC_USherbrooke' where Group_ID = 'CG00300'; </v>
      </c>
      <c r="T301" t="str">
        <f>"Update dcollab.collab_group Set group_code = '"&amp;I301&amp;"' where Group_ID = '"&amp;B301&amp;"'; "</f>
        <v xml:space="preserve">Update dcollab.collab_group Set group_code = 'SpinoC_USherbrooke' where Group_ID = 'CGRP00301'; </v>
      </c>
    </row>
    <row r="302" spans="1:20">
      <c r="A302" t="s">
        <v>367</v>
      </c>
      <c r="B302" t="s">
        <v>9059</v>
      </c>
      <c r="D302" t="s">
        <v>366</v>
      </c>
      <c r="E302" t="s">
        <v>371</v>
      </c>
      <c r="F302">
        <f>LEN(I302)</f>
        <v>12</v>
      </c>
      <c r="G302" t="str">
        <f>VLOOKUP(E302,Organisation!$A$2:$C$499,3,FALSE)</f>
        <v>CORG00156</v>
      </c>
      <c r="H302" t="str">
        <f>VLOOKUP(G302,Organisation!$C$2:$E$318,3,FALSE)</f>
        <v>QUT</v>
      </c>
      <c r="I302" t="s">
        <v>5653</v>
      </c>
      <c r="J302">
        <f t="shared" si="4"/>
        <v>1</v>
      </c>
      <c r="L302" t="s">
        <v>372</v>
      </c>
      <c r="M302" t="s">
        <v>373</v>
      </c>
      <c r="N302" t="s">
        <v>14</v>
      </c>
      <c r="P302" t="s">
        <v>8866</v>
      </c>
      <c r="Q302" s="1">
        <v>1</v>
      </c>
      <c r="R302" t="str">
        <f>"Update Collaborator_Group Set Organisation = '"&amp;E302&amp;"' where Group_ID = '"&amp;A302&amp;"'; "</f>
        <v xml:space="preserve">Update Collaborator_Group Set Organisation = 'Queensland University of Technology' where Group_ID = 'CG00301'; </v>
      </c>
      <c r="S302" t="str">
        <f>"Update Collaborator_Group Set Group_Name = '"&amp;I302&amp;"' where Group_ID = '"&amp;A302&amp;"'; "</f>
        <v xml:space="preserve">Update Collaborator_Group Set Group_Name = 'AllenbyM_QUT' where Group_ID = 'CG00301'; </v>
      </c>
      <c r="T302" t="str">
        <f>"Update dcollab.collab_group Set group_code = '"&amp;I302&amp;"' where Group_ID = '"&amp;B302&amp;"'; "</f>
        <v xml:space="preserve">Update dcollab.collab_group Set group_code = 'AllenbyM_QUT' where Group_ID = 'CGRP00302'; </v>
      </c>
    </row>
    <row r="303" spans="1:20">
      <c r="A303" t="s">
        <v>917</v>
      </c>
      <c r="B303" t="s">
        <v>8930</v>
      </c>
      <c r="D303" t="s">
        <v>1206</v>
      </c>
      <c r="E303" t="s">
        <v>920</v>
      </c>
      <c r="F303">
        <f>LEN(I303)</f>
        <v>13</v>
      </c>
      <c r="G303" t="str">
        <f>VLOOKUP(E303,Organisation!$A$2:$C$499,3,FALSE)</f>
        <v>CORG00051</v>
      </c>
      <c r="H303" t="str">
        <f>VLOOKUP(G303,Organisation!$C$2:$E$318,3,FALSE)</f>
        <v>DurhamU</v>
      </c>
      <c r="I303" t="s">
        <v>5754</v>
      </c>
      <c r="J303">
        <f t="shared" si="4"/>
        <v>1</v>
      </c>
      <c r="L303" t="s">
        <v>84</v>
      </c>
      <c r="M303" t="s">
        <v>921</v>
      </c>
      <c r="N303" t="s">
        <v>269</v>
      </c>
      <c r="P303" t="s">
        <v>8866</v>
      </c>
      <c r="Q303" s="1">
        <v>1</v>
      </c>
      <c r="R303" t="str">
        <f>"Update Collaborator_Group Set Organisation = '"&amp;E303&amp;"' where Group_ID = '"&amp;A303&amp;"'; "</f>
        <v xml:space="preserve">Update Collaborator_Group Set Organisation = 'Durham University' where Group_ID = 'CG00302'; </v>
      </c>
      <c r="S303" t="str">
        <f>"Update Collaborator_Group Set Group_Name = '"&amp;I303&amp;"' where Group_ID = '"&amp;A303&amp;"'; "</f>
        <v xml:space="preserve">Update Collaborator_Group Set Group_Name = 'CobbS_DurhamU' where Group_ID = 'CG00302'; </v>
      </c>
      <c r="T303" t="str">
        <f>"Update dcollab.collab_group Set group_code = '"&amp;I303&amp;"' where Group_ID = '"&amp;B303&amp;"'; "</f>
        <v xml:space="preserve">Update dcollab.collab_group Set group_code = 'CobbS_DurhamU' where Group_ID = 'CGRP00303'; </v>
      </c>
    </row>
    <row r="304" spans="1:20">
      <c r="A304" t="s">
        <v>2669</v>
      </c>
      <c r="B304" t="s">
        <v>8937</v>
      </c>
      <c r="D304" t="s">
        <v>2668</v>
      </c>
      <c r="E304" t="s">
        <v>8783</v>
      </c>
      <c r="F304">
        <f>LEN(I304)</f>
        <v>16</v>
      </c>
      <c r="G304" t="str">
        <f>VLOOKUP(E304,Organisation!$A$2:$C$499,3,FALSE)</f>
        <v>CORG00059</v>
      </c>
      <c r="H304" t="str">
        <f>VLOOKUP(G304,Organisation!$C$2:$E$318,3,FALSE)</f>
        <v>Fuuast</v>
      </c>
      <c r="I304" t="s">
        <v>5749</v>
      </c>
      <c r="J304">
        <f t="shared" si="4"/>
        <v>1</v>
      </c>
      <c r="L304" t="s">
        <v>84</v>
      </c>
      <c r="M304" t="s">
        <v>2673</v>
      </c>
      <c r="N304" t="s">
        <v>2674</v>
      </c>
      <c r="P304" t="s">
        <v>8866</v>
      </c>
      <c r="Q304" s="1">
        <v>1</v>
      </c>
      <c r="R304" t="str">
        <f>"Update Collaborator_Group Set Organisation = '"&amp;E304&amp;"' where Group_ID = '"&amp;A304&amp;"'; "</f>
        <v xml:space="preserve">Update Collaborator_Group Set Organisation = 'Federal Urdu University of Arts Science and Technology' where Group_ID = 'CG00303'; </v>
      </c>
      <c r="S304" t="str">
        <f>"Update Collaborator_Group Set Group_Name = '"&amp;I304&amp;"' where Group_ID = '"&amp;A304&amp;"'; "</f>
        <v xml:space="preserve">Update Collaborator_Group Set Group_Name = 'JahangirS_Fuuast' where Group_ID = 'CG00303'; </v>
      </c>
      <c r="T304" t="str">
        <f>"Update dcollab.collab_group Set group_code = '"&amp;I304&amp;"' where Group_ID = '"&amp;B304&amp;"'; "</f>
        <v xml:space="preserve">Update dcollab.collab_group Set group_code = 'JahangirS_Fuuast' where Group_ID = 'CGRP00304'; </v>
      </c>
    </row>
    <row r="305" spans="1:20">
      <c r="A305" t="s">
        <v>2735</v>
      </c>
      <c r="B305" t="s">
        <v>9133</v>
      </c>
      <c r="D305" t="s">
        <v>2734</v>
      </c>
      <c r="E305" t="s">
        <v>596</v>
      </c>
      <c r="F305">
        <f>LEN(I305)</f>
        <v>15</v>
      </c>
      <c r="G305" t="str">
        <f>VLOOKUP(E305,Organisation!$A$2:$C$499,3,FALSE)</f>
        <v>CORG00216</v>
      </c>
      <c r="H305" t="str">
        <f>VLOOKUP(G305,Organisation!$C$2:$E$318,3,FALSE)</f>
        <v>UAuckland</v>
      </c>
      <c r="I305" t="s">
        <v>5600</v>
      </c>
      <c r="J305">
        <f t="shared" si="4"/>
        <v>1</v>
      </c>
      <c r="L305" t="s">
        <v>2738</v>
      </c>
      <c r="M305" t="s">
        <v>2739</v>
      </c>
      <c r="N305" t="s">
        <v>223</v>
      </c>
      <c r="P305" t="s">
        <v>8866</v>
      </c>
      <c r="Q305" s="1">
        <v>1</v>
      </c>
      <c r="R305" t="str">
        <f>"Update Collaborator_Group Set Organisation = '"&amp;E305&amp;"' where Group_ID = '"&amp;A305&amp;"'; "</f>
        <v xml:space="preserve">Update Collaborator_Group Set Organisation = 'University of Auckland' where Group_ID = 'CG00304'; </v>
      </c>
      <c r="S305" t="str">
        <f>"Update Collaborator_Group Set Group_Name = '"&amp;I305&amp;"' where Group_ID = '"&amp;A305&amp;"'; "</f>
        <v xml:space="preserve">Update Collaborator_Group Set Group_Name = 'JoseJ_UAuckland' where Group_ID = 'CG00304'; </v>
      </c>
      <c r="T305" t="str">
        <f>"Update dcollab.collab_group Set group_code = '"&amp;I305&amp;"' where Group_ID = '"&amp;B305&amp;"'; "</f>
        <v xml:space="preserve">Update dcollab.collab_group Set group_code = 'JoseJ_UAuckland' where Group_ID = 'CGRP00305'; </v>
      </c>
    </row>
    <row r="306" spans="1:20">
      <c r="A306" t="s">
        <v>1102</v>
      </c>
      <c r="B306" t="s">
        <v>9254</v>
      </c>
      <c r="D306" t="s">
        <v>5113</v>
      </c>
      <c r="E306" t="s">
        <v>1105</v>
      </c>
      <c r="F306">
        <f>LEN(I306)</f>
        <v>21</v>
      </c>
      <c r="G306" t="str">
        <f>VLOOKUP(E306,Organisation!$A$2:$C$499,3,FALSE)</f>
        <v>CORG00299</v>
      </c>
      <c r="H306" t="str">
        <f>VLOOKUP(G306,Organisation!$C$2:$E$318,3,FALSE)</f>
        <v>VanderbiltU</v>
      </c>
      <c r="I306" t="s">
        <v>5504</v>
      </c>
      <c r="J306">
        <f t="shared" si="4"/>
        <v>1</v>
      </c>
      <c r="L306" t="s">
        <v>712</v>
      </c>
      <c r="M306" t="s">
        <v>5115</v>
      </c>
      <c r="N306" t="s">
        <v>8808</v>
      </c>
      <c r="P306" t="s">
        <v>8866</v>
      </c>
      <c r="Q306" s="1">
        <v>1</v>
      </c>
      <c r="R306" t="str">
        <f>"Update Collaborator_Group Set Organisation = '"&amp;E306&amp;"' where Group_ID = '"&amp;A306&amp;"'; "</f>
        <v xml:space="preserve">Update Collaborator_Group Set Organisation = 'Vanderbilt University' where Group_ID = 'CG00305'; </v>
      </c>
      <c r="S306" t="str">
        <f>"Update Collaborator_Group Set Group_Name = '"&amp;I306&amp;"' where Group_ID = '"&amp;A306&amp;"'; "</f>
        <v xml:space="preserve">Update Collaborator_Group Set Group_Name = 'TownsendS_VanderbiltU' where Group_ID = 'CG00305'; </v>
      </c>
      <c r="T306" t="str">
        <f>"Update dcollab.collab_group Set group_code = '"&amp;I306&amp;"' where Group_ID = '"&amp;B306&amp;"'; "</f>
        <v xml:space="preserve">Update dcollab.collab_group Set group_code = 'TownsendS_VanderbiltU' where Group_ID = 'CGRP00306'; </v>
      </c>
    </row>
    <row r="307" spans="1:20">
      <c r="A307" t="s">
        <v>1828</v>
      </c>
      <c r="B307" t="s">
        <v>9077</v>
      </c>
      <c r="D307" t="s">
        <v>1827</v>
      </c>
      <c r="E307" t="s">
        <v>1832</v>
      </c>
      <c r="F307">
        <f>LEN(I307)</f>
        <v>15</v>
      </c>
      <c r="G307" t="str">
        <f>VLOOKUP(E307,Organisation!$A$2:$C$499,3,FALSE)</f>
        <v>CORG00173</v>
      </c>
      <c r="H307" t="str">
        <f>VLOOKUP(G307,Organisation!$C$2:$E$318,3,FALSE)</f>
        <v>SinaiU</v>
      </c>
      <c r="I307" t="s">
        <v>5636</v>
      </c>
      <c r="J307">
        <f t="shared" si="4"/>
        <v>1</v>
      </c>
      <c r="L307" t="s">
        <v>63</v>
      </c>
      <c r="M307" t="s">
        <v>1833</v>
      </c>
      <c r="N307" t="s">
        <v>55</v>
      </c>
      <c r="P307" t="s">
        <v>8866</v>
      </c>
      <c r="Q307" s="1">
        <v>1</v>
      </c>
      <c r="R307" t="str">
        <f>"Update Collaborator_Group Set Organisation = '"&amp;E307&amp;"' where Group_ID = '"&amp;A307&amp;"'; "</f>
        <v xml:space="preserve">Update Collaborator_Group Set Organisation = 'Sinai University' where Group_ID = 'CG00306'; </v>
      </c>
      <c r="S307" t="str">
        <f>"Update Collaborator_Group Set Group_Name = '"&amp;I307&amp;"' where Group_ID = '"&amp;A307&amp;"'; "</f>
        <v xml:space="preserve">Update Collaborator_Group Set Group_Name = 'ElsawahD_SinaiU' where Group_ID = 'CG00306'; </v>
      </c>
      <c r="T307" t="str">
        <f>"Update dcollab.collab_group Set group_code = '"&amp;I307&amp;"' where Group_ID = '"&amp;B307&amp;"'; "</f>
        <v xml:space="preserve">Update dcollab.collab_group Set group_code = 'ElsawahD_SinaiU' where Group_ID = 'CGRP00307'; </v>
      </c>
    </row>
    <row r="308" spans="1:20">
      <c r="A308" t="s">
        <v>5225</v>
      </c>
      <c r="B308" t="s">
        <v>9027</v>
      </c>
      <c r="D308" t="s">
        <v>5294</v>
      </c>
      <c r="E308" t="s">
        <v>5227</v>
      </c>
      <c r="F308">
        <f>LEN(I308)</f>
        <v>20</v>
      </c>
      <c r="G308" t="str">
        <f>VLOOKUP(E308,Organisation!$A$2:$C$499,3,FALSE)</f>
        <v>CORG00127</v>
      </c>
      <c r="H308" t="str">
        <f>VLOOKUP(G308,Organisation!$C$2:$E$318,3,FALSE)</f>
        <v>MtAllisonU</v>
      </c>
      <c r="I308" t="s">
        <v>5674</v>
      </c>
      <c r="J308">
        <f t="shared" si="4"/>
        <v>1</v>
      </c>
      <c r="L308" t="s">
        <v>1288</v>
      </c>
      <c r="M308" t="s">
        <v>5228</v>
      </c>
      <c r="N308" t="s">
        <v>75</v>
      </c>
      <c r="P308" t="s">
        <v>8866</v>
      </c>
      <c r="Q308" s="1">
        <v>1</v>
      </c>
      <c r="R308" t="str">
        <f>"Update Collaborator_Group Set Organisation = '"&amp;E308&amp;"' where Group_ID = '"&amp;A308&amp;"'; "</f>
        <v xml:space="preserve">Update Collaborator_Group Set Organisation = 'Mount Allison University' where Group_ID = 'CG00307'; </v>
      </c>
      <c r="S308" t="str">
        <f>"Update Collaborator_Group Set Group_Name = '"&amp;I308&amp;"' where Group_ID = '"&amp;A308&amp;"'; "</f>
        <v xml:space="preserve">Update Collaborator_Group Set Group_Name = 'WestcottS_MtAllisonU' where Group_ID = 'CG00307'; </v>
      </c>
      <c r="T308" t="str">
        <f>"Update dcollab.collab_group Set group_code = '"&amp;I308&amp;"' where Group_ID = '"&amp;B308&amp;"'; "</f>
        <v xml:space="preserve">Update dcollab.collab_group Set group_code = 'WestcottS_MtAllisonU' where Group_ID = 'CGRP00308'; </v>
      </c>
    </row>
    <row r="309" spans="1:20">
      <c r="A309" t="s">
        <v>2498</v>
      </c>
      <c r="B309" t="s">
        <v>9030</v>
      </c>
      <c r="D309" t="s">
        <v>2497</v>
      </c>
      <c r="E309" t="s">
        <v>2501</v>
      </c>
      <c r="F309">
        <f>LEN(I309)</f>
        <v>16</v>
      </c>
      <c r="G309" t="str">
        <f>VLOOKUP(E309,Organisation!$A$2:$C$499,3,FALSE)</f>
        <v>CORG00130</v>
      </c>
      <c r="H309" t="str">
        <f>VLOOKUP(G309,Organisation!$C$2:$E$318,3,FALSE)</f>
        <v>NanyangTU</v>
      </c>
      <c r="I309" t="s">
        <v>5671</v>
      </c>
      <c r="J309">
        <f t="shared" si="4"/>
        <v>1</v>
      </c>
      <c r="L309" t="s">
        <v>2502</v>
      </c>
      <c r="M309" t="s">
        <v>2503</v>
      </c>
      <c r="N309" t="s">
        <v>459</v>
      </c>
      <c r="P309" t="s">
        <v>8866</v>
      </c>
      <c r="Q309" s="1">
        <v>1</v>
      </c>
      <c r="R309" t="str">
        <f>"Update Collaborator_Group Set Organisation = '"&amp;E309&amp;"' where Group_ID = '"&amp;A309&amp;"'; "</f>
        <v xml:space="preserve">Update Collaborator_Group Set Organisation = 'Nanyang Technological University' where Group_ID = 'CG00308'; </v>
      </c>
      <c r="S309" t="str">
        <f>"Update Collaborator_Group Set Group_Name = '"&amp;I309&amp;"' where Group_ID = '"&amp;A309&amp;"'; "</f>
        <v xml:space="preserve">Update Collaborator_Group Set Group_Name = 'HinksJ_NanyangTU' where Group_ID = 'CG00308'; </v>
      </c>
      <c r="T309" t="str">
        <f>"Update dcollab.collab_group Set group_code = '"&amp;I309&amp;"' where Group_ID = '"&amp;B309&amp;"'; "</f>
        <v xml:space="preserve">Update dcollab.collab_group Set group_code = 'HinksJ_NanyangTU' where Group_ID = 'CGRP00309'; </v>
      </c>
    </row>
    <row r="310" spans="1:20">
      <c r="A310" t="s">
        <v>5313</v>
      </c>
      <c r="B310" t="s">
        <v>8919</v>
      </c>
      <c r="D310" t="s">
        <v>5312</v>
      </c>
      <c r="E310" t="s">
        <v>5316</v>
      </c>
      <c r="F310">
        <f>LEN(I310)</f>
        <v>16</v>
      </c>
      <c r="G310" t="str">
        <f>VLOOKUP(E310,Organisation!$A$2:$C$499,3,FALSE)</f>
        <v>CORG00041</v>
      </c>
      <c r="H310" t="str">
        <f>VLOOKUP(G310,Organisation!$C$2:$E$318,3,FALSE)</f>
        <v>CornellU</v>
      </c>
      <c r="I310" t="s">
        <v>5761</v>
      </c>
      <c r="J310">
        <f t="shared" si="4"/>
        <v>1</v>
      </c>
      <c r="L310" t="s">
        <v>3882</v>
      </c>
      <c r="M310" t="s">
        <v>5317</v>
      </c>
      <c r="N310" t="s">
        <v>8808</v>
      </c>
      <c r="P310" t="s">
        <v>8866</v>
      </c>
      <c r="Q310" s="1">
        <v>1</v>
      </c>
      <c r="R310" t="str">
        <f>"Update Collaborator_Group Set Organisation = '"&amp;E310&amp;"' where Group_ID = '"&amp;A310&amp;"'; "</f>
        <v xml:space="preserve">Update Collaborator_Group Set Organisation = 'Cornell University' where Group_ID = 'CG00309'; </v>
      </c>
      <c r="S310" t="str">
        <f>"Update Collaborator_Group Set Group_Name = '"&amp;I310&amp;"' where Group_ID = '"&amp;A310&amp;"'; "</f>
        <v xml:space="preserve">Update Collaborator_Group Set Group_Name = 'WilsonJ_CornellU' where Group_ID = 'CG00309'; </v>
      </c>
      <c r="T310" t="str">
        <f>"Update dcollab.collab_group Set group_code = '"&amp;I310&amp;"' where Group_ID = '"&amp;B310&amp;"'; "</f>
        <v xml:space="preserve">Update dcollab.collab_group Set group_code = 'WilsonJ_CornellU' where Group_ID = 'CGRP00310'; </v>
      </c>
    </row>
    <row r="311" spans="1:20">
      <c r="A311" t="s">
        <v>4483</v>
      </c>
      <c r="B311" t="s">
        <v>8992</v>
      </c>
      <c r="D311" t="s">
        <v>4482</v>
      </c>
      <c r="E311" t="s">
        <v>4486</v>
      </c>
      <c r="F311">
        <f>LEN(I311)</f>
        <v>17</v>
      </c>
      <c r="G311" t="str">
        <f>VLOOKUP(E311,Organisation!$A$2:$C$499,3,FALSE)</f>
        <v>CORG00103</v>
      </c>
      <c r="H311" t="str">
        <f>VLOOKUP(G311,Organisation!$C$2:$E$318,3,FALSE)</f>
        <v>LahoreUMS</v>
      </c>
      <c r="I311" t="s">
        <v>10485</v>
      </c>
      <c r="J311">
        <f t="shared" si="4"/>
        <v>1</v>
      </c>
      <c r="L311" t="s">
        <v>4487</v>
      </c>
      <c r="M311" t="s">
        <v>4488</v>
      </c>
      <c r="N311" t="s">
        <v>2674</v>
      </c>
      <c r="P311" t="s">
        <v>8866</v>
      </c>
      <c r="Q311" s="1">
        <v>1</v>
      </c>
      <c r="R311" t="str">
        <f>"Update Collaborator_Group Set Organisation = '"&amp;E311&amp;"' where Group_ID = '"&amp;A311&amp;"'; "</f>
        <v xml:space="preserve">Update Collaborator_Group Set Organisation = 'Lahore University of Management Sciences' where Group_ID = 'CG00310'; </v>
      </c>
      <c r="S311" t="str">
        <f>"Update Collaborator_Group Set Group_Name = '"&amp;I311&amp;"' where Group_ID = '"&amp;A311&amp;"'; "</f>
        <v xml:space="preserve">Update Collaborator_Group Set Group_Name = 'SaleemR_LahoreUMS' where Group_ID = 'CG00310'; </v>
      </c>
      <c r="T311" t="str">
        <f>"Update dcollab.collab_group Set group_code = '"&amp;I311&amp;"' where Group_ID = '"&amp;B311&amp;"'; "</f>
        <v xml:space="preserve">Update dcollab.collab_group Set group_code = 'SaleemR_LahoreUMS' where Group_ID = 'CGRP00311'; </v>
      </c>
    </row>
    <row r="312" spans="1:20">
      <c r="A312" t="s">
        <v>3049</v>
      </c>
      <c r="B312" t="s">
        <v>9145</v>
      </c>
      <c r="D312" t="s">
        <v>3048</v>
      </c>
      <c r="E312" t="s">
        <v>3052</v>
      </c>
      <c r="F312">
        <f>LEN(I312)</f>
        <v>21</v>
      </c>
      <c r="G312" t="str">
        <f>VLOOKUP(E312,Organisation!$A$2:$C$499,3,FALSE)</f>
        <v>CORG00225</v>
      </c>
      <c r="H312" t="str">
        <f>VLOOKUP(G312,Organisation!$C$2:$E$318,3,FALSE)</f>
        <v>UCentLancashire</v>
      </c>
      <c r="I312" t="s">
        <v>5589</v>
      </c>
      <c r="J312">
        <f t="shared" si="4"/>
        <v>1</v>
      </c>
      <c r="L312" t="s">
        <v>3053</v>
      </c>
      <c r="M312" t="s">
        <v>3054</v>
      </c>
      <c r="N312" t="s">
        <v>269</v>
      </c>
      <c r="P312" t="s">
        <v>8866</v>
      </c>
      <c r="Q312" s="1">
        <v>1</v>
      </c>
      <c r="R312" t="str">
        <f>"Update Collaborator_Group Set Organisation = '"&amp;E312&amp;"' where Group_ID = '"&amp;A312&amp;"'; "</f>
        <v xml:space="preserve">Update Collaborator_Group Set Organisation = 'University of Central Lancashire' where Group_ID = 'CG00311'; </v>
      </c>
      <c r="S312" t="str">
        <f>"Update Collaborator_Group Set Group_Name = '"&amp;I312&amp;"' where Group_ID = '"&amp;A312&amp;"'; "</f>
        <v xml:space="preserve">Update Collaborator_Group Set Group_Name = 'KudiM_UCentLancashire' where Group_ID = 'CG00311'; </v>
      </c>
      <c r="T312" t="str">
        <f>"Update dcollab.collab_group Set group_code = '"&amp;I312&amp;"' where Group_ID = '"&amp;B312&amp;"'; "</f>
        <v xml:space="preserve">Update dcollab.collab_group Set group_code = 'KudiM_UCentLancashire' where Group_ID = 'CGRP00312'; </v>
      </c>
    </row>
    <row r="313" spans="1:20">
      <c r="A313" t="s">
        <v>636</v>
      </c>
      <c r="B313" t="s">
        <v>9142</v>
      </c>
      <c r="D313" t="s">
        <v>635</v>
      </c>
      <c r="E313" t="s">
        <v>8747</v>
      </c>
      <c r="F313">
        <f>LEN(I313)</f>
        <v>11</v>
      </c>
      <c r="G313" t="str">
        <f>VLOOKUP(E313,Organisation!$A$2:$C$499,3,FALSE)</f>
        <v>CORG00223</v>
      </c>
      <c r="H313" t="str">
        <f>VLOOKUP(G313,Organisation!$C$2:$E$318,3,FALSE)</f>
        <v>UCSB</v>
      </c>
      <c r="I313" t="s">
        <v>10486</v>
      </c>
      <c r="J313">
        <f t="shared" si="4"/>
        <v>1</v>
      </c>
      <c r="L313" t="s">
        <v>640</v>
      </c>
      <c r="M313" t="s">
        <v>641</v>
      </c>
      <c r="N313" t="s">
        <v>8808</v>
      </c>
      <c r="P313" t="s">
        <v>8866</v>
      </c>
      <c r="Q313" s="1">
        <v>1</v>
      </c>
      <c r="R313" t="str">
        <f>"Update Collaborator_Group Set Organisation = '"&amp;E313&amp;"' where Group_ID = '"&amp;A313&amp;"'; "</f>
        <v xml:space="preserve">Update Collaborator_Group Set Organisation = 'University of California Santa Barbara' where Group_ID = 'CG00312'; </v>
      </c>
      <c r="S313" t="str">
        <f>"Update Collaborator_Group Set Group_Name = '"&amp;I313&amp;"' where Group_ID = '"&amp;A313&amp;"'; "</f>
        <v xml:space="preserve">Update Collaborator_Group Set Group_Name = 'BazanG_UCSB' where Group_ID = 'CG00312'; </v>
      </c>
      <c r="T313" t="str">
        <f>"Update dcollab.collab_group Set group_code = '"&amp;I313&amp;"' where Group_ID = '"&amp;B313&amp;"'; "</f>
        <v xml:space="preserve">Update dcollab.collab_group Set group_code = 'BazanG_UCSB' where Group_ID = 'CGRP00313'; </v>
      </c>
    </row>
    <row r="314" spans="1:20">
      <c r="A314" t="s">
        <v>541</v>
      </c>
      <c r="B314" t="s">
        <v>8942</v>
      </c>
      <c r="D314" t="s">
        <v>540</v>
      </c>
      <c r="E314" t="s">
        <v>8759</v>
      </c>
      <c r="F314">
        <f>LEN(I314)</f>
        <v>5</v>
      </c>
      <c r="G314" t="str">
        <f>VLOOKUP(E314,Organisation!$A$2:$C$499,3,FALSE)</f>
        <v>CORG00065</v>
      </c>
      <c r="H314" t="str">
        <f>VLOOKUP(G314,Organisation!$C$2:$E$318,3,FALSE)</f>
        <v>GARDP</v>
      </c>
      <c r="I314" t="s">
        <v>546</v>
      </c>
      <c r="J314">
        <f t="shared" si="4"/>
        <v>1</v>
      </c>
      <c r="L314" t="s">
        <v>546</v>
      </c>
      <c r="M314" t="s">
        <v>547</v>
      </c>
      <c r="N314" t="s">
        <v>253</v>
      </c>
      <c r="P314" t="s">
        <v>8866</v>
      </c>
      <c r="Q314" s="1">
        <v>1</v>
      </c>
      <c r="R314" t="str">
        <f>"Update Collaborator_Group Set Organisation = '"&amp;E314&amp;"' where Group_ID = '"&amp;A314&amp;"'; "</f>
        <v xml:space="preserve">Update Collaborator_Group Set Organisation = 'Global Antibiotic Research and Development Partnership' where Group_ID = 'CG00313'; </v>
      </c>
      <c r="S314" t="str">
        <f>"Update Collaborator_Group Set Group_Name = '"&amp;I314&amp;"' where Group_ID = '"&amp;A314&amp;"'; "</f>
        <v xml:space="preserve">Update Collaborator_Group Set Group_Name = 'GARDP' where Group_ID = 'CG00313'; </v>
      </c>
      <c r="T314" t="str">
        <f>"Update dcollab.collab_group Set group_code = '"&amp;I314&amp;"' where Group_ID = '"&amp;B314&amp;"'; "</f>
        <v xml:space="preserve">Update dcollab.collab_group Set group_code = 'GARDP' where Group_ID = 'CGRP00314'; </v>
      </c>
    </row>
    <row r="315" spans="1:20">
      <c r="A315" t="s">
        <v>1595</v>
      </c>
      <c r="B315" t="s">
        <v>9056</v>
      </c>
      <c r="D315" t="s">
        <v>3512</v>
      </c>
      <c r="E315" t="s">
        <v>1598</v>
      </c>
      <c r="F315">
        <f>LEN(I315)</f>
        <v>21</v>
      </c>
      <c r="G315" t="str">
        <f>VLOOKUP(E315,Organisation!$A$2:$C$499,3,FALSE)</f>
        <v>CORG00154</v>
      </c>
      <c r="H315" t="str">
        <f>VLOOKUP(G315,Organisation!$C$2:$E$318,3,FALSE)</f>
        <v>PermStateU</v>
      </c>
      <c r="I315" t="s">
        <v>5655</v>
      </c>
      <c r="J315">
        <f t="shared" si="4"/>
        <v>1</v>
      </c>
      <c r="L315" t="s">
        <v>712</v>
      </c>
      <c r="M315" t="s">
        <v>1599</v>
      </c>
      <c r="N315" t="s">
        <v>1600</v>
      </c>
      <c r="P315" t="s">
        <v>8866</v>
      </c>
      <c r="Q315" s="1">
        <v>1</v>
      </c>
      <c r="R315" t="str">
        <f>"Update Collaborator_Group Set Organisation = '"&amp;E315&amp;"' where Group_ID = '"&amp;A315&amp;"'; "</f>
        <v xml:space="preserve">Update Collaborator_Group Set Organisation = 'Perm State University' where Group_ID = 'CG00314'; </v>
      </c>
      <c r="S315" t="str">
        <f>"Update Collaborator_Group Set Group_Name = '"&amp;I315&amp;"' where Group_ID = '"&amp;A315&amp;"'; "</f>
        <v xml:space="preserve">Update Collaborator_Group Set Group_Name = 'MaslivetsA_PermStateU' where Group_ID = 'CG00314'; </v>
      </c>
      <c r="T315" t="str">
        <f>"Update dcollab.collab_group Set group_code = '"&amp;I315&amp;"' where Group_ID = '"&amp;B315&amp;"'; "</f>
        <v xml:space="preserve">Update dcollab.collab_group Set group_code = 'MaslivetsA_PermStateU' where Group_ID = 'CGRP00315'; </v>
      </c>
    </row>
    <row r="316" spans="1:20">
      <c r="A316" t="s">
        <v>1638</v>
      </c>
      <c r="B316" t="s">
        <v>9224</v>
      </c>
      <c r="D316" t="s">
        <v>1637</v>
      </c>
      <c r="E316" t="s">
        <v>1642</v>
      </c>
      <c r="F316">
        <f>LEN(I316)</f>
        <v>19</v>
      </c>
      <c r="G316" t="str">
        <f>VLOOKUP(E316,Organisation!$A$2:$C$499,3,FALSE)</f>
        <v>CORG00274</v>
      </c>
      <c r="H316" t="str">
        <f>VLOOKUP(G316,Organisation!$C$2:$E$318,3,FALSE)</f>
        <v>UTSanAntonio</v>
      </c>
      <c r="I316" t="s">
        <v>10487</v>
      </c>
      <c r="J316">
        <f t="shared" si="4"/>
        <v>1</v>
      </c>
      <c r="L316" t="s">
        <v>73</v>
      </c>
      <c r="M316" t="s">
        <v>1643</v>
      </c>
      <c r="N316" t="s">
        <v>8808</v>
      </c>
      <c r="P316" t="s">
        <v>8866</v>
      </c>
      <c r="Q316" s="1">
        <v>1</v>
      </c>
      <c r="R316" t="str">
        <f>"Update Collaborator_Group Set Organisation = '"&amp;E316&amp;"' where Group_ID = '"&amp;A316&amp;"'; "</f>
        <v xml:space="preserve">Update Collaborator_Group Set Organisation = 'University of Texas at San Antonio' where Group_ID = 'CG00315'; </v>
      </c>
      <c r="S316" t="str">
        <f>"Update Collaborator_Group Set Group_Name = '"&amp;I316&amp;"' where Group_ID = '"&amp;A316&amp;"'; "</f>
        <v xml:space="preserve">Update Collaborator_Group Set Group_Name = 'DoyleM_UTSanAntonio' where Group_ID = 'CG00315'; </v>
      </c>
      <c r="T316" t="str">
        <f>"Update dcollab.collab_group Set group_code = '"&amp;I316&amp;"' where Group_ID = '"&amp;B316&amp;"'; "</f>
        <v xml:space="preserve">Update dcollab.collab_group Set group_code = 'DoyleM_UTSanAntonio' where Group_ID = 'CGRP00316'; </v>
      </c>
    </row>
    <row r="317" spans="1:20">
      <c r="A317" t="s">
        <v>4230</v>
      </c>
      <c r="B317" t="s">
        <v>8926</v>
      </c>
      <c r="D317" t="s">
        <v>4229</v>
      </c>
      <c r="E317" t="s">
        <v>2829</v>
      </c>
      <c r="F317">
        <f>LEN(I317)</f>
        <v>18</v>
      </c>
      <c r="G317" t="str">
        <f>VLOOKUP(E317,Organisation!$A$2:$C$499,3,FALSE)</f>
        <v>CORG00047</v>
      </c>
      <c r="H317" t="str">
        <f>VLOOKUP(G317,Organisation!$C$2:$E$318,3,FALSE)</f>
        <v>DamanhourUT</v>
      </c>
      <c r="I317" t="s">
        <v>10488</v>
      </c>
      <c r="J317">
        <f t="shared" si="4"/>
        <v>1</v>
      </c>
      <c r="L317" t="s">
        <v>8835</v>
      </c>
      <c r="M317" t="s">
        <v>4234</v>
      </c>
      <c r="N317" t="s">
        <v>55</v>
      </c>
      <c r="P317" t="s">
        <v>8866</v>
      </c>
      <c r="Q317" s="1">
        <v>1</v>
      </c>
      <c r="R317" t="str">
        <f>"Update Collaborator_Group Set Organisation = '"&amp;E317&amp;"' where Group_ID = '"&amp;A317&amp;"'; "</f>
        <v xml:space="preserve">Update Collaborator_Group Set Organisation = 'Damanhour University' where Group_ID = 'CG00316'; </v>
      </c>
      <c r="S317" t="str">
        <f>"Update Collaborator_Group Set Group_Name = '"&amp;I317&amp;"' where Group_ID = '"&amp;A317&amp;"'; "</f>
        <v xml:space="preserve">Update Collaborator_Group Set Group_Name = 'RagabM_DamanhourUT' where Group_ID = 'CG00316'; </v>
      </c>
      <c r="T317" t="str">
        <f>"Update dcollab.collab_group Set group_code = '"&amp;I317&amp;"' where Group_ID = '"&amp;B317&amp;"'; "</f>
        <v xml:space="preserve">Update dcollab.collab_group Set group_code = 'RagabM_DamanhourUT' where Group_ID = 'CGRP00317'; </v>
      </c>
    </row>
    <row r="318" spans="1:20">
      <c r="A318" t="s">
        <v>3562</v>
      </c>
      <c r="B318" t="s">
        <v>9119</v>
      </c>
      <c r="D318" t="s">
        <v>3561</v>
      </c>
      <c r="E318" t="s">
        <v>1234</v>
      </c>
      <c r="F318">
        <f>LEN(I318)</f>
        <v>16</v>
      </c>
      <c r="G318" t="str">
        <f>VLOOKUP(E318,Organisation!$A$2:$C$499,3,FALSE)</f>
        <v>CORG00209</v>
      </c>
      <c r="H318" t="str">
        <f>VLOOKUP(G318,Organisation!$C$2:$E$318,3,FALSE)</f>
        <v>UCCork</v>
      </c>
      <c r="I318" t="s">
        <v>5612</v>
      </c>
      <c r="J318">
        <f t="shared" si="4"/>
        <v>1</v>
      </c>
      <c r="L318" t="s">
        <v>3566</v>
      </c>
      <c r="M318" t="s">
        <v>3567</v>
      </c>
      <c r="N318" t="s">
        <v>1235</v>
      </c>
      <c r="P318" t="s">
        <v>8866</v>
      </c>
      <c r="Q318" s="1">
        <v>1</v>
      </c>
      <c r="R318" t="str">
        <f>"Update Collaborator_Group Set Organisation = '"&amp;E318&amp;"' where Group_ID = '"&amp;A318&amp;"'; "</f>
        <v xml:space="preserve">Update Collaborator_Group Set Organisation = 'University College Cork' where Group_ID = 'CG00317'; </v>
      </c>
      <c r="S318" t="str">
        <f>"Update Collaborator_Group Set Group_Name = '"&amp;I318&amp;"' where Group_ID = '"&amp;A318&amp;"'; "</f>
        <v xml:space="preserve">Update Collaborator_Group Set Group_Name = 'McCarthyF_UCCork' where Group_ID = 'CG00317'; </v>
      </c>
      <c r="T318" t="str">
        <f>"Update dcollab.collab_group Set group_code = '"&amp;I318&amp;"' where Group_ID = '"&amp;B318&amp;"'; "</f>
        <v xml:space="preserve">Update dcollab.collab_group Set group_code = 'McCarthyF_UCCork' where Group_ID = 'CGRP00318'; </v>
      </c>
    </row>
    <row r="319" spans="1:20">
      <c r="A319" t="s">
        <v>3531</v>
      </c>
      <c r="B319" t="s">
        <v>9032</v>
      </c>
      <c r="D319" t="s">
        <v>4472</v>
      </c>
      <c r="E319" t="s">
        <v>8769</v>
      </c>
      <c r="F319">
        <f>LEN(I319)</f>
        <v>13</v>
      </c>
      <c r="G319" t="str">
        <f>VLOOKUP(E319,Organisation!$A$2:$C$499,3,FALSE)</f>
        <v>CORG00132</v>
      </c>
      <c r="H319" t="str">
        <f>VLOOKUP(G319,Organisation!$C$2:$E$318,3,FALSE)</f>
        <v>NCSRD</v>
      </c>
      <c r="I319" t="s">
        <v>10489</v>
      </c>
      <c r="J319">
        <f t="shared" si="4"/>
        <v>1</v>
      </c>
      <c r="L319" t="s">
        <v>3536</v>
      </c>
      <c r="M319" t="s">
        <v>3537</v>
      </c>
      <c r="N319" t="s">
        <v>2634</v>
      </c>
      <c r="P319" t="s">
        <v>8866</v>
      </c>
      <c r="Q319" s="1">
        <v>1</v>
      </c>
      <c r="R319" t="str">
        <f>"Update Collaborator_Group Set Organisation = '"&amp;E319&amp;"' where Group_ID = '"&amp;A319&amp;"'; "</f>
        <v xml:space="preserve">Update Collaborator_Group Set Organisation = 'National Center for Scientific Research Demokritos' where Group_ID = 'CG00318'; </v>
      </c>
      <c r="S319" t="str">
        <f>"Update Collaborator_Group Set Group_Name = '"&amp;I319&amp;"' where Group_ID = '"&amp;A319&amp;"'; "</f>
        <v xml:space="preserve">Update Collaborator_Group Set Group_Name = 'SagnouM_NCSRD' where Group_ID = 'CG00318'; </v>
      </c>
      <c r="T319" t="str">
        <f>"Update dcollab.collab_group Set group_code = '"&amp;I319&amp;"' where Group_ID = '"&amp;B319&amp;"'; "</f>
        <v xml:space="preserve">Update dcollab.collab_group Set group_code = 'SagnouM_NCSRD' where Group_ID = 'CGRP00319'; </v>
      </c>
    </row>
    <row r="320" spans="1:20">
      <c r="A320" t="s">
        <v>2778</v>
      </c>
      <c r="B320" t="s">
        <v>9002</v>
      </c>
      <c r="D320" t="s">
        <v>3792</v>
      </c>
      <c r="E320" t="s">
        <v>2781</v>
      </c>
      <c r="F320">
        <f>LEN(I320)</f>
        <v>17</v>
      </c>
      <c r="G320" t="str">
        <f>VLOOKUP(E320,Organisation!$A$2:$C$499,3,FALSE)</f>
        <v>CORG00109</v>
      </c>
      <c r="H320" t="str">
        <f>VLOOKUP(G320,Organisation!$C$2:$E$318,3,FALSE)</f>
        <v>MangaloreU</v>
      </c>
      <c r="I320" t="s">
        <v>5695</v>
      </c>
      <c r="J320">
        <f t="shared" si="4"/>
        <v>1</v>
      </c>
      <c r="L320" t="s">
        <v>84</v>
      </c>
      <c r="M320" t="s">
        <v>2782</v>
      </c>
      <c r="N320" t="s">
        <v>211</v>
      </c>
      <c r="P320" t="s">
        <v>8866</v>
      </c>
      <c r="Q320" s="1">
        <v>1</v>
      </c>
      <c r="R320" t="str">
        <f>"Update Collaborator_Group Set Organisation = '"&amp;E320&amp;"' where Group_ID = '"&amp;A320&amp;"'; "</f>
        <v xml:space="preserve">Update Collaborator_Group Set Organisation = 'Mangalore University' where Group_ID = 'CG00319'; </v>
      </c>
      <c r="S320" t="str">
        <f>"Update Collaborator_Group Set Group_Name = '"&amp;I320&amp;"' where Group_ID = '"&amp;A320&amp;"'; "</f>
        <v xml:space="preserve">Update Collaborator_Group Set Group_Name = 'NayakS_MangaloreU' where Group_ID = 'CG00319'; </v>
      </c>
      <c r="T320" t="str">
        <f>"Update dcollab.collab_group Set group_code = '"&amp;I320&amp;"' where Group_ID = '"&amp;B320&amp;"'; "</f>
        <v xml:space="preserve">Update dcollab.collab_group Set group_code = 'NayakS_MangaloreU' where Group_ID = 'CGRP00320'; </v>
      </c>
    </row>
    <row r="321" spans="1:20">
      <c r="A321" t="s">
        <v>1013</v>
      </c>
      <c r="B321" t="s">
        <v>9098</v>
      </c>
      <c r="D321" t="s">
        <v>3935</v>
      </c>
      <c r="E321" t="s">
        <v>1684</v>
      </c>
      <c r="F321">
        <f>LEN(I321)</f>
        <v>21</v>
      </c>
      <c r="G321" t="str">
        <f>VLOOKUP(E321,Organisation!$A$2:$C$499,3,FALSE)</f>
        <v>CORG00192</v>
      </c>
      <c r="H321" t="str">
        <f>VLOOKUP(G321,Organisation!$C$2:$E$318,3,FALSE)</f>
        <v>UBuenosAires</v>
      </c>
      <c r="I321" t="s">
        <v>5615</v>
      </c>
      <c r="J321">
        <f t="shared" si="4"/>
        <v>1</v>
      </c>
      <c r="L321" t="s">
        <v>3937</v>
      </c>
      <c r="M321" t="s">
        <v>3938</v>
      </c>
      <c r="N321" t="s">
        <v>481</v>
      </c>
      <c r="P321" t="s">
        <v>8866</v>
      </c>
      <c r="Q321" s="1">
        <v>1</v>
      </c>
      <c r="R321" t="str">
        <f>"Update Collaborator_Group Set Organisation = '"&amp;E321&amp;"' where Group_ID = '"&amp;A321&amp;"'; "</f>
        <v xml:space="preserve">Update Collaborator_Group Set Organisation = 'Universidad de Buenos Aires' where Group_ID = 'CG00320'; </v>
      </c>
      <c r="S321" t="str">
        <f>"Update Collaborator_Group Set Group_Name = '"&amp;I321&amp;"' where Group_ID = '"&amp;A321&amp;"'; "</f>
        <v xml:space="preserve">Update Collaborator_Group Set Group_Name = 'PalermoJ_UBuenosAires' where Group_ID = 'CG00320'; </v>
      </c>
      <c r="T321" t="str">
        <f>"Update dcollab.collab_group Set group_code = '"&amp;I321&amp;"' where Group_ID = '"&amp;B321&amp;"'; "</f>
        <v xml:space="preserve">Update dcollab.collab_group Set group_code = 'PalermoJ_UBuenosAires' where Group_ID = 'CGRP00321'; </v>
      </c>
    </row>
    <row r="322" spans="1:20">
      <c r="A322" t="s">
        <v>2843</v>
      </c>
      <c r="B322" t="s">
        <v>9095</v>
      </c>
      <c r="D322" t="s">
        <v>4817</v>
      </c>
      <c r="E322" t="s">
        <v>2846</v>
      </c>
      <c r="F322">
        <f>LEN(I322)</f>
        <v>13</v>
      </c>
      <c r="G322" t="str">
        <f>VLOOKUP(E322,Organisation!$A$2:$C$499,3,FALSE)</f>
        <v>CORG00191</v>
      </c>
      <c r="H322" t="str">
        <f>VLOOKUP(G322,Organisation!$C$2:$E$318,3,FALSE)</f>
        <v>Ufa</v>
      </c>
      <c r="I322" t="s">
        <v>5619</v>
      </c>
      <c r="J322">
        <f t="shared" si="4"/>
        <v>1</v>
      </c>
      <c r="L322" t="s">
        <v>2847</v>
      </c>
      <c r="M322" t="s">
        <v>4821</v>
      </c>
      <c r="N322" t="s">
        <v>1600</v>
      </c>
      <c r="P322" t="s">
        <v>8866</v>
      </c>
      <c r="Q322" s="1">
        <v>1</v>
      </c>
      <c r="R322" t="str">
        <f>"Update Collaborator_Group Set Organisation = '"&amp;E322&amp;"' where Group_ID = '"&amp;A322&amp;"'; "</f>
        <v xml:space="preserve">Update Collaborator_Group Set Organisation = 'Ufa Institute of Chemistry' where Group_ID = 'CG00321'; </v>
      </c>
      <c r="S322" t="str">
        <f>"Update Collaborator_Group Set Group_Name = '"&amp;I322&amp;"' where Group_ID = '"&amp;A322&amp;"'; "</f>
        <v xml:space="preserve">Update Collaborator_Group Set Group_Name = 'SmirnovaI_Ufa' where Group_ID = 'CG00321'; </v>
      </c>
      <c r="T322" t="str">
        <f>"Update dcollab.collab_group Set group_code = '"&amp;I322&amp;"' where Group_ID = '"&amp;B322&amp;"'; "</f>
        <v xml:space="preserve">Update dcollab.collab_group Set group_code = 'SmirnovaI_Ufa' where Group_ID = 'CGRP00322'; </v>
      </c>
    </row>
    <row r="323" spans="1:20">
      <c r="A323" t="s">
        <v>1034</v>
      </c>
      <c r="B323" t="s">
        <v>9190</v>
      </c>
      <c r="D323" t="s">
        <v>1033</v>
      </c>
      <c r="E323" t="s">
        <v>865</v>
      </c>
      <c r="F323">
        <f>LEN(I323)</f>
        <v>14</v>
      </c>
      <c r="G323" t="str">
        <f>VLOOKUP(E323,Organisation!$A$2:$C$499,3,FALSE)</f>
        <v>CORG00262</v>
      </c>
      <c r="H323" t="str">
        <f>VLOOKUP(G323,Organisation!$C$2:$E$318,3,FALSE)</f>
        <v>UPorto</v>
      </c>
      <c r="I323" t="s">
        <v>5555</v>
      </c>
      <c r="J323">
        <f t="shared" ref="J323:J386" si="5">COUNTIF($I$2:$I$416,I323)</f>
        <v>1</v>
      </c>
      <c r="L323" t="s">
        <v>1038</v>
      </c>
      <c r="M323" t="s">
        <v>1039</v>
      </c>
      <c r="N323" t="s">
        <v>408</v>
      </c>
      <c r="P323" t="s">
        <v>8866</v>
      </c>
      <c r="Q323" s="1">
        <v>1</v>
      </c>
      <c r="R323" t="str">
        <f>"Update Collaborator_Group Set Organisation = '"&amp;E323&amp;"' where Group_ID = '"&amp;A323&amp;"'; "</f>
        <v xml:space="preserve">Update Collaborator_Group Set Organisation = 'University of Porto' where Group_ID = 'CG00322'; </v>
      </c>
      <c r="S323" t="str">
        <f>"Update Collaborator_Group Set Group_Name = '"&amp;I323&amp;"' where Group_ID = '"&amp;A323&amp;"'; "</f>
        <v xml:space="preserve">Update Collaborator_Group Set Group_Name = 'CagideF_UPorto' where Group_ID = 'CG00322'; </v>
      </c>
      <c r="T323" t="str">
        <f>"Update dcollab.collab_group Set group_code = '"&amp;I323&amp;"' where Group_ID = '"&amp;B323&amp;"'; "</f>
        <v xml:space="preserve">Update dcollab.collab_group Set group_code = 'CagideF_UPorto' where Group_ID = 'CGRP00323'; </v>
      </c>
    </row>
    <row r="324" spans="1:20">
      <c r="A324" t="s">
        <v>2058</v>
      </c>
      <c r="B324" t="s">
        <v>9209</v>
      </c>
      <c r="D324" t="s">
        <v>5109</v>
      </c>
      <c r="E324" t="s">
        <v>3356</v>
      </c>
      <c r="F324">
        <f>LEN(I324)</f>
        <v>22</v>
      </c>
      <c r="G324" t="str">
        <f>VLOOKUP(E324,Organisation!$A$2:$C$499,3,FALSE)</f>
        <v>CORG00277</v>
      </c>
      <c r="H324" t="str">
        <f>VLOOKUP(G324,Organisation!$C$2:$E$318,3,FALSE)</f>
        <v>USPhiladelphia</v>
      </c>
      <c r="I324" t="s">
        <v>10490</v>
      </c>
      <c r="J324">
        <f t="shared" si="5"/>
        <v>1</v>
      </c>
      <c r="L324" t="s">
        <v>344</v>
      </c>
      <c r="M324" t="s">
        <v>2060</v>
      </c>
      <c r="N324" t="s">
        <v>8808</v>
      </c>
      <c r="P324" t="s">
        <v>8866</v>
      </c>
      <c r="Q324" s="1">
        <v>1</v>
      </c>
      <c r="R324" t="str">
        <f>"Update Collaborator_Group Set Organisation = '"&amp;E324&amp;"' where Group_ID = '"&amp;A324&amp;"'; "</f>
        <v xml:space="preserve">Update Collaborator_Group Set Organisation = 'University of the Sciences in Philadelphia' where Group_ID = 'CG00323'; </v>
      </c>
      <c r="S324" t="str">
        <f>"Update Collaborator_Group Set Group_Name = '"&amp;I324&amp;"' where Group_ID = '"&amp;A324&amp;"'; "</f>
        <v xml:space="preserve">Update Collaborator_Group Set Group_Name = 'TomshoJ_USPhiladelphia' where Group_ID = 'CG00323'; </v>
      </c>
      <c r="T324" t="str">
        <f>"Update dcollab.collab_group Set group_code = '"&amp;I324&amp;"' where Group_ID = '"&amp;B324&amp;"'; "</f>
        <v xml:space="preserve">Update dcollab.collab_group Set group_code = 'TomshoJ_USPhiladelphia' where Group_ID = 'CGRP00324'; </v>
      </c>
    </row>
    <row r="325" spans="1:20">
      <c r="A325" t="s">
        <v>109</v>
      </c>
      <c r="B325" t="s">
        <v>9154</v>
      </c>
      <c r="D325" t="s">
        <v>4491</v>
      </c>
      <c r="E325" t="s">
        <v>114</v>
      </c>
      <c r="F325">
        <f>LEN(I325)</f>
        <v>12</v>
      </c>
      <c r="G325" t="str">
        <f>VLOOKUP(E325,Organisation!$A$2:$C$499,3,FALSE)</f>
        <v>CORG00233</v>
      </c>
      <c r="H325" t="str">
        <f>VLOOKUP(G325,Organisation!$C$2:$E$318,3,FALSE)</f>
        <v>UIowa</v>
      </c>
      <c r="I325" t="s">
        <v>5583</v>
      </c>
      <c r="J325">
        <f t="shared" si="5"/>
        <v>1</v>
      </c>
      <c r="L325" t="s">
        <v>115</v>
      </c>
      <c r="M325" t="s">
        <v>116</v>
      </c>
      <c r="N325" t="s">
        <v>8808</v>
      </c>
      <c r="P325" t="s">
        <v>8866</v>
      </c>
      <c r="Q325" s="1">
        <v>1</v>
      </c>
      <c r="R325" t="str">
        <f>"Update Collaborator_Group Set Organisation = '"&amp;E325&amp;"' where Group_ID = '"&amp;A325&amp;"'; "</f>
        <v xml:space="preserve">Update Collaborator_Group Set Organisation = 'University of Iowa' where Group_ID = 'CG00324'; </v>
      </c>
      <c r="S325" t="str">
        <f>"Update Collaborator_Group Set Group_Name = '"&amp;I325&amp;"' where Group_ID = '"&amp;A325&amp;"'; "</f>
        <v xml:space="preserve">Update Collaborator_Group Set Group_Name = 'SalemA_UIowa' where Group_ID = 'CG00324'; </v>
      </c>
      <c r="T325" t="str">
        <f>"Update dcollab.collab_group Set group_code = '"&amp;I325&amp;"' where Group_ID = '"&amp;B325&amp;"'; "</f>
        <v xml:space="preserve">Update dcollab.collab_group Set group_code = 'SalemA_UIowa' where Group_ID = 'CGRP00325'; </v>
      </c>
    </row>
    <row r="326" spans="1:20">
      <c r="A326" t="s">
        <v>2449</v>
      </c>
      <c r="B326" t="s">
        <v>8955</v>
      </c>
      <c r="D326" t="s">
        <v>2448</v>
      </c>
      <c r="E326" t="s">
        <v>8761</v>
      </c>
      <c r="F326">
        <f>LEN(I326)</f>
        <v>4</v>
      </c>
      <c r="G326" t="str">
        <f>VLOOKUP(E326,Organisation!$A$2:$C$499,3,FALSE)</f>
        <v>CORG00072</v>
      </c>
      <c r="H326" t="str">
        <f>VLOOKUP(G326,Organisation!$C$2:$E$318,3,FALSE)</f>
        <v>HIPS</v>
      </c>
      <c r="I326" t="s">
        <v>5740</v>
      </c>
      <c r="J326">
        <f t="shared" si="5"/>
        <v>1</v>
      </c>
      <c r="L326" t="s">
        <v>2452</v>
      </c>
      <c r="M326" t="s">
        <v>2453</v>
      </c>
      <c r="N326" t="s">
        <v>557</v>
      </c>
      <c r="P326" t="s">
        <v>8866</v>
      </c>
      <c r="Q326" s="1">
        <v>1</v>
      </c>
      <c r="R326" t="str">
        <f>"Update Collaborator_Group Set Organisation = '"&amp;E326&amp;"' where Group_ID = '"&amp;A326&amp;"'; "</f>
        <v xml:space="preserve">Update Collaborator_Group Set Organisation = 'Helmholtz Institute for Pharmaceutical Research Saarland' where Group_ID = 'CG00325'; </v>
      </c>
      <c r="S326" t="str">
        <f>"Update Collaborator_Group Set Group_Name = '"&amp;I326&amp;"' where Group_ID = '"&amp;A326&amp;"'; "</f>
        <v xml:space="preserve">Update Collaborator_Group Set Group_Name = 'HIPS' where Group_ID = 'CG00325'; </v>
      </c>
      <c r="T326" t="str">
        <f>"Update dcollab.collab_group Set group_code = '"&amp;I326&amp;"' where Group_ID = '"&amp;B326&amp;"'; "</f>
        <v xml:space="preserve">Update dcollab.collab_group Set group_code = 'HIPS' where Group_ID = 'CGRP00326'; </v>
      </c>
    </row>
    <row r="327" spans="1:20">
      <c r="A327" t="s">
        <v>301</v>
      </c>
      <c r="B327" t="s">
        <v>9052</v>
      </c>
      <c r="D327" t="s">
        <v>300</v>
      </c>
      <c r="E327" t="s">
        <v>305</v>
      </c>
      <c r="F327">
        <f>LEN(I327)</f>
        <v>18</v>
      </c>
      <c r="G327" t="str">
        <f>VLOOKUP(E327,Organisation!$A$2:$C$499,3,FALSE)</f>
        <v>CORG00149</v>
      </c>
      <c r="H327" t="str">
        <f>VLOOKUP(G327,Organisation!$C$2:$E$318,3,FALSE)</f>
        <v>OmdurumIU</v>
      </c>
      <c r="I327" t="s">
        <v>5659</v>
      </c>
      <c r="J327">
        <f t="shared" si="5"/>
        <v>1</v>
      </c>
      <c r="L327" t="s">
        <v>1031</v>
      </c>
      <c r="M327" t="s">
        <v>307</v>
      </c>
      <c r="N327" t="s">
        <v>37</v>
      </c>
      <c r="P327" t="s">
        <v>8866</v>
      </c>
      <c r="Q327" s="1">
        <v>1</v>
      </c>
      <c r="R327" t="str">
        <f>"Update Collaborator_Group Set Organisation = '"&amp;E327&amp;"' where Group_ID = '"&amp;A327&amp;"'; "</f>
        <v xml:space="preserve">Update Collaborator_Group Set Organisation = 'Omdurman Islamic University' where Group_ID = 'CG00326'; </v>
      </c>
      <c r="S327" t="str">
        <f>"Update Collaborator_Group Set Group_Name = '"&amp;I327&amp;"' where Group_ID = '"&amp;A327&amp;"'; "</f>
        <v xml:space="preserve">Update Collaborator_Group Set Group_Name = 'Al-NourM_OmdurumIU' where Group_ID = 'CG00326'; </v>
      </c>
      <c r="T327" t="str">
        <f>"Update dcollab.collab_group Set group_code = '"&amp;I327&amp;"' where Group_ID = '"&amp;B327&amp;"'; "</f>
        <v xml:space="preserve">Update dcollab.collab_group Set group_code = 'Al-NourM_OmdurumIU' where Group_ID = 'CGRP00327'; </v>
      </c>
    </row>
    <row r="328" spans="1:20">
      <c r="A328" t="s">
        <v>1354</v>
      </c>
      <c r="B328" t="s">
        <v>9007</v>
      </c>
      <c r="D328" t="s">
        <v>1353</v>
      </c>
      <c r="E328" t="s">
        <v>1357</v>
      </c>
      <c r="F328">
        <f>LEN(I328)</f>
        <v>16</v>
      </c>
      <c r="G328" t="str">
        <f>VLOOKUP(E328,Organisation!$A$2:$C$499,3,FALSE)</f>
        <v>CORG00114</v>
      </c>
      <c r="H328" t="str">
        <f>VLOOKUP(G328,Organisation!$C$2:$E$318,3,FALSE)</f>
        <v>McDanielC</v>
      </c>
      <c r="I328" t="s">
        <v>10491</v>
      </c>
      <c r="J328">
        <f t="shared" si="5"/>
        <v>1</v>
      </c>
      <c r="L328" t="s">
        <v>84</v>
      </c>
      <c r="M328" t="s">
        <v>1358</v>
      </c>
      <c r="N328" t="s">
        <v>8808</v>
      </c>
      <c r="P328" t="s">
        <v>8866</v>
      </c>
      <c r="Q328" s="1">
        <v>1</v>
      </c>
      <c r="R328" t="str">
        <f>"Update Collaborator_Group Set Organisation = '"&amp;E328&amp;"' where Group_ID = '"&amp;A328&amp;"'; "</f>
        <v xml:space="preserve">Update Collaborator_Group Set Organisation = 'McDaniel College' where Group_ID = 'CG00327'; </v>
      </c>
      <c r="S328" t="str">
        <f>"Update Collaborator_Group Set Group_Name = '"&amp;I328&amp;"' where Group_ID = '"&amp;A328&amp;"'; "</f>
        <v xml:space="preserve">Update Collaborator_Group Set Group_Name = 'CraigP_McDanielC' where Group_ID = 'CG00327'; </v>
      </c>
      <c r="T328" t="str">
        <f>"Update dcollab.collab_group Set group_code = '"&amp;I328&amp;"' where Group_ID = '"&amp;B328&amp;"'; "</f>
        <v xml:space="preserve">Update dcollab.collab_group Set group_code = 'CraigP_McDanielC' where Group_ID = 'CGRP00328'; </v>
      </c>
    </row>
    <row r="329" spans="1:20">
      <c r="A329" t="s">
        <v>2660</v>
      </c>
      <c r="B329" t="s">
        <v>9074</v>
      </c>
      <c r="D329" t="s">
        <v>2659</v>
      </c>
      <c r="E329" s="5" t="s">
        <v>2663</v>
      </c>
      <c r="F329">
        <f>LEN(I329)</f>
        <v>15</v>
      </c>
      <c r="G329" t="str">
        <f>VLOOKUP(E329,Organisation!$A$2:$C$499,3,FALSE)</f>
        <v>CORG00171</v>
      </c>
      <c r="H329" t="str">
        <f>VLOOKUP(G329,Organisation!$C$2:$E$318,3,FALSE)</f>
        <v>SPPuneU</v>
      </c>
      <c r="I329" t="s">
        <v>5783</v>
      </c>
      <c r="J329">
        <f t="shared" si="5"/>
        <v>1</v>
      </c>
      <c r="L329" t="s">
        <v>2664</v>
      </c>
      <c r="M329" t="s">
        <v>2665</v>
      </c>
      <c r="N329" t="s">
        <v>211</v>
      </c>
      <c r="P329" t="s">
        <v>8866</v>
      </c>
      <c r="Q329" s="1">
        <v>1</v>
      </c>
      <c r="R329" t="str">
        <f>"Update Collaborator_Group Set Organisation = '"&amp;E329&amp;"' where Group_ID = '"&amp;A329&amp;"'; "</f>
        <v xml:space="preserve">Update Collaborator_Group Set Organisation = 'Savitribai Phule Pune University' where Group_ID = 'CG00328'; </v>
      </c>
      <c r="S329" t="str">
        <f>"Update Collaborator_Group Set Group_Name = '"&amp;I329&amp;"' where Group_ID = '"&amp;A329&amp;"'; "</f>
        <v xml:space="preserve">Update Collaborator_Group Set Group_Name = 'JagtapS_SPPuneU' where Group_ID = 'CG00328'; </v>
      </c>
      <c r="T329" t="str">
        <f>"Update dcollab.collab_group Set group_code = '"&amp;I329&amp;"' where Group_ID = '"&amp;B329&amp;"'; "</f>
        <v xml:space="preserve">Update dcollab.collab_group Set group_code = 'JagtapS_SPPuneU' where Group_ID = 'CGRP00329'; </v>
      </c>
    </row>
    <row r="330" spans="1:20">
      <c r="A330" t="s">
        <v>4396</v>
      </c>
      <c r="B330" t="s">
        <v>8998</v>
      </c>
      <c r="D330" t="s">
        <v>4395</v>
      </c>
      <c r="E330" t="s">
        <v>1114</v>
      </c>
      <c r="F330">
        <f>LEN(I330)</f>
        <v>18</v>
      </c>
      <c r="G330" t="str">
        <f>VLOOKUP(E330,Organisation!$A$2:$C$499,3,FALSE)</f>
        <v>CORG00106</v>
      </c>
      <c r="H330" t="str">
        <f>VLOOKUP(G330,Organisation!$C$2:$E$318,3,FALSE)</f>
        <v>MacquarieU</v>
      </c>
      <c r="I330" t="s">
        <v>10492</v>
      </c>
      <c r="J330">
        <f t="shared" si="5"/>
        <v>1</v>
      </c>
      <c r="L330" t="s">
        <v>4398</v>
      </c>
      <c r="M330" t="s">
        <v>4399</v>
      </c>
      <c r="N330" t="s">
        <v>14</v>
      </c>
      <c r="P330" t="s">
        <v>8866</v>
      </c>
      <c r="Q330" s="1">
        <v>1</v>
      </c>
      <c r="R330" t="str">
        <f>"Update Collaborator_Group Set Organisation = '"&amp;E330&amp;"' where Group_ID = '"&amp;A330&amp;"'; "</f>
        <v xml:space="preserve">Update Collaborator_Group Set Organisation = 'Macquarie University' where Group_ID = 'CG00329'; </v>
      </c>
      <c r="S330" t="str">
        <f>"Update Collaborator_Group Set Group_Name = '"&amp;I330&amp;"' where Group_ID = '"&amp;A330&amp;"'; "</f>
        <v xml:space="preserve">Update Collaborator_Group Set Group_Name = 'RoemerM_MacquarieU' where Group_ID = 'CG00329'; </v>
      </c>
      <c r="T330" t="str">
        <f>"Update dcollab.collab_group Set group_code = '"&amp;I330&amp;"' where Group_ID = '"&amp;B330&amp;"'; "</f>
        <v xml:space="preserve">Update dcollab.collab_group Set group_code = 'RoemerM_MacquarieU' where Group_ID = 'CGRP00330'; </v>
      </c>
    </row>
    <row r="331" spans="1:20">
      <c r="A331" t="s">
        <v>455</v>
      </c>
      <c r="B331" t="s">
        <v>9040</v>
      </c>
      <c r="D331" t="s">
        <v>454</v>
      </c>
      <c r="E331" t="s">
        <v>457</v>
      </c>
      <c r="F331">
        <f>LEN(I331)</f>
        <v>8</v>
      </c>
      <c r="G331" t="str">
        <f>VLOOKUP(E331,Organisation!$A$2:$C$499,3,FALSE)</f>
        <v>CORG00140</v>
      </c>
      <c r="H331" t="str">
        <f>VLOOKUP(G331,Organisation!$C$2:$E$318,3,FALSE)</f>
        <v>NUS</v>
      </c>
      <c r="I331" t="s">
        <v>10493</v>
      </c>
      <c r="J331">
        <f t="shared" si="5"/>
        <v>1</v>
      </c>
      <c r="L331" t="s">
        <v>73</v>
      </c>
      <c r="M331" t="s">
        <v>458</v>
      </c>
      <c r="N331" t="s">
        <v>459</v>
      </c>
      <c r="P331" t="s">
        <v>8866</v>
      </c>
      <c r="Q331" s="1">
        <v>1</v>
      </c>
      <c r="R331" t="str">
        <f>"Update Collaborator_Group Set Organisation = '"&amp;E331&amp;"' where Group_ID = '"&amp;A331&amp;"'; "</f>
        <v xml:space="preserve">Update Collaborator_Group Set Organisation = 'National University of Singapore' where Group_ID = 'CG00330'; </v>
      </c>
      <c r="S331" t="str">
        <f>"Update Collaborator_Group Set Group_Name = '"&amp;I331&amp;"' where Group_ID = '"&amp;A331&amp;"'; "</f>
        <v xml:space="preserve">Update Collaborator_Group Set Group_Name = 'AngW_NUS' where Group_ID = 'CG00330'; </v>
      </c>
      <c r="T331" t="str">
        <f>"Update dcollab.collab_group Set group_code = '"&amp;I331&amp;"' where Group_ID = '"&amp;B331&amp;"'; "</f>
        <v xml:space="preserve">Update dcollab.collab_group Set group_code = 'AngW_NUS' where Group_ID = 'CGRP00331'; </v>
      </c>
    </row>
    <row r="332" spans="1:20">
      <c r="A332" t="s">
        <v>2485</v>
      </c>
      <c r="B332" t="s">
        <v>8999</v>
      </c>
      <c r="D332" t="s">
        <v>5199</v>
      </c>
      <c r="E332" t="s">
        <v>1114</v>
      </c>
      <c r="F332">
        <f>LEN(I332)</f>
        <v>22</v>
      </c>
      <c r="G332" t="str">
        <f>VLOOKUP(E332,Organisation!$A$2:$C$499,3,FALSE)</f>
        <v>CORG00106</v>
      </c>
      <c r="H332" t="str">
        <f>VLOOKUP(G332,Organisation!$C$2:$E$318,3,FALSE)</f>
        <v>MacquarieU</v>
      </c>
      <c r="I332" t="s">
        <v>10494</v>
      </c>
      <c r="J332">
        <f t="shared" si="5"/>
        <v>1</v>
      </c>
      <c r="L332" t="s">
        <v>4398</v>
      </c>
      <c r="M332" t="s">
        <v>4399</v>
      </c>
      <c r="N332" t="s">
        <v>14</v>
      </c>
      <c r="P332" t="s">
        <v>8866</v>
      </c>
      <c r="Q332" s="1">
        <v>1</v>
      </c>
      <c r="R332" t="str">
        <f>"Update Collaborator_Group Set Organisation = '"&amp;E332&amp;"' where Group_ID = '"&amp;A332&amp;"'; "</f>
        <v xml:space="preserve">Update Collaborator_Group Set Organisation = 'Macquarie University' where Group_ID = 'CG00331'; </v>
      </c>
      <c r="S332" t="str">
        <f>"Update Collaborator_Group Set Group_Name = '"&amp;I332&amp;"' where Group_ID = '"&amp;A332&amp;"'; "</f>
        <v xml:space="preserve">Update Collaborator_Group Set Group_Name = 'VenkatesanK_MacquarieU' where Group_ID = 'CG00331'; </v>
      </c>
      <c r="T332" t="str">
        <f>"Update dcollab.collab_group Set group_code = '"&amp;I332&amp;"' where Group_ID = '"&amp;B332&amp;"'; "</f>
        <v xml:space="preserve">Update dcollab.collab_group Set group_code = 'VenkatesanK_MacquarieU' where Group_ID = 'CGRP00332'; </v>
      </c>
    </row>
    <row r="333" spans="1:20">
      <c r="A333" t="s">
        <v>2808</v>
      </c>
      <c r="B333" t="s">
        <v>9091</v>
      </c>
      <c r="D333" t="s">
        <v>4097</v>
      </c>
      <c r="E333" t="s">
        <v>2811</v>
      </c>
      <c r="F333">
        <f>LEN(I333)</f>
        <v>18</v>
      </c>
      <c r="G333" t="str">
        <f>VLOOKUP(E333,Organisation!$A$2:$C$499,3,FALSE)</f>
        <v>CORG00187</v>
      </c>
      <c r="H333" t="str">
        <f>VLOOKUP(G333,Organisation!$C$2:$E$318,3,FALSE)</f>
        <v>TennesseSU</v>
      </c>
      <c r="I333" t="s">
        <v>5624</v>
      </c>
      <c r="J333">
        <f t="shared" si="5"/>
        <v>1</v>
      </c>
      <c r="L333" t="s">
        <v>84</v>
      </c>
      <c r="M333" t="s">
        <v>4101</v>
      </c>
      <c r="N333" t="s">
        <v>8808</v>
      </c>
      <c r="P333" t="s">
        <v>8866</v>
      </c>
      <c r="Q333" s="1">
        <v>1</v>
      </c>
      <c r="R333" t="str">
        <f>"Update Collaborator_Group Set Organisation = '"&amp;E333&amp;"' where Group_ID = '"&amp;A333&amp;"'; "</f>
        <v xml:space="preserve">Update Collaborator_Group Set Organisation = 'Tennessee State University' where Group_ID = 'CG00332'; </v>
      </c>
      <c r="S333" t="str">
        <f>"Update Collaborator_Group Set Group_Name = '"&amp;I333&amp;"' where Group_ID = '"&amp;A333&amp;"'; "</f>
        <v xml:space="preserve">Update Collaborator_Group Set Group_Name = 'PhambuN_TennesseSU' where Group_ID = 'CG00332'; </v>
      </c>
      <c r="T333" t="str">
        <f>"Update dcollab.collab_group Set group_code = '"&amp;I333&amp;"' where Group_ID = '"&amp;B333&amp;"'; "</f>
        <v xml:space="preserve">Update dcollab.collab_group Set group_code = 'PhambuN_TennesseSU' where Group_ID = 'CGRP00333'; </v>
      </c>
    </row>
    <row r="334" spans="1:20">
      <c r="A334" t="s">
        <v>1573</v>
      </c>
      <c r="B334" t="s">
        <v>9206</v>
      </c>
      <c r="D334" t="s">
        <v>1572</v>
      </c>
      <c r="E334" t="s">
        <v>362</v>
      </c>
      <c r="F334">
        <f>LEN(I334)</f>
        <v>9</v>
      </c>
      <c r="G334" t="str">
        <f>VLOOKUP(E334,Organisation!$A$2:$C$499,3,FALSE)</f>
        <v>CORG00001</v>
      </c>
      <c r="H334" t="str">
        <f>VLOOKUP(G334,Organisation!$C$2:$E$318,3,FALSE)</f>
        <v>UQ</v>
      </c>
      <c r="I334" t="s">
        <v>5540</v>
      </c>
      <c r="J334">
        <f t="shared" si="5"/>
        <v>1</v>
      </c>
      <c r="L334" t="s">
        <v>2197</v>
      </c>
      <c r="M334" t="s">
        <v>1577</v>
      </c>
      <c r="N334" t="s">
        <v>14</v>
      </c>
      <c r="P334" t="s">
        <v>8866</v>
      </c>
      <c r="Q334" s="1">
        <v>1</v>
      </c>
      <c r="R334" t="str">
        <f>"Update Collaborator_Group Set Organisation = '"&amp;E334&amp;"' where Group_ID = '"&amp;A334&amp;"'; "</f>
        <v xml:space="preserve">Update Collaborator_Group Set Organisation = 'University of Queensland' where Group_ID = 'CG00333'; </v>
      </c>
      <c r="S334" t="str">
        <f>"Update Collaborator_Group Set Group_Name = '"&amp;I334&amp;"' where Group_ID = '"&amp;A334&amp;"'; "</f>
        <v xml:space="preserve">Update Collaborator_Group Set Group_Name = 'DillyJ_UQ' where Group_ID = 'CG00333'; </v>
      </c>
      <c r="T334" t="str">
        <f>"Update dcollab.collab_group Set group_code = '"&amp;I334&amp;"' where Group_ID = '"&amp;B334&amp;"'; "</f>
        <v xml:space="preserve">Update dcollab.collab_group Set group_code = 'DillyJ_UQ' where Group_ID = 'CGRP00334'; </v>
      </c>
    </row>
    <row r="335" spans="1:20">
      <c r="A335" t="s">
        <v>439</v>
      </c>
      <c r="B335" t="s">
        <v>9241</v>
      </c>
      <c r="D335" t="s">
        <v>3886</v>
      </c>
      <c r="E335" t="s">
        <v>5802</v>
      </c>
      <c r="F335">
        <f>LEN(I335)</f>
        <v>19</v>
      </c>
      <c r="G335" t="str">
        <f>VLOOKUP(E335,Organisation!$A$2:$C$499,3,FALSE)</f>
        <v>CORG00291</v>
      </c>
      <c r="H335" t="str">
        <f>VLOOKUP(G335,Organisation!$C$2:$E$318,3,FALSE)</f>
        <v>UWisconsin</v>
      </c>
      <c r="I335" t="s">
        <v>10553</v>
      </c>
      <c r="J335">
        <f t="shared" si="5"/>
        <v>1</v>
      </c>
      <c r="L335" t="s">
        <v>443</v>
      </c>
      <c r="M335" t="s">
        <v>444</v>
      </c>
      <c r="N335" t="s">
        <v>8808</v>
      </c>
      <c r="P335" t="s">
        <v>8866</v>
      </c>
      <c r="Q335" s="1">
        <v>1</v>
      </c>
      <c r="R335" t="str">
        <f>"Update Collaborator_Group Set Organisation = '"&amp;E335&amp;"' where Group_ID = '"&amp;A335&amp;"'; "</f>
        <v xml:space="preserve">Update Collaborator_Group Set Organisation = 'University of Wisconsin River Falls' where Group_ID = 'CG00334'; </v>
      </c>
      <c r="S335" t="str">
        <f>"Update Collaborator_Group Set Group_Name = '"&amp;I335&amp;"' where Group_ID = '"&amp;A335&amp;"'; "</f>
        <v xml:space="preserve">Update Collaborator_Group Set Group_Name = 'OReillyM_UWisconsin' where Group_ID = 'CG00334'; </v>
      </c>
      <c r="T335" t="str">
        <f>"Update dcollab.collab_group Set group_code = '"&amp;I335&amp;"' where Group_ID = '"&amp;B335&amp;"'; "</f>
        <v xml:space="preserve">Update dcollab.collab_group Set group_code = 'OReillyM_UWisconsin' where Group_ID = 'CGRP00335'; </v>
      </c>
    </row>
    <row r="336" spans="1:20">
      <c r="A336" t="s">
        <v>1164</v>
      </c>
      <c r="B336" t="s">
        <v>9076</v>
      </c>
      <c r="D336" t="s">
        <v>2582</v>
      </c>
      <c r="E336" t="s">
        <v>582</v>
      </c>
      <c r="F336">
        <f>LEN(I336)</f>
        <v>6</v>
      </c>
      <c r="G336" t="str">
        <f>VLOOKUP(E336,Organisation!$A$2:$C$499,3,FALSE)</f>
        <v>CORG00172</v>
      </c>
      <c r="H336" t="str">
        <f>VLOOKUP(G336,Organisation!$C$2:$E$318,3,FALSE)</f>
        <v>Scripps</v>
      </c>
      <c r="I336" t="s">
        <v>5622</v>
      </c>
      <c r="J336">
        <f t="shared" si="5"/>
        <v>1</v>
      </c>
      <c r="L336" t="s">
        <v>1167</v>
      </c>
      <c r="M336" t="s">
        <v>1168</v>
      </c>
      <c r="N336" t="s">
        <v>8808</v>
      </c>
      <c r="P336" t="s">
        <v>8866</v>
      </c>
      <c r="Q336" s="1">
        <v>1</v>
      </c>
      <c r="R336" t="str">
        <f>"Update Collaborator_Group Set Organisation = '"&amp;E336&amp;"' where Group_ID = '"&amp;A336&amp;"'; "</f>
        <v xml:space="preserve">Update Collaborator_Group Set Organisation = 'Scripps Research Institute' where Group_ID = 'CG00335'; </v>
      </c>
      <c r="S336" t="str">
        <f>"Update Collaborator_Group Set Group_Name = '"&amp;I336&amp;"' where Group_ID = '"&amp;A336&amp;"'; "</f>
        <v xml:space="preserve">Update Collaborator_Group Set Group_Name = 'Calibr' where Group_ID = 'CG00335'; </v>
      </c>
      <c r="T336" t="str">
        <f>"Update dcollab.collab_group Set group_code = '"&amp;I336&amp;"' where Group_ID = '"&amp;B336&amp;"'; "</f>
        <v xml:space="preserve">Update dcollab.collab_group Set group_code = 'Calibr' where Group_ID = 'CGRP00336'; </v>
      </c>
    </row>
    <row r="337" spans="1:20">
      <c r="A337" t="s">
        <v>2650</v>
      </c>
      <c r="B337" t="s">
        <v>8920</v>
      </c>
      <c r="D337" t="s">
        <v>5130</v>
      </c>
      <c r="E337" t="s">
        <v>8756</v>
      </c>
      <c r="F337">
        <f>LEN(I337)</f>
        <v>12</v>
      </c>
      <c r="G337" t="str">
        <f>VLOOKUP(E337,Organisation!$A$2:$C$499,3,FALSE)</f>
        <v>CORG00042</v>
      </c>
      <c r="H337" t="str">
        <f>VLOOKUP(G337,Organisation!$C$2:$E$318,3,FALSE)</f>
        <v>CSIR</v>
      </c>
      <c r="I337" t="s">
        <v>10495</v>
      </c>
      <c r="J337">
        <f t="shared" si="5"/>
        <v>1</v>
      </c>
      <c r="L337" t="s">
        <v>2655</v>
      </c>
      <c r="M337" t="s">
        <v>5760</v>
      </c>
      <c r="N337" t="s">
        <v>609</v>
      </c>
      <c r="P337" t="s">
        <v>8866</v>
      </c>
      <c r="Q337" s="1">
        <v>1</v>
      </c>
      <c r="R337" t="str">
        <f>"Update Collaborator_Group Set Organisation = '"&amp;E337&amp;"' where Group_ID = '"&amp;A337&amp;"'; "</f>
        <v xml:space="preserve">Update Collaborator_Group Set Organisation = 'Council for Scientific and Industrial Research' where Group_ID = 'CG00336'; </v>
      </c>
      <c r="S337" t="str">
        <f>"Update Collaborator_Group Set Group_Name = '"&amp;I337&amp;"' where Group_ID = '"&amp;A337&amp;"'; "</f>
        <v xml:space="preserve">Update Collaborator_Group Set Group_Name = 'TsekoaT_CSIR' where Group_ID = 'CG00336'; </v>
      </c>
      <c r="T337" t="str">
        <f>"Update dcollab.collab_group Set group_code = '"&amp;I337&amp;"' where Group_ID = '"&amp;B337&amp;"'; "</f>
        <v xml:space="preserve">Update dcollab.collab_group Set group_code = 'TsekoaT_CSIR' where Group_ID = 'CGRP00337'; </v>
      </c>
    </row>
    <row r="338" spans="1:20">
      <c r="A338" t="s">
        <v>1741</v>
      </c>
      <c r="B338" t="s">
        <v>9055</v>
      </c>
      <c r="D338" t="s">
        <v>1740</v>
      </c>
      <c r="E338" t="s">
        <v>1744</v>
      </c>
      <c r="F338">
        <f>LEN(I338)</f>
        <v>25</v>
      </c>
      <c r="G338" t="str">
        <f>VLOOKUP(E338,Organisation!$A$2:$C$499,3,FALSE)</f>
        <v>CORG00153</v>
      </c>
      <c r="H338" t="str">
        <f>VLOOKUP(G338,Organisation!$C$2:$E$318,3,FALSE)</f>
        <v>PennStateBehrend</v>
      </c>
      <c r="I338" t="s">
        <v>5656</v>
      </c>
      <c r="J338">
        <f t="shared" si="5"/>
        <v>1</v>
      </c>
      <c r="L338" t="s">
        <v>1492</v>
      </c>
      <c r="M338" t="s">
        <v>1745</v>
      </c>
      <c r="N338" t="s">
        <v>8808</v>
      </c>
      <c r="P338" t="s">
        <v>8866</v>
      </c>
      <c r="Q338" s="1">
        <v>1</v>
      </c>
      <c r="R338" t="str">
        <f>"Update Collaborator_Group Set Organisation = '"&amp;E338&amp;"' where Group_ID = '"&amp;A338&amp;"'; "</f>
        <v xml:space="preserve">Update Collaborator_Group Set Organisation = 'Penn State Behrend' where Group_ID = 'CG00337'; </v>
      </c>
      <c r="S338" t="str">
        <f>"Update Collaborator_Group Set Group_Name = '"&amp;I338&amp;"' where Group_ID = '"&amp;A338&amp;"'; "</f>
        <v xml:space="preserve">Update Collaborator_Group Set Group_Name = 'EckroatT_PennStateBehrend' where Group_ID = 'CG00337'; </v>
      </c>
      <c r="T338" t="str">
        <f>"Update dcollab.collab_group Set group_code = '"&amp;I338&amp;"' where Group_ID = '"&amp;B338&amp;"'; "</f>
        <v xml:space="preserve">Update dcollab.collab_group Set group_code = 'EckroatT_PennStateBehrend' where Group_ID = 'CGRP00338'; </v>
      </c>
    </row>
    <row r="339" spans="1:20">
      <c r="A339" t="s">
        <v>949</v>
      </c>
      <c r="B339" t="s">
        <v>9161</v>
      </c>
      <c r="D339" t="s">
        <v>948</v>
      </c>
      <c r="E339" t="s">
        <v>952</v>
      </c>
      <c r="F339">
        <f>LEN(I339)</f>
        <v>13</v>
      </c>
      <c r="G339" t="str">
        <f>VLOOKUP(E339,Organisation!$A$2:$C$499,3,FALSE)</f>
        <v>CORG00240</v>
      </c>
      <c r="H339" t="str">
        <f>VLOOKUP(G339,Organisation!$C$2:$E$318,3,FALSE)</f>
        <v>UMaine</v>
      </c>
      <c r="I339" t="s">
        <v>10545</v>
      </c>
      <c r="J339">
        <f t="shared" si="5"/>
        <v>1</v>
      </c>
      <c r="L339" t="s">
        <v>84</v>
      </c>
      <c r="M339" t="s">
        <v>953</v>
      </c>
      <c r="N339" t="s">
        <v>8808</v>
      </c>
      <c r="P339" t="s">
        <v>8866</v>
      </c>
      <c r="Q339" s="1">
        <v>1</v>
      </c>
      <c r="R339" t="str">
        <f>"Update Collaborator_Group Set Organisation = '"&amp;E339&amp;"' where Group_ID = '"&amp;A339&amp;"'; "</f>
        <v xml:space="preserve">Update Collaborator_Group Set Organisation = 'University of Maine' where Group_ID = 'CG00338'; </v>
      </c>
      <c r="S339" t="str">
        <f>"Update Collaborator_Group Set Group_Name = '"&amp;I339&amp;"' where Group_ID = '"&amp;A339&amp;"'; "</f>
        <v xml:space="preserve">Update Collaborator_Group Set Group_Name = 'BruceA_UMaine' where Group_ID = 'CG00338'; </v>
      </c>
      <c r="T339" t="str">
        <f>"Update dcollab.collab_group Set group_code = '"&amp;I339&amp;"' where Group_ID = '"&amp;B339&amp;"'; "</f>
        <v xml:space="preserve">Update dcollab.collab_group Set group_code = 'BruceA_UMaine' where Group_ID = 'CGRP00339'; </v>
      </c>
    </row>
    <row r="340" spans="1:20">
      <c r="A340" t="s">
        <v>99</v>
      </c>
      <c r="B340" t="s">
        <v>9028</v>
      </c>
      <c r="D340" t="s">
        <v>98</v>
      </c>
      <c r="E340" t="s">
        <v>8775</v>
      </c>
      <c r="F340">
        <f>LEN(I340)</f>
        <v>22</v>
      </c>
      <c r="G340" t="str">
        <f>VLOOKUP(E340,Organisation!$A$2:$C$499,3,FALSE)</f>
        <v>CORG00128</v>
      </c>
      <c r="H340" t="str">
        <f>VLOOKUP(G340,Organisation!$C$2:$E$318,3,FALSE)</f>
        <v>NUBeniSuef</v>
      </c>
      <c r="I340" t="s">
        <v>10496</v>
      </c>
      <c r="J340">
        <f t="shared" si="5"/>
        <v>1</v>
      </c>
      <c r="L340" t="s">
        <v>104</v>
      </c>
      <c r="M340" t="s">
        <v>105</v>
      </c>
      <c r="N340" t="s">
        <v>55</v>
      </c>
      <c r="P340" t="s">
        <v>8866</v>
      </c>
      <c r="Q340" s="1">
        <v>1</v>
      </c>
      <c r="R340" t="str">
        <f>"Update Collaborator_Group Set Organisation = '"&amp;E340&amp;"' where Group_ID = '"&amp;A340&amp;"'; "</f>
        <v xml:space="preserve">Update Collaborator_Group Set Organisation = 'Nahda University Beni Suef' where Group_ID = 'CG00339'; </v>
      </c>
      <c r="S340" t="str">
        <f>"Update Collaborator_Group Set Group_Name = '"&amp;I340&amp;"' where Group_ID = '"&amp;A340&amp;"'; "</f>
        <v xml:space="preserve">Update Collaborator_Group Set Group_Name = 'AbdelazzezI_NUBeniSuef' where Group_ID = 'CG00339'; </v>
      </c>
      <c r="T340" t="str">
        <f>"Update dcollab.collab_group Set group_code = '"&amp;I340&amp;"' where Group_ID = '"&amp;B340&amp;"'; "</f>
        <v xml:space="preserve">Update dcollab.collab_group Set group_code = 'AbdelazzezI_NUBeniSuef' where Group_ID = 'CGRP00340'; </v>
      </c>
    </row>
    <row r="341" spans="1:20">
      <c r="A341" t="s">
        <v>4256</v>
      </c>
      <c r="B341" t="s">
        <v>9078</v>
      </c>
      <c r="D341" t="s">
        <v>5182</v>
      </c>
      <c r="E341" t="s">
        <v>4259</v>
      </c>
      <c r="F341">
        <f>LEN(I341)</f>
        <v>18</v>
      </c>
      <c r="G341" t="str">
        <f>VLOOKUP(E341,Organisation!$A$2:$C$499,3,FALSE)</f>
        <v>CORG00174</v>
      </c>
      <c r="H341" t="str">
        <f>VLOOKUP(G341,Organisation!$C$2:$E$318,3,FALSE)</f>
        <v>SVCoP</v>
      </c>
      <c r="I341" t="s">
        <v>5635</v>
      </c>
      <c r="J341">
        <f t="shared" si="5"/>
        <v>1</v>
      </c>
      <c r="L341" t="s">
        <v>35</v>
      </c>
      <c r="M341" t="s">
        <v>4260</v>
      </c>
      <c r="N341" t="s">
        <v>211</v>
      </c>
      <c r="P341" t="s">
        <v>8866</v>
      </c>
      <c r="Q341" s="1">
        <v>1</v>
      </c>
      <c r="R341" t="str">
        <f>"Update Collaborator_Group Set Organisation = '"&amp;E341&amp;"' where Group_ID = '"&amp;A341&amp;"'; "</f>
        <v xml:space="preserve">Update Collaborator_Group Set Organisation = 'Sree Vidyanikethan College of Pharmacy' where Group_ID = 'CG00340'; </v>
      </c>
      <c r="S341" t="str">
        <f>"Update Collaborator_Group Set Group_Name = '"&amp;I341&amp;"' where Group_ID = '"&amp;A341&amp;"'; "</f>
        <v xml:space="preserve">Update Collaborator_Group Set Group_Name = 'VanangamudiM_SVCoP' where Group_ID = 'CG00340'; </v>
      </c>
      <c r="T341" t="str">
        <f>"Update dcollab.collab_group Set group_code = '"&amp;I341&amp;"' where Group_ID = '"&amp;B341&amp;"'; "</f>
        <v xml:space="preserve">Update dcollab.collab_group Set group_code = 'VanangamudiM_SVCoP' where Group_ID = 'CGRP00341'; </v>
      </c>
    </row>
    <row r="342" spans="1:20">
      <c r="A342" t="s">
        <v>3603</v>
      </c>
      <c r="B342" t="s">
        <v>9263</v>
      </c>
      <c r="D342" t="s">
        <v>4978</v>
      </c>
      <c r="E342" t="s">
        <v>3607</v>
      </c>
      <c r="F342">
        <f>LEN(I342)</f>
        <v>19</v>
      </c>
      <c r="G342" t="str">
        <f>VLOOKUP(E342,Organisation!$A$2:$C$499,3,FALSE)</f>
        <v>CORG00306</v>
      </c>
      <c r="H342" t="str">
        <f>VLOOKUP(G342,Organisation!$C$2:$E$318,3,FALSE)</f>
        <v>WaynesburgU</v>
      </c>
      <c r="I342" t="s">
        <v>5497</v>
      </c>
      <c r="J342">
        <f t="shared" si="5"/>
        <v>1</v>
      </c>
      <c r="L342" t="s">
        <v>3608</v>
      </c>
      <c r="M342" t="s">
        <v>3609</v>
      </c>
      <c r="N342" t="s">
        <v>8808</v>
      </c>
      <c r="P342" t="s">
        <v>8866</v>
      </c>
      <c r="Q342" s="1">
        <v>1</v>
      </c>
      <c r="R342" t="str">
        <f>"Update Collaborator_Group Set Organisation = '"&amp;E342&amp;"' where Group_ID = '"&amp;A342&amp;"'; "</f>
        <v xml:space="preserve">Update Collaborator_Group Set Organisation = 'Waynesburg University' where Group_ID = 'CG00341'; </v>
      </c>
      <c r="S342" t="str">
        <f>"Update Collaborator_Group Set Group_Name = '"&amp;I342&amp;"' where Group_ID = '"&amp;A342&amp;"'; "</f>
        <v xml:space="preserve">Update Collaborator_Group Set Group_Name = 'SuyamaT_WaynesburgU' where Group_ID = 'CG00341'; </v>
      </c>
      <c r="T342" t="str">
        <f>"Update dcollab.collab_group Set group_code = '"&amp;I342&amp;"' where Group_ID = '"&amp;B342&amp;"'; "</f>
        <v xml:space="preserve">Update dcollab.collab_group Set group_code = 'SuyamaT_WaynesburgU' where Group_ID = 'CGRP00342'; </v>
      </c>
    </row>
    <row r="343" spans="1:20">
      <c r="A343" t="s">
        <v>156</v>
      </c>
      <c r="B343" t="s">
        <v>8878</v>
      </c>
      <c r="D343" t="s">
        <v>155</v>
      </c>
      <c r="E343" t="s">
        <v>160</v>
      </c>
      <c r="F343">
        <f>LEN(I343)</f>
        <v>20</v>
      </c>
      <c r="G343" t="str">
        <f>VLOOKUP(E343,Organisation!$A$2:$C$499,3,FALSE)</f>
        <v>CORG00006</v>
      </c>
      <c r="H343" t="str">
        <f>VLOOKUP(G343,Organisation!$C$2:$E$318,3,FALSE)</f>
        <v>AlAzharU</v>
      </c>
      <c r="I343" t="s">
        <v>5792</v>
      </c>
      <c r="J343">
        <f t="shared" si="5"/>
        <v>1</v>
      </c>
      <c r="L343" t="s">
        <v>161</v>
      </c>
      <c r="M343" t="s">
        <v>162</v>
      </c>
      <c r="N343" t="s">
        <v>55</v>
      </c>
      <c r="P343" t="s">
        <v>8866</v>
      </c>
      <c r="Q343" s="1">
        <v>1</v>
      </c>
      <c r="R343" t="str">
        <f>"Update Collaborator_Group Set Organisation = '"&amp;E343&amp;"' where Group_ID = '"&amp;A343&amp;"'; "</f>
        <v xml:space="preserve">Update Collaborator_Group Set Organisation = 'Al-Azhar University' where Group_ID = 'CG00342'; </v>
      </c>
      <c r="S343" t="str">
        <f>"Update Collaborator_Group Set Group_Name = '"&amp;I343&amp;"' where Group_ID = '"&amp;A343&amp;"'; "</f>
        <v xml:space="preserve">Update Collaborator_Group Set Group_Name = 'AbdulwahabH_AlAzharU' where Group_ID = 'CG00342'; </v>
      </c>
      <c r="T343" t="str">
        <f>"Update dcollab.collab_group Set group_code = '"&amp;I343&amp;"' where Group_ID = '"&amp;B343&amp;"'; "</f>
        <v xml:space="preserve">Update dcollab.collab_group Set group_code = 'AbdulwahabH_AlAzharU' where Group_ID = 'CGRP00343'; </v>
      </c>
    </row>
    <row r="344" spans="1:20">
      <c r="A344" t="s">
        <v>1043</v>
      </c>
      <c r="B344" t="s">
        <v>9080</v>
      </c>
      <c r="D344" t="s">
        <v>1042</v>
      </c>
      <c r="E344" t="s">
        <v>1047</v>
      </c>
      <c r="F344">
        <f>LEN(I344)</f>
        <v>23</v>
      </c>
      <c r="G344" t="str">
        <f>VLOOKUP(E344,Organisation!$A$2:$C$499,3,FALSE)</f>
        <v>CORG00176</v>
      </c>
      <c r="H344" t="str">
        <f>VLOOKUP(G344,Organisation!$C$2:$E$318,3,FALSE)</f>
        <v>SJohnFisherC</v>
      </c>
      <c r="I344" t="s">
        <v>5634</v>
      </c>
      <c r="J344">
        <f t="shared" si="5"/>
        <v>1</v>
      </c>
      <c r="L344" t="s">
        <v>1048</v>
      </c>
      <c r="M344" t="s">
        <v>1049</v>
      </c>
      <c r="N344" t="s">
        <v>8808</v>
      </c>
      <c r="P344" t="s">
        <v>8866</v>
      </c>
      <c r="Q344" s="1">
        <v>1</v>
      </c>
      <c r="R344" t="str">
        <f>"Update Collaborator_Group Set Organisation = '"&amp;E344&amp;"' where Group_ID = '"&amp;A344&amp;"'; "</f>
        <v xml:space="preserve">Update Collaborator_Group Set Organisation = 'St John Fisher College' where Group_ID = 'CG00343'; </v>
      </c>
      <c r="S344" t="str">
        <f>"Update Collaborator_Group Set Group_Name = '"&amp;I344&amp;"' where Group_ID = '"&amp;A344&amp;"'; "</f>
        <v xml:space="preserve">Update Collaborator_Group Set Group_Name = 'CamenischT_SJohnFisherC' where Group_ID = 'CG00343'; </v>
      </c>
      <c r="T344" t="str">
        <f>"Update dcollab.collab_group Set group_code = '"&amp;I344&amp;"' where Group_ID = '"&amp;B344&amp;"'; "</f>
        <v xml:space="preserve">Update dcollab.collab_group Set group_code = 'CamenischT_SJohnFisherC' where Group_ID = 'CGRP00344'; </v>
      </c>
    </row>
    <row r="345" spans="1:20">
      <c r="A345" t="s">
        <v>2707</v>
      </c>
      <c r="B345" t="s">
        <v>9047</v>
      </c>
      <c r="D345" t="s">
        <v>2706</v>
      </c>
      <c r="E345" t="s">
        <v>2710</v>
      </c>
      <c r="F345">
        <f>LEN(I345)</f>
        <v>22</v>
      </c>
      <c r="G345" t="str">
        <f>VLOOKUP(E345,Organisation!$A$2:$C$499,3,FALSE)</f>
        <v>CORG00144</v>
      </c>
      <c r="H345" t="str">
        <f>VLOOKUP(G345,Organisation!$C$2:$E$318,3,FALSE)</f>
        <v>NorthWestU</v>
      </c>
      <c r="I345" t="s">
        <v>10497</v>
      </c>
      <c r="J345">
        <f t="shared" si="5"/>
        <v>1</v>
      </c>
      <c r="L345" t="s">
        <v>1031</v>
      </c>
      <c r="M345" t="s">
        <v>2711</v>
      </c>
      <c r="N345" t="s">
        <v>609</v>
      </c>
      <c r="P345" t="s">
        <v>8866</v>
      </c>
      <c r="Q345" s="1">
        <v>1</v>
      </c>
      <c r="R345" t="str">
        <f>"Update Collaborator_Group Set Organisation = '"&amp;E345&amp;"' where Group_ID = '"&amp;A345&amp;"'; "</f>
        <v xml:space="preserve">Update Collaborator_Group Set Organisation = 'North-West University' where Group_ID = 'CG00344'; </v>
      </c>
      <c r="S345" t="str">
        <f>"Update Collaborator_Group Set Group_Name = '"&amp;I345&amp;"' where Group_ID = '"&amp;A345&amp;"'; "</f>
        <v xml:space="preserve">Update Collaborator_Group Set Group_Name = 'JesumorotiO_NorthWestU' where Group_ID = 'CG00344'; </v>
      </c>
      <c r="T345" t="str">
        <f>"Update dcollab.collab_group Set group_code = '"&amp;I345&amp;"' where Group_ID = '"&amp;B345&amp;"'; "</f>
        <v xml:space="preserve">Update dcollab.collab_group Set group_code = 'JesumorotiO_NorthWestU' where Group_ID = 'CGRP00345'; </v>
      </c>
    </row>
    <row r="346" spans="1:20">
      <c r="A346" t="s">
        <v>5414</v>
      </c>
      <c r="B346" t="s">
        <v>8987</v>
      </c>
      <c r="D346" t="s">
        <v>5413</v>
      </c>
      <c r="E346" t="s">
        <v>5417</v>
      </c>
      <c r="F346">
        <f>LEN(I346)</f>
        <v>18</v>
      </c>
      <c r="G346" t="str">
        <f>VLOOKUP(E346,Organisation!$A$2:$C$499,3,FALSE)</f>
        <v>CORG00098</v>
      </c>
      <c r="H346" t="str">
        <f>VLOOKUP(G346,Organisation!$C$2:$E$318,3,FALSE)</f>
        <v>KomiSC</v>
      </c>
      <c r="I346" t="s">
        <v>5707</v>
      </c>
      <c r="J346">
        <f t="shared" si="5"/>
        <v>1</v>
      </c>
      <c r="L346" t="s">
        <v>2277</v>
      </c>
      <c r="M346" t="s">
        <v>5418</v>
      </c>
      <c r="N346" t="s">
        <v>1600</v>
      </c>
      <c r="P346" t="s">
        <v>8866</v>
      </c>
      <c r="Q346" s="1">
        <v>1</v>
      </c>
      <c r="R346" t="str">
        <f>"Update Collaborator_Group Set Organisation = '"&amp;E346&amp;"' where Group_ID = '"&amp;A346&amp;"'; "</f>
        <v xml:space="preserve">Update Collaborator_Group Set Organisation = 'Komi Scientific Centre, Ural Branch of the Russian Academy of Sciences' where Group_ID = 'CG00345'; </v>
      </c>
      <c r="S346" t="str">
        <f>"Update Collaborator_Group Set Group_Name = '"&amp;I346&amp;"' where Group_ID = '"&amp;A346&amp;"'; "</f>
        <v xml:space="preserve">Update Collaborator_Group Set Group_Name = 'ZalevskayaO_KomiSC' where Group_ID = 'CG00345'; </v>
      </c>
      <c r="T346" t="str">
        <f>"Update dcollab.collab_group Set group_code = '"&amp;I346&amp;"' where Group_ID = '"&amp;B346&amp;"'; "</f>
        <v xml:space="preserve">Update dcollab.collab_group Set group_code = 'ZalevskayaO_KomiSC' where Group_ID = 'CGRP00346'; </v>
      </c>
    </row>
    <row r="347" spans="1:20">
      <c r="A347" t="s">
        <v>124</v>
      </c>
      <c r="B347" t="s">
        <v>9271</v>
      </c>
      <c r="D347" t="s">
        <v>123</v>
      </c>
      <c r="E347" t="s">
        <v>128</v>
      </c>
      <c r="F347">
        <f>LEN(I347)</f>
        <v>20</v>
      </c>
      <c r="G347" t="str">
        <f>VLOOKUP(E347,Organisation!$A$2:$C$499,3,FALSE)</f>
        <v>CORG00313</v>
      </c>
      <c r="H347" t="e">
        <f>VLOOKUP(G347,Organisation!$C$2:$E$318,3,FALSE)</f>
        <v>#N/A</v>
      </c>
      <c r="I347" t="s">
        <v>5488</v>
      </c>
      <c r="J347">
        <f t="shared" si="5"/>
        <v>1</v>
      </c>
      <c r="L347" t="s">
        <v>129</v>
      </c>
      <c r="M347" t="s">
        <v>130</v>
      </c>
      <c r="N347" t="s">
        <v>55</v>
      </c>
      <c r="P347" t="s">
        <v>8866</v>
      </c>
      <c r="Q347" s="1">
        <v>1</v>
      </c>
      <c r="R347" t="str">
        <f>"Update Collaborator_Group Set Organisation = '"&amp;E347&amp;"' where Group_ID = '"&amp;A347&amp;"'; "</f>
        <v xml:space="preserve">Update Collaborator_Group Set Organisation = 'Zagazig University' where Group_ID = 'CG00346'; </v>
      </c>
      <c r="S347" t="str">
        <f>"Update Collaborator_Group Set Group_Name = '"&amp;I347&amp;"' where Group_ID = '"&amp;A347&amp;"'; "</f>
        <v xml:space="preserve">Update Collaborator_Group Set Group_Name = 'AbdelrazikH_ZagazigU' where Group_ID = 'CG00346'; </v>
      </c>
      <c r="T347" t="str">
        <f>"Update dcollab.collab_group Set group_code = '"&amp;I347&amp;"' where Group_ID = '"&amp;B347&amp;"'; "</f>
        <v xml:space="preserve">Update dcollab.collab_group Set group_code = 'AbdelrazikH_ZagazigU' where Group_ID = 'CGRP00347'; </v>
      </c>
    </row>
    <row r="348" spans="1:20">
      <c r="A348" t="s">
        <v>174</v>
      </c>
      <c r="B348" t="s">
        <v>9272</v>
      </c>
      <c r="D348" t="s">
        <v>173</v>
      </c>
      <c r="E348" t="s">
        <v>128</v>
      </c>
      <c r="F348">
        <f>LEN(I348)</f>
        <v>17</v>
      </c>
      <c r="G348" t="str">
        <f>VLOOKUP(E348,Organisation!$A$2:$C$499,3,FALSE)</f>
        <v>CORG00313</v>
      </c>
      <c r="H348" t="e">
        <f>VLOOKUP(G348,Organisation!$C$2:$E$318,3,FALSE)</f>
        <v>#N/A</v>
      </c>
      <c r="I348" t="s">
        <v>5487</v>
      </c>
      <c r="J348">
        <f t="shared" si="5"/>
        <v>1</v>
      </c>
      <c r="L348" t="s">
        <v>129</v>
      </c>
      <c r="M348" t="s">
        <v>130</v>
      </c>
      <c r="N348" t="s">
        <v>55</v>
      </c>
      <c r="P348" t="s">
        <v>8866</v>
      </c>
      <c r="Q348" s="1">
        <v>1</v>
      </c>
      <c r="R348" t="str">
        <f>"Update Collaborator_Group Set Organisation = '"&amp;E348&amp;"' where Group_ID = '"&amp;A348&amp;"'; "</f>
        <v xml:space="preserve">Update Collaborator_Group Set Organisation = 'Zagazig University' where Group_ID = 'CG00347'; </v>
      </c>
      <c r="S348" t="str">
        <f>"Update Collaborator_Group Set Group_Name = '"&amp;I348&amp;"' where Group_ID = '"&amp;A348&amp;"'; "</f>
        <v xml:space="preserve">Update Collaborator_Group Set Group_Name = 'Abo-dyaN_ZagazigU' where Group_ID = 'CG00347'; </v>
      </c>
      <c r="T348" t="str">
        <f>"Update dcollab.collab_group Set group_code = '"&amp;I348&amp;"' where Group_ID = '"&amp;B348&amp;"'; "</f>
        <v xml:space="preserve">Update dcollab.collab_group Set group_code = 'Abo-dyaN_ZagazigU' where Group_ID = 'CGRP00348'; </v>
      </c>
    </row>
    <row r="349" spans="1:20">
      <c r="A349" t="s">
        <v>4617</v>
      </c>
      <c r="B349" t="s">
        <v>9067</v>
      </c>
      <c r="D349" t="s">
        <v>4616</v>
      </c>
      <c r="E349" t="s">
        <v>4620</v>
      </c>
      <c r="F349">
        <f>LEN(I349)</f>
        <v>17</v>
      </c>
      <c r="G349" t="str">
        <f>VLOOKUP(E349,Organisation!$A$2:$C$499,3,FALSE)</f>
        <v>CORG00164</v>
      </c>
      <c r="H349" t="str">
        <f>VLOOKUP(G349,Organisation!$C$2:$E$318,3,FALSE)</f>
        <v>RU-Bochum</v>
      </c>
      <c r="I349" t="s">
        <v>5644</v>
      </c>
      <c r="J349">
        <f t="shared" si="5"/>
        <v>1</v>
      </c>
      <c r="L349" t="s">
        <v>4621</v>
      </c>
      <c r="M349" t="s">
        <v>4622</v>
      </c>
      <c r="N349" t="s">
        <v>557</v>
      </c>
      <c r="P349" t="s">
        <v>8866</v>
      </c>
      <c r="Q349" s="1">
        <v>1</v>
      </c>
      <c r="R349" t="str">
        <f>"Update Collaborator_Group Set Organisation = '"&amp;E349&amp;"' where Group_ID = '"&amp;A349&amp;"'; "</f>
        <v xml:space="preserve">Update Collaborator_Group Set Organisation = 'Ruhr-Universität Bochum' where Group_ID = 'CG00348'; </v>
      </c>
      <c r="S349" t="str">
        <f>"Update Collaborator_Group Set Group_Name = '"&amp;I349&amp;"' where Group_ID = '"&amp;A349&amp;"'; "</f>
        <v xml:space="preserve">Update Collaborator_Group Set Group_Name = 'SchulzF_RU-Bochum' where Group_ID = 'CG00348'; </v>
      </c>
      <c r="T349" t="str">
        <f>"Update dcollab.collab_group Set group_code = '"&amp;I349&amp;"' where Group_ID = '"&amp;B349&amp;"'; "</f>
        <v xml:space="preserve">Update dcollab.collab_group Set group_code = 'SchulzF_RU-Bochum' where Group_ID = 'CGRP00349'; </v>
      </c>
    </row>
    <row r="350" spans="1:20">
      <c r="A350" t="s">
        <v>2243</v>
      </c>
      <c r="B350" t="s">
        <v>9099</v>
      </c>
      <c r="D350" t="s">
        <v>2242</v>
      </c>
      <c r="E350" t="s">
        <v>2245</v>
      </c>
      <c r="F350">
        <f>LEN(I350)</f>
        <v>16</v>
      </c>
      <c r="G350" t="str">
        <f>VLOOKUP(E350,Organisation!$A$2:$C$499,3,FALSE)</f>
        <v>CORG00194</v>
      </c>
      <c r="H350" t="str">
        <f>VLOOKUP(G350,Organisation!$C$2:$E$318,3,FALSE)</f>
        <v>UZaragoza</v>
      </c>
      <c r="I350" t="s">
        <v>10498</v>
      </c>
      <c r="J350">
        <f t="shared" si="5"/>
        <v>1</v>
      </c>
      <c r="L350" t="s">
        <v>2246</v>
      </c>
      <c r="M350" t="s">
        <v>2247</v>
      </c>
      <c r="N350" t="s">
        <v>1256</v>
      </c>
      <c r="P350" t="s">
        <v>8866</v>
      </c>
      <c r="Q350" s="1">
        <v>1</v>
      </c>
      <c r="R350" t="str">
        <f>"Update Collaborator_Group Set Organisation = '"&amp;E350&amp;"' where Group_ID = '"&amp;A350&amp;"'; "</f>
        <v xml:space="preserve">Update Collaborator_Group Set Organisation = 'Universidad de Zaragoza' where Group_ID = 'CG00349'; </v>
      </c>
      <c r="S350" t="str">
        <f>"Update Collaborator_Group Set Group_Name = '"&amp;I350&amp;"' where Group_ID = '"&amp;A350&amp;"'; "</f>
        <v xml:space="preserve">Update Collaborator_Group Set Group_Name = 'GrasaL_UZaragoza' where Group_ID = 'CG00349'; </v>
      </c>
      <c r="T350" t="str">
        <f>"Update dcollab.collab_group Set group_code = '"&amp;I350&amp;"' where Group_ID = '"&amp;B350&amp;"'; "</f>
        <v xml:space="preserve">Update dcollab.collab_group Set group_code = 'GrasaL_UZaragoza' where Group_ID = 'CGRP00350'; </v>
      </c>
    </row>
    <row r="351" spans="1:20">
      <c r="A351" t="s">
        <v>395</v>
      </c>
      <c r="B351" t="s">
        <v>9103</v>
      </c>
      <c r="D351" t="s">
        <v>394</v>
      </c>
      <c r="E351" t="s">
        <v>398</v>
      </c>
      <c r="F351">
        <f>LEN(I351)</f>
        <v>19</v>
      </c>
      <c r="G351" t="str">
        <f>VLOOKUP(E351,Organisation!$A$2:$C$499,3,FALSE)</f>
        <v>CORG00198</v>
      </c>
      <c r="H351" t="str">
        <f>VLOOKUP(G351,Organisation!$C$2:$E$318,3,FALSE)</f>
        <v>UFVicosa</v>
      </c>
      <c r="I351" t="s">
        <v>10499</v>
      </c>
      <c r="J351">
        <f t="shared" si="5"/>
        <v>1</v>
      </c>
      <c r="L351" t="s">
        <v>84</v>
      </c>
      <c r="M351" t="s">
        <v>399</v>
      </c>
      <c r="N351" t="s">
        <v>234</v>
      </c>
      <c r="P351" t="s">
        <v>8866</v>
      </c>
      <c r="Q351" s="1">
        <v>1</v>
      </c>
      <c r="R351" t="str">
        <f>"Update Collaborator_Group Set Organisation = '"&amp;E351&amp;"' where Group_ID = '"&amp;A351&amp;"'; "</f>
        <v xml:space="preserve">Update Collaborator_Group Set Organisation = 'Universidade Federal de Vicosa' where Group_ID = 'CG00350'; </v>
      </c>
      <c r="S351" t="str">
        <f>"Update Collaborator_Group Set Group_Name = '"&amp;I351&amp;"' where Group_ID = '"&amp;A351&amp;"'; "</f>
        <v xml:space="preserve">Update Collaborator_Group Set Group_Name = 'AlvarengaE_UFVicosa' where Group_ID = 'CG00350'; </v>
      </c>
      <c r="T351" t="str">
        <f>"Update dcollab.collab_group Set group_code = '"&amp;I351&amp;"' where Group_ID = '"&amp;B351&amp;"'; "</f>
        <v xml:space="preserve">Update dcollab.collab_group Set group_code = 'AlvarengaE_UFVicosa' where Group_ID = 'CGRP00351'; </v>
      </c>
    </row>
    <row r="352" spans="1:20">
      <c r="A352" t="s">
        <v>1383</v>
      </c>
      <c r="B352" t="s">
        <v>9017</v>
      </c>
      <c r="D352" t="s">
        <v>1382</v>
      </c>
      <c r="E352" t="s">
        <v>1387</v>
      </c>
      <c r="F352">
        <f>LEN(I352)</f>
        <v>21</v>
      </c>
      <c r="G352" t="str">
        <f>VLOOKUP(E352,Organisation!$A$2:$C$499,3,FALSE)</f>
        <v>CORG00123</v>
      </c>
      <c r="H352" t="str">
        <f>VLOOKUP(G352,Organisation!$C$2:$E$318,3,FALSE)</f>
        <v>MississippiSU</v>
      </c>
      <c r="I352" t="s">
        <v>5682</v>
      </c>
      <c r="J352">
        <f t="shared" si="5"/>
        <v>1</v>
      </c>
      <c r="L352" t="s">
        <v>84</v>
      </c>
      <c r="M352" t="s">
        <v>1388</v>
      </c>
      <c r="N352" t="s">
        <v>8808</v>
      </c>
      <c r="P352" t="s">
        <v>8866</v>
      </c>
      <c r="Q352" s="1">
        <v>1</v>
      </c>
      <c r="R352" t="str">
        <f>"Update Collaborator_Group Set Organisation = '"&amp;E352&amp;"' where Group_ID = '"&amp;A352&amp;"'; "</f>
        <v xml:space="preserve">Update Collaborator_Group Set Organisation = 'Mississippi State University' where Group_ID = 'CG00351'; </v>
      </c>
      <c r="S352" t="str">
        <f>"Update Collaborator_Group Set Group_Name = '"&amp;I352&amp;"' where Group_ID = '"&amp;A352&amp;"'; "</f>
        <v xml:space="preserve">Update Collaborator_Group Set Group_Name = 'CreutzS_MississippiSU' where Group_ID = 'CG00351'; </v>
      </c>
      <c r="T352" t="str">
        <f>"Update dcollab.collab_group Set group_code = '"&amp;I352&amp;"' where Group_ID = '"&amp;B352&amp;"'; "</f>
        <v xml:space="preserve">Update dcollab.collab_group Set group_code = 'CreutzS_MississippiSU' where Group_ID = 'CGRP00352'; </v>
      </c>
    </row>
    <row r="353" spans="1:20">
      <c r="A353" t="s">
        <v>4087</v>
      </c>
      <c r="B353" t="s">
        <v>9164</v>
      </c>
      <c r="D353" t="s">
        <v>4086</v>
      </c>
      <c r="E353" t="s">
        <v>4090</v>
      </c>
      <c r="F353">
        <f>LEN(I353)</f>
        <v>18</v>
      </c>
      <c r="G353" t="str">
        <f>VLOOKUP(E353,Organisation!$A$2:$C$499,3,FALSE)</f>
        <v>CORG00243</v>
      </c>
      <c r="H353" t="str">
        <f>VLOOKUP(G353,Organisation!$C$2:$E$318,3,FALSE)</f>
        <v>UMPHoChiMinh</v>
      </c>
      <c r="I353" t="s">
        <v>10500</v>
      </c>
      <c r="J353">
        <f t="shared" si="5"/>
        <v>1</v>
      </c>
      <c r="L353" t="s">
        <v>4091</v>
      </c>
      <c r="M353" t="s">
        <v>4092</v>
      </c>
      <c r="N353" t="s">
        <v>4093</v>
      </c>
      <c r="P353" t="s">
        <v>8866</v>
      </c>
      <c r="Q353" s="1">
        <v>1</v>
      </c>
      <c r="R353" t="str">
        <f>"Update Collaborator_Group Set Organisation = '"&amp;E353&amp;"' where Group_ID = '"&amp;A353&amp;"'; "</f>
        <v xml:space="preserve">Update Collaborator_Group Set Organisation = 'University of Medicine and Pharmacy Ho Chi Minh City' where Group_ID = 'CG00352'; </v>
      </c>
      <c r="S353" t="str">
        <f>"Update Collaborator_Group Set Group_Name = '"&amp;I353&amp;"' where Group_ID = '"&amp;A353&amp;"'; "</f>
        <v xml:space="preserve">Update Collaborator_Group Set Group_Name = 'PhamN_UMPHoChiMinh' where Group_ID = 'CG00352'; </v>
      </c>
      <c r="T353" t="str">
        <f>"Update dcollab.collab_group Set group_code = '"&amp;I353&amp;"' where Group_ID = '"&amp;B353&amp;"'; "</f>
        <v xml:space="preserve">Update dcollab.collab_group Set group_code = 'PhamN_UMPHoChiMinh' where Group_ID = 'CGRP00353'; </v>
      </c>
    </row>
    <row r="354" spans="1:20">
      <c r="A354" t="s">
        <v>2916</v>
      </c>
      <c r="B354" t="s">
        <v>8988</v>
      </c>
      <c r="D354" t="s">
        <v>2915</v>
      </c>
      <c r="E354" t="s">
        <v>8765</v>
      </c>
      <c r="F354">
        <f>LEN(I354)</f>
        <v>10</v>
      </c>
      <c r="G354" t="str">
        <f>VLOOKUP(E354,Organisation!$A$2:$C$499,3,FALSE)</f>
        <v>CORG00100</v>
      </c>
      <c r="H354" t="str">
        <f>VLOOKUP(G354,Organisation!$C$2:$E$318,3,FALSE)</f>
        <v>KIST</v>
      </c>
      <c r="I354" t="s">
        <v>5706</v>
      </c>
      <c r="J354">
        <f t="shared" si="5"/>
        <v>1</v>
      </c>
      <c r="L354" t="s">
        <v>2920</v>
      </c>
      <c r="M354" t="s">
        <v>2921</v>
      </c>
      <c r="N354" t="s">
        <v>2922</v>
      </c>
      <c r="P354" t="s">
        <v>8866</v>
      </c>
      <c r="Q354" s="1">
        <v>1</v>
      </c>
      <c r="R354" t="str">
        <f>"Update Collaborator_Group Set Organisation = '"&amp;E354&amp;"' where Group_ID = '"&amp;A354&amp;"'; "</f>
        <v xml:space="preserve">Update Collaborator_Group Set Organisation = 'Korea Institute of Science and Technology' where Group_ID = 'CG00353'; </v>
      </c>
      <c r="S354" t="str">
        <f>"Update Collaborator_Group Set Group_Name = '"&amp;I354&amp;"' where Group_ID = '"&amp;A354&amp;"'; "</f>
        <v xml:space="preserve">Update Collaborator_Group Set Group_Name = 'KeumG_KIST' where Group_ID = 'CG00353'; </v>
      </c>
      <c r="T354" t="str">
        <f>"Update dcollab.collab_group Set group_code = '"&amp;I354&amp;"' where Group_ID = '"&amp;B354&amp;"'; "</f>
        <v xml:space="preserve">Update dcollab.collab_group Set group_code = 'KeumG_KIST' where Group_ID = 'CGRP00354'; </v>
      </c>
    </row>
    <row r="355" spans="1:20">
      <c r="A355" t="s">
        <v>2643</v>
      </c>
      <c r="B355" t="s">
        <v>9214</v>
      </c>
      <c r="D355" t="s">
        <v>2642</v>
      </c>
      <c r="E355" t="s">
        <v>5803</v>
      </c>
      <c r="F355">
        <f>LEN(I355)</f>
        <v>19</v>
      </c>
      <c r="G355" t="str">
        <f>VLOOKUP(E355,Organisation!$A$2:$C$499,3,FALSE)</f>
        <v>CORG00269</v>
      </c>
      <c r="H355" t="str">
        <f>VLOOKUP(G355,Organisation!$C$2:$E$318,3,FALSE)</f>
        <v>UStThomas</v>
      </c>
      <c r="I355" t="s">
        <v>10501</v>
      </c>
      <c r="J355">
        <f t="shared" si="5"/>
        <v>1</v>
      </c>
      <c r="L355" t="s">
        <v>84</v>
      </c>
      <c r="M355" t="s">
        <v>2646</v>
      </c>
      <c r="N355" t="s">
        <v>8808</v>
      </c>
      <c r="P355" t="s">
        <v>8866</v>
      </c>
      <c r="Q355" s="1">
        <v>1</v>
      </c>
      <c r="R355" t="str">
        <f>"Update Collaborator_Group Set Organisation = '"&amp;E355&amp;"' where Group_ID = '"&amp;A355&amp;"'; "</f>
        <v xml:space="preserve">Update Collaborator_Group Set Organisation = 'University of St Thomas' where Group_ID = 'CG00354'; </v>
      </c>
      <c r="S355" t="str">
        <f>"Update Collaborator_Group Set Group_Name = '"&amp;I355&amp;"' where Group_ID = '"&amp;A355&amp;"'; "</f>
        <v xml:space="preserve">Update Collaborator_Group Set Group_Name = 'IppolitiT_UStThomas' where Group_ID = 'CG00354'; </v>
      </c>
      <c r="T355" t="str">
        <f>"Update dcollab.collab_group Set group_code = '"&amp;I355&amp;"' where Group_ID = '"&amp;B355&amp;"'; "</f>
        <v xml:space="preserve">Update dcollab.collab_group Set group_code = 'IppolitiT_UStThomas' where Group_ID = 'CGRP00355'; </v>
      </c>
    </row>
    <row r="356" spans="1:20">
      <c r="A356" t="s">
        <v>1120</v>
      </c>
      <c r="B356" t="s">
        <v>8962</v>
      </c>
      <c r="D356" t="s">
        <v>1119</v>
      </c>
      <c r="E356" t="s">
        <v>1123</v>
      </c>
      <c r="F356">
        <f>LEN(I356)</f>
        <v>25</v>
      </c>
      <c r="G356" t="str">
        <f>VLOOKUP(E356,Organisation!$A$2:$C$499,3,FALSE)</f>
        <v>CORG00078</v>
      </c>
      <c r="H356" t="str">
        <f>VLOOKUP(G356,Organisation!$C$2:$E$318,3,FALSE)</f>
        <v>IndianInstSci</v>
      </c>
      <c r="I356" t="s">
        <v>5731</v>
      </c>
      <c r="J356">
        <f t="shared" si="5"/>
        <v>1</v>
      </c>
      <c r="L356" t="s">
        <v>1124</v>
      </c>
      <c r="M356" t="s">
        <v>1125</v>
      </c>
      <c r="N356" t="s">
        <v>211</v>
      </c>
      <c r="P356" t="s">
        <v>8866</v>
      </c>
      <c r="Q356" s="1">
        <v>1</v>
      </c>
      <c r="R356" t="str">
        <f>"Update Collaborator_Group Set Organisation = '"&amp;E356&amp;"' where Group_ID = '"&amp;A356&amp;"'; "</f>
        <v xml:space="preserve">Update Collaborator_Group Set Organisation = 'Indian Institute of Science' where Group_ID = 'CG00355'; </v>
      </c>
      <c r="S356" t="str">
        <f>"Update Collaborator_Group Set Group_Name = '"&amp;I356&amp;"' where Group_ID = '"&amp;A356&amp;"'; "</f>
        <v xml:space="preserve">Update Collaborator_Group Set Group_Name = 'ChatterjeeJ_IndianInstSci' where Group_ID = 'CG00355'; </v>
      </c>
      <c r="T356" t="str">
        <f>"Update dcollab.collab_group Set group_code = '"&amp;I356&amp;"' where Group_ID = '"&amp;B356&amp;"'; "</f>
        <v xml:space="preserve">Update dcollab.collab_group Set group_code = 'ChatterjeeJ_IndianInstSci' where Group_ID = 'CGRP00356'; </v>
      </c>
    </row>
    <row r="357" spans="1:20">
      <c r="A357" t="s">
        <v>2047</v>
      </c>
      <c r="B357" t="s">
        <v>9053</v>
      </c>
      <c r="D357" t="s">
        <v>2046</v>
      </c>
      <c r="E357" t="s">
        <v>2051</v>
      </c>
      <c r="F357">
        <f>LEN(I357)</f>
        <v>18</v>
      </c>
      <c r="G357" t="str">
        <f>VLOOKUP(E357,Organisation!$A$2:$C$499,3,FALSE)</f>
        <v>CORG00151</v>
      </c>
      <c r="H357" t="str">
        <f>VLOOKUP(G357,Organisation!$C$2:$E$318,3,FALSE)</f>
        <v>PedecibaU</v>
      </c>
      <c r="I357" t="s">
        <v>5658</v>
      </c>
      <c r="J357">
        <f t="shared" si="5"/>
        <v>1</v>
      </c>
      <c r="L357" t="s">
        <v>2052</v>
      </c>
      <c r="M357" t="s">
        <v>2053</v>
      </c>
      <c r="N357" t="s">
        <v>2054</v>
      </c>
      <c r="P357" t="s">
        <v>8866</v>
      </c>
      <c r="Q357" s="1">
        <v>1</v>
      </c>
      <c r="R357" t="str">
        <f>"Update Collaborator_Group Set Organisation = '"&amp;E357&amp;"' where Group_ID = '"&amp;A357&amp;"'; "</f>
        <v xml:space="preserve">Update Collaborator_Group Set Organisation = 'Pedeciba Universidad de la República' where Group_ID = 'CG00356'; </v>
      </c>
      <c r="S357" t="str">
        <f>"Update Collaborator_Group Set Group_Name = '"&amp;I357&amp;"' where Group_ID = '"&amp;A357&amp;"'; "</f>
        <v xml:space="preserve">Update Collaborator_Group Set Group_Name = 'GambinoD_PedecibaU' where Group_ID = 'CG00356'; </v>
      </c>
      <c r="T357" t="str">
        <f>"Update dcollab.collab_group Set group_code = '"&amp;I357&amp;"' where Group_ID = '"&amp;B357&amp;"'; "</f>
        <v xml:space="preserve">Update dcollab.collab_group Set group_code = 'GambinoD_PedecibaU' where Group_ID = 'CGRP00357'; </v>
      </c>
    </row>
    <row r="358" spans="1:20">
      <c r="A358" t="s">
        <v>1767</v>
      </c>
      <c r="B358" t="s">
        <v>8879</v>
      </c>
      <c r="D358" t="s">
        <v>1766</v>
      </c>
      <c r="E358" t="s">
        <v>1771</v>
      </c>
      <c r="F358">
        <f>LEN(I358)</f>
        <v>22</v>
      </c>
      <c r="G358" t="str">
        <f>VLOOKUP(E358,Organisation!$A$2:$C$499,3,FALSE)</f>
        <v>CORG00007</v>
      </c>
      <c r="H358" t="str">
        <f>VLOOKUP(G358,Organisation!$C$2:$E$318,3,FALSE)</f>
        <v>UAlexandria</v>
      </c>
      <c r="I358" t="s">
        <v>5752</v>
      </c>
      <c r="J358">
        <f t="shared" si="5"/>
        <v>1</v>
      </c>
      <c r="L358" t="s">
        <v>8835</v>
      </c>
      <c r="M358" t="s">
        <v>1772</v>
      </c>
      <c r="N358" t="s">
        <v>55</v>
      </c>
      <c r="P358" t="s">
        <v>8866</v>
      </c>
      <c r="Q358" s="1">
        <v>1</v>
      </c>
      <c r="R358" t="str">
        <f>"Update Collaborator_Group Set Organisation = '"&amp;E358&amp;"' where Group_ID = '"&amp;A358&amp;"'; "</f>
        <v xml:space="preserve">Update Collaborator_Group Set Organisation = 'Alexandria University' where Group_ID = 'CG00357'; </v>
      </c>
      <c r="S358" t="str">
        <f>"Update Collaborator_Group Set Group_Name = '"&amp;I358&amp;"' where Group_ID = '"&amp;A358&amp;"'; "</f>
        <v xml:space="preserve">Update Collaborator_Group Set Group_Name = 'El-HawashS_UAlexandria' where Group_ID = 'CG00357'; </v>
      </c>
      <c r="T358" t="str">
        <f>"Update dcollab.collab_group Set group_code = '"&amp;I358&amp;"' where Group_ID = '"&amp;B358&amp;"'; "</f>
        <v xml:space="preserve">Update dcollab.collab_group Set group_code = 'El-HawashS_UAlexandria' where Group_ID = 'CGRP00358'; </v>
      </c>
    </row>
    <row r="359" spans="1:20">
      <c r="A359" t="s">
        <v>1870</v>
      </c>
      <c r="B359" t="s">
        <v>8887</v>
      </c>
      <c r="D359" t="s">
        <v>3414</v>
      </c>
      <c r="E359" t="s">
        <v>8752</v>
      </c>
      <c r="F359">
        <f>LEN(I359)</f>
        <v>8</v>
      </c>
      <c r="G359" t="str">
        <f>VLOOKUP(E359,Organisation!$A$2:$C$499,3,FALSE)</f>
        <v>CORG00014</v>
      </c>
      <c r="H359" t="str">
        <f>VLOOKUP(G359,Organisation!$C$2:$E$318,3,FALSE)</f>
        <v>ANU</v>
      </c>
      <c r="I359" t="s">
        <v>5786</v>
      </c>
      <c r="J359">
        <f t="shared" si="5"/>
        <v>1</v>
      </c>
      <c r="L359" t="s">
        <v>1872</v>
      </c>
      <c r="M359" t="s">
        <v>1873</v>
      </c>
      <c r="N359" t="s">
        <v>14</v>
      </c>
      <c r="P359" t="s">
        <v>8866</v>
      </c>
      <c r="Q359" s="1">
        <v>1</v>
      </c>
      <c r="R359" t="str">
        <f>"Update Collaborator_Group Set Organisation = '"&amp;E359&amp;"' where Group_ID = '"&amp;A359&amp;"'; "</f>
        <v xml:space="preserve">Update Collaborator_Group Set Organisation = 'Australian National University' where Group_ID = 'CG00358'; </v>
      </c>
      <c r="S359" t="str">
        <f>"Update Collaborator_Group Set Group_Name = '"&amp;I359&amp;"' where Group_ID = '"&amp;A359&amp;"'; "</f>
        <v xml:space="preserve">Update Collaborator_Group Set Group_Name = 'ManS_ANU' where Group_ID = 'CG00358'; </v>
      </c>
      <c r="T359" t="str">
        <f>"Update dcollab.collab_group Set group_code = '"&amp;I359&amp;"' where Group_ID = '"&amp;B359&amp;"'; "</f>
        <v xml:space="preserve">Update dcollab.collab_group Set group_code = 'ManS_ANU' where Group_ID = 'CGRP00359'; </v>
      </c>
    </row>
    <row r="360" spans="1:20">
      <c r="A360" t="s">
        <v>887</v>
      </c>
      <c r="B360" t="s">
        <v>8956</v>
      </c>
      <c r="D360" t="s">
        <v>4662</v>
      </c>
      <c r="E360" t="s">
        <v>890</v>
      </c>
      <c r="F360">
        <f>LEN(I360)</f>
        <v>18</v>
      </c>
      <c r="G360" t="str">
        <f>VLOOKUP(E360,Organisation!$A$2:$C$499,3,FALSE)</f>
        <v>CORG00073</v>
      </c>
      <c r="H360" t="str">
        <f>VLOOKUP(G360,Organisation!$C$2:$E$318,3,FALSE)</f>
        <v>IbnTofailU</v>
      </c>
      <c r="I360" t="s">
        <v>5736</v>
      </c>
      <c r="J360">
        <f t="shared" si="5"/>
        <v>1</v>
      </c>
      <c r="L360" t="s">
        <v>84</v>
      </c>
      <c r="M360" t="s">
        <v>4666</v>
      </c>
      <c r="N360" t="s">
        <v>891</v>
      </c>
      <c r="P360" t="s">
        <v>8866</v>
      </c>
      <c r="Q360" s="1">
        <v>1</v>
      </c>
      <c r="R360" t="str">
        <f>"Update Collaborator_Group Set Organisation = '"&amp;E360&amp;"' where Group_ID = '"&amp;A360&amp;"'; "</f>
        <v xml:space="preserve">Update Collaborator_Group Set Organisation = 'Ibn Tofail University' where Group_ID = 'CG00359'; </v>
      </c>
      <c r="S360" t="str">
        <f>"Update Collaborator_Group Set Group_Name = '"&amp;I360&amp;"' where Group_ID = '"&amp;A360&amp;"'; "</f>
        <v xml:space="preserve">Update Collaborator_Group Set Group_Name = 'SerrarH_IbnTofailU' where Group_ID = 'CG00359'; </v>
      </c>
      <c r="T360" t="str">
        <f>"Update dcollab.collab_group Set group_code = '"&amp;I360&amp;"' where Group_ID = '"&amp;B360&amp;"'; "</f>
        <v xml:space="preserve">Update dcollab.collab_group Set group_code = 'SerrarH_IbnTofailU' where Group_ID = 'CGRP00360'; </v>
      </c>
    </row>
    <row r="361" spans="1:20">
      <c r="A361" t="s">
        <v>1134</v>
      </c>
      <c r="B361" t="s">
        <v>9084</v>
      </c>
      <c r="D361" t="s">
        <v>1133</v>
      </c>
      <c r="E361" t="s">
        <v>606</v>
      </c>
      <c r="F361">
        <f>LEN(I361)</f>
        <v>22</v>
      </c>
      <c r="G361" t="str">
        <f>VLOOKUP(E361,Organisation!$A$2:$C$499,3,FALSE)</f>
        <v>CORG00179</v>
      </c>
      <c r="H361" t="str">
        <f>VLOOKUP(G361,Organisation!$C$2:$E$318,3,FALSE)</f>
        <v>StellenboschU</v>
      </c>
      <c r="I361" t="s">
        <v>5631</v>
      </c>
      <c r="J361">
        <f t="shared" si="5"/>
        <v>1</v>
      </c>
      <c r="L361" t="s">
        <v>1137</v>
      </c>
      <c r="M361" t="s">
        <v>1138</v>
      </c>
      <c r="N361" t="s">
        <v>609</v>
      </c>
      <c r="P361" t="s">
        <v>8866</v>
      </c>
      <c r="Q361" s="1">
        <v>1</v>
      </c>
      <c r="R361" t="str">
        <f>"Update Collaborator_Group Set Organisation = '"&amp;E361&amp;"' where Group_ID = '"&amp;A361&amp;"'; "</f>
        <v xml:space="preserve">Update Collaborator_Group Set Organisation = 'Stellenbosch University' where Group_ID = 'CG00360'; </v>
      </c>
      <c r="S361" t="str">
        <f>"Update Collaborator_Group Set Group_Name = '"&amp;I361&amp;"' where Group_ID = '"&amp;A361&amp;"'; "</f>
        <v xml:space="preserve">Update Collaborator_Group Set Group_Name = 'ChellanP_StellenboschU' where Group_ID = 'CG00360'; </v>
      </c>
      <c r="T361" t="str">
        <f>"Update dcollab.collab_group Set group_code = '"&amp;I361&amp;"' where Group_ID = '"&amp;B361&amp;"'; "</f>
        <v xml:space="preserve">Update dcollab.collab_group Set group_code = 'ChellanP_StellenboschU' where Group_ID = 'CGRP00361'; </v>
      </c>
    </row>
    <row r="362" spans="1:20">
      <c r="A362" t="s">
        <v>3259</v>
      </c>
      <c r="B362" t="s">
        <v>8959</v>
      </c>
      <c r="D362" t="s">
        <v>3258</v>
      </c>
      <c r="E362" t="s">
        <v>815</v>
      </c>
      <c r="F362">
        <f>LEN(I362)</f>
        <v>15</v>
      </c>
      <c r="G362" t="str">
        <f>VLOOKUP(E362,Organisation!$A$2:$C$499,3,FALSE)</f>
        <v>CORG00075</v>
      </c>
      <c r="H362" t="str">
        <f>VLOOKUP(G362,Organisation!$C$2:$E$318,3,FALSE)</f>
        <v>ImperialC</v>
      </c>
      <c r="I362" t="s">
        <v>5735</v>
      </c>
      <c r="J362">
        <f t="shared" si="5"/>
        <v>1</v>
      </c>
      <c r="L362" t="s">
        <v>73</v>
      </c>
      <c r="M362" t="s">
        <v>3262</v>
      </c>
      <c r="N362" t="s">
        <v>269</v>
      </c>
      <c r="P362" t="s">
        <v>8866</v>
      </c>
      <c r="Q362" s="1">
        <v>1</v>
      </c>
      <c r="R362" t="str">
        <f>"Update Collaborator_Group Set Organisation = '"&amp;E362&amp;"' where Group_ID = '"&amp;A362&amp;"'; "</f>
        <v xml:space="preserve">Update Collaborator_Group Set Organisation = 'Imperial College London' where Group_ID = 'CG00361'; </v>
      </c>
      <c r="S362" t="str">
        <f>"Update Collaborator_Group Set Group_Name = '"&amp;I362&amp;"' where Group_ID = '"&amp;A362&amp;"'; "</f>
        <v xml:space="preserve">Update Collaborator_Group Set Group_Name = 'LongN_ImperialC' where Group_ID = 'CG00361'; </v>
      </c>
      <c r="T362" t="str">
        <f>"Update dcollab.collab_group Set group_code = '"&amp;I362&amp;"' where Group_ID = '"&amp;B362&amp;"'; "</f>
        <v xml:space="preserve">Update dcollab.collab_group Set group_code = 'LongN_ImperialC' where Group_ID = 'CGRP00362'; </v>
      </c>
    </row>
    <row r="363" spans="1:20">
      <c r="A363" t="s">
        <v>4775</v>
      </c>
      <c r="B363" t="s">
        <v>9208</v>
      </c>
      <c r="D363" t="s">
        <v>4774</v>
      </c>
      <c r="E363" t="s">
        <v>4777</v>
      </c>
      <c r="F363">
        <f>LEN(I363)</f>
        <v>20</v>
      </c>
      <c r="G363" t="str">
        <f>VLOOKUP(E363,Organisation!$A$2:$C$499,3,FALSE)</f>
        <v>CORG00265</v>
      </c>
      <c r="H363" t="str">
        <f>VLOOKUP(G363,Organisation!$C$2:$E$318,3,FALSE)</f>
        <v>USTBannu</v>
      </c>
      <c r="I363" t="s">
        <v>5534</v>
      </c>
      <c r="J363">
        <f t="shared" si="5"/>
        <v>1</v>
      </c>
      <c r="L363" t="s">
        <v>84</v>
      </c>
      <c r="M363" t="s">
        <v>4778</v>
      </c>
      <c r="N363" t="s">
        <v>2674</v>
      </c>
      <c r="P363" t="s">
        <v>8866</v>
      </c>
      <c r="Q363" s="1">
        <v>1</v>
      </c>
      <c r="R363" t="str">
        <f>"Update Collaborator_Group Set Organisation = '"&amp;E363&amp;"' where Group_ID = '"&amp;A363&amp;"'; "</f>
        <v xml:space="preserve">Update Collaborator_Group Set Organisation = 'University of Science and Technology Bannu' where Group_ID = 'CG00362'; </v>
      </c>
      <c r="S363" t="str">
        <f>"Update Collaborator_Group Set Group_Name = '"&amp;I363&amp;"' where Group_ID = '"&amp;A363&amp;"'; "</f>
        <v xml:space="preserve">Update Collaborator_Group Set Group_Name = 'SirajudDinM_USTBannu' where Group_ID = 'CG00362'; </v>
      </c>
      <c r="T363" t="str">
        <f>"Update dcollab.collab_group Set group_code = '"&amp;I363&amp;"' where Group_ID = '"&amp;B363&amp;"'; "</f>
        <v xml:space="preserve">Update dcollab.collab_group Set group_code = 'SirajudDinM_USTBannu' where Group_ID = 'CGRP00363'; </v>
      </c>
    </row>
    <row r="364" spans="1:20">
      <c r="A364" t="s">
        <v>3068</v>
      </c>
      <c r="B364" t="s">
        <v>8921</v>
      </c>
      <c r="D364" t="s">
        <v>3067</v>
      </c>
      <c r="E364" t="s">
        <v>3071</v>
      </c>
      <c r="F364">
        <f>LEN(I364)</f>
        <v>16</v>
      </c>
      <c r="G364" t="str">
        <f>VLOOKUP(E364,Organisation!$A$2:$C$499,3,FALSE)</f>
        <v>CORG00043</v>
      </c>
      <c r="H364" t="str">
        <f>VLOOKUP(G364,Organisation!$C$2:$E$318,3,FALSE)</f>
        <v>CracowUT</v>
      </c>
      <c r="I364" t="s">
        <v>10502</v>
      </c>
      <c r="J364">
        <f t="shared" si="5"/>
        <v>1</v>
      </c>
      <c r="L364" t="s">
        <v>3072</v>
      </c>
      <c r="M364" t="s">
        <v>3073</v>
      </c>
      <c r="N364" t="s">
        <v>848</v>
      </c>
      <c r="P364" t="s">
        <v>8866</v>
      </c>
      <c r="Q364" s="1">
        <v>1</v>
      </c>
      <c r="R364" t="str">
        <f>"Update Collaborator_Group Set Organisation = '"&amp;E364&amp;"' where Group_ID = '"&amp;A364&amp;"'; "</f>
        <v xml:space="preserve">Update Collaborator_Group Set Organisation = 'Cracow University of Technology' where Group_ID = 'CG00363'; </v>
      </c>
      <c r="S364" t="str">
        <f>"Update Collaborator_Group Set Group_Name = '"&amp;I364&amp;"' where Group_ID = '"&amp;A364&amp;"'; "</f>
        <v xml:space="preserve">Update Collaborator_Group Set Group_Name = 'KulagaD_CracowUT' where Group_ID = 'CG00363'; </v>
      </c>
      <c r="T364" t="str">
        <f>"Update dcollab.collab_group Set group_code = '"&amp;I364&amp;"' where Group_ID = '"&amp;B364&amp;"'; "</f>
        <v xml:space="preserve">Update dcollab.collab_group Set group_code = 'KulagaD_CracowUT' where Group_ID = 'CGRP00364'; </v>
      </c>
    </row>
    <row r="365" spans="1:20">
      <c r="A365" t="s">
        <v>2071</v>
      </c>
      <c r="B365" t="s">
        <v>9113</v>
      </c>
      <c r="D365" t="s">
        <v>2219</v>
      </c>
      <c r="E365" t="s">
        <v>2074</v>
      </c>
      <c r="F365">
        <f>LEN(I365)</f>
        <v>21</v>
      </c>
      <c r="G365" t="str">
        <f>VLOOKUP(E365,Organisation!$A$2:$C$499,3,FALSE)</f>
        <v>CORG00206</v>
      </c>
      <c r="H365" t="str">
        <f>VLOOKUP(G365,Organisation!$C$2:$E$318,3,FALSE)</f>
        <v>ULBruxelles</v>
      </c>
      <c r="I365" t="s">
        <v>10503</v>
      </c>
      <c r="J365">
        <f t="shared" si="5"/>
        <v>1</v>
      </c>
      <c r="L365" t="s">
        <v>73</v>
      </c>
      <c r="M365" t="s">
        <v>2222</v>
      </c>
      <c r="N365" t="s">
        <v>1510</v>
      </c>
      <c r="P365" t="s">
        <v>8866</v>
      </c>
      <c r="Q365" s="1">
        <v>1</v>
      </c>
      <c r="R365" t="str">
        <f>"Update Collaborator_Group Set Organisation = '"&amp;E365&amp;"' where Group_ID = '"&amp;A365&amp;"'; "</f>
        <v xml:space="preserve">Update Collaborator_Group Set Organisation = 'Universite Libre de Bruxelles' where Group_ID = 'CG00364'; </v>
      </c>
      <c r="S365" t="str">
        <f>"Update Collaborator_Group Set Group_Name = '"&amp;I365&amp;"' where Group_ID = '"&amp;A365&amp;"'; "</f>
        <v xml:space="preserve">Update Collaborator_Group Set Group_Name = 'GovaertsC_ULBruxelles' where Group_ID = 'CG00364'; </v>
      </c>
      <c r="T365" t="str">
        <f>"Update dcollab.collab_group Set group_code = '"&amp;I365&amp;"' where Group_ID = '"&amp;B365&amp;"'; "</f>
        <v xml:space="preserve">Update dcollab.collab_group Set group_code = 'GovaertsC_ULBruxelles' where Group_ID = 'CGRP00365'; </v>
      </c>
    </row>
    <row r="366" spans="1:20">
      <c r="A366" t="s">
        <v>340</v>
      </c>
      <c r="B366" t="s">
        <v>9210</v>
      </c>
      <c r="D366" t="s">
        <v>3342</v>
      </c>
      <c r="E366" t="s">
        <v>3356</v>
      </c>
      <c r="F366">
        <f>LEN(I366)</f>
        <v>21</v>
      </c>
      <c r="G366" t="str">
        <f>VLOOKUP(E366,Organisation!$A$2:$C$499,3,FALSE)</f>
        <v>CORG00277</v>
      </c>
      <c r="H366" t="str">
        <f>VLOOKUP(G366,Organisation!$C$2:$E$318,3,FALSE)</f>
        <v>USPhiladelphia</v>
      </c>
      <c r="I366" t="s">
        <v>10539</v>
      </c>
      <c r="J366">
        <f t="shared" si="5"/>
        <v>1</v>
      </c>
      <c r="L366" t="s">
        <v>344</v>
      </c>
      <c r="M366" t="s">
        <v>345</v>
      </c>
      <c r="N366" t="s">
        <v>8808</v>
      </c>
      <c r="P366" t="s">
        <v>8866</v>
      </c>
      <c r="Q366" s="1">
        <v>1</v>
      </c>
      <c r="R366" t="str">
        <f>"Update Collaborator_Group Set Organisation = '"&amp;E366&amp;"' where Group_ID = '"&amp;A366&amp;"'; "</f>
        <v xml:space="preserve">Update Collaborator_Group Set Organisation = 'University of the Sciences in Philadelphia' where Group_ID = 'CG00365'; </v>
      </c>
      <c r="S366" t="str">
        <f>"Update Collaborator_Group Set Group_Name = '"&amp;I366&amp;"' where Group_ID = '"&amp;A366&amp;"'; "</f>
        <v xml:space="preserve">Update Collaborator_Group Set Group_Name = 'MckeeJ_USPhiladelphia' where Group_ID = 'CG00365'; </v>
      </c>
      <c r="T366" t="str">
        <f>"Update dcollab.collab_group Set group_code = '"&amp;I366&amp;"' where Group_ID = '"&amp;B366&amp;"'; "</f>
        <v xml:space="preserve">Update dcollab.collab_group Set group_code = 'MckeeJ_USPhiladelphia' where Group_ID = 'CGRP00366'; </v>
      </c>
    </row>
    <row r="367" spans="1:20">
      <c r="A367" t="s">
        <v>4242</v>
      </c>
      <c r="B367" t="s">
        <v>9093</v>
      </c>
      <c r="D367" t="s">
        <v>4417</v>
      </c>
      <c r="E367" t="s">
        <v>4245</v>
      </c>
      <c r="F367">
        <f>LEN(I367)</f>
        <v>15</v>
      </c>
      <c r="G367" t="str">
        <f>VLOOKUP(E367,Organisation!$A$2:$C$499,3,FALSE)</f>
        <v>CORG00189</v>
      </c>
      <c r="H367" t="str">
        <f>VLOOKUP(G367,Organisation!$C$2:$E$318,3,FALSE)</f>
        <v>TrinityC</v>
      </c>
      <c r="I367" t="s">
        <v>10504</v>
      </c>
      <c r="J367">
        <f t="shared" si="5"/>
        <v>1</v>
      </c>
      <c r="L367" t="s">
        <v>170</v>
      </c>
      <c r="M367" t="s">
        <v>4246</v>
      </c>
      <c r="N367" t="s">
        <v>1235</v>
      </c>
      <c r="P367" t="s">
        <v>8866</v>
      </c>
      <c r="Q367" s="1">
        <v>1</v>
      </c>
      <c r="R367" t="str">
        <f>"Update Collaborator_Group Set Organisation = '"&amp;E367&amp;"' where Group_ID = '"&amp;A367&amp;"'; "</f>
        <v xml:space="preserve">Update Collaborator_Group Set Organisation = 'Trinity College Dublin' where Group_ID = 'CG00366'; </v>
      </c>
      <c r="S367" t="str">
        <f>"Update Collaborator_Group Set Group_Name = '"&amp;I367&amp;"' where Group_ID = '"&amp;A367&amp;"'; "</f>
        <v xml:space="preserve">Update Collaborator_Group Set Group_Name = 'RozasI_TrinityC' where Group_ID = 'CG00366'; </v>
      </c>
      <c r="T367" t="str">
        <f>"Update dcollab.collab_group Set group_code = '"&amp;I367&amp;"' where Group_ID = '"&amp;B367&amp;"'; "</f>
        <v xml:space="preserve">Update dcollab.collab_group Set group_code = 'RozasI_TrinityC' where Group_ID = 'CGRP00367'; </v>
      </c>
    </row>
    <row r="368" spans="1:20">
      <c r="A368" t="s">
        <v>238</v>
      </c>
      <c r="B368" t="s">
        <v>9192</v>
      </c>
      <c r="D368" t="s">
        <v>5100</v>
      </c>
      <c r="E368" t="s">
        <v>242</v>
      </c>
      <c r="F368">
        <f>LEN(I368)</f>
        <v>22</v>
      </c>
      <c r="G368" t="str">
        <f>VLOOKUP(E368,Organisation!$A$2:$C$499,3,FALSE)</f>
        <v>CORG00264</v>
      </c>
      <c r="H368" t="str">
        <f>VLOOKUP(G368,Organisation!$C$2:$E$318,3,FALSE)</f>
        <v>UoPuertoRicoRP</v>
      </c>
      <c r="I368" t="s">
        <v>10505</v>
      </c>
      <c r="J368">
        <f t="shared" si="5"/>
        <v>1</v>
      </c>
      <c r="L368" t="s">
        <v>84</v>
      </c>
      <c r="M368" t="s">
        <v>243</v>
      </c>
      <c r="N368" t="s">
        <v>8808</v>
      </c>
      <c r="P368" t="s">
        <v>8866</v>
      </c>
      <c r="Q368" s="1">
        <v>1</v>
      </c>
      <c r="R368" t="str">
        <f>"Update Collaborator_Group Set Organisation = '"&amp;E368&amp;"' where Group_ID = '"&amp;A368&amp;"'; "</f>
        <v xml:space="preserve">Update Collaborator_Group Set Organisation = 'University of Puerto Rico Rio Piedras' where Group_ID = 'CG00367'; </v>
      </c>
      <c r="S368" t="str">
        <f>"Update Collaborator_Group Set Group_Name = '"&amp;I368&amp;"' where Group_ID = '"&amp;A368&amp;"'; "</f>
        <v xml:space="preserve">Update Collaborator_Group Set Group_Name = 'TinocoA_UoPuertoRicoRP' where Group_ID = 'CG00367'; </v>
      </c>
      <c r="T368" t="str">
        <f>"Update dcollab.collab_group Set group_code = '"&amp;I368&amp;"' where Group_ID = '"&amp;B368&amp;"'; "</f>
        <v xml:space="preserve">Update dcollab.collab_group Set group_code = 'TinocoA_UoPuertoRicoRP' where Group_ID = 'CGRP00368'; </v>
      </c>
    </row>
    <row r="369" spans="1:20">
      <c r="A369" t="s">
        <v>1459</v>
      </c>
      <c r="B369" t="s">
        <v>9120</v>
      </c>
      <c r="D369" t="s">
        <v>5081</v>
      </c>
      <c r="E369" t="s">
        <v>1234</v>
      </c>
      <c r="F369">
        <f>LEN(I369)</f>
        <v>13</v>
      </c>
      <c r="G369" t="str">
        <f>VLOOKUP(E369,Organisation!$A$2:$C$499,3,FALSE)</f>
        <v>CORG00209</v>
      </c>
      <c r="H369" t="str">
        <f>VLOOKUP(G369,Organisation!$C$2:$E$318,3,FALSE)</f>
        <v>UCCork</v>
      </c>
      <c r="I369" t="s">
        <v>10506</v>
      </c>
      <c r="J369">
        <f t="shared" si="5"/>
        <v>1</v>
      </c>
      <c r="L369" t="s">
        <v>170</v>
      </c>
      <c r="M369" t="s">
        <v>1464</v>
      </c>
      <c r="N369" t="s">
        <v>1235</v>
      </c>
      <c r="P369" t="s">
        <v>8866</v>
      </c>
      <c r="Q369" s="1">
        <v>1</v>
      </c>
      <c r="R369" t="str">
        <f>"Update Collaborator_Group Set Organisation = '"&amp;E369&amp;"' where Group_ID = '"&amp;A369&amp;"'; "</f>
        <v xml:space="preserve">Update Collaborator_Group Set Organisation = 'University College Cork' where Group_ID = 'CG00368'; </v>
      </c>
      <c r="S369" t="str">
        <f>"Update Collaborator_Group Set Group_Name = '"&amp;I369&amp;"' where Group_ID = '"&amp;A369&amp;"'; "</f>
        <v xml:space="preserve">Update Collaborator_Group Set Group_Name = 'TianaD_UCCork' where Group_ID = 'CG00368'; </v>
      </c>
      <c r="T369" t="str">
        <f>"Update dcollab.collab_group Set group_code = '"&amp;I369&amp;"' where Group_ID = '"&amp;B369&amp;"'; "</f>
        <v xml:space="preserve">Update dcollab.collab_group Set group_code = 'TianaD_UCCork' where Group_ID = 'CGRP00369'; </v>
      </c>
    </row>
    <row r="370" spans="1:20">
      <c r="A370" t="s">
        <v>1142</v>
      </c>
      <c r="B370" t="s">
        <v>8886</v>
      </c>
      <c r="D370" t="s">
        <v>1141</v>
      </c>
      <c r="E370" t="s">
        <v>1146</v>
      </c>
      <c r="F370">
        <f>LEN(I370)</f>
        <v>16</v>
      </c>
      <c r="G370" t="str">
        <f>VLOOKUP(E370,Organisation!$A$2:$C$499,3,FALSE)</f>
        <v>CORG00013</v>
      </c>
      <c r="H370" t="str">
        <f>VLOOKUP(G370,Organisation!$C$2:$E$318,3,FALSE)</f>
        <v>AucklandUT</v>
      </c>
      <c r="I370" t="s">
        <v>10507</v>
      </c>
      <c r="J370">
        <f t="shared" si="5"/>
        <v>1</v>
      </c>
      <c r="L370" t="s">
        <v>1147</v>
      </c>
      <c r="M370" t="s">
        <v>1148</v>
      </c>
      <c r="N370" t="s">
        <v>223</v>
      </c>
      <c r="P370" t="s">
        <v>8866</v>
      </c>
      <c r="Q370" s="1">
        <v>1</v>
      </c>
      <c r="R370" t="str">
        <f>"Update Collaborator_Group Set Organisation = '"&amp;E370&amp;"' where Group_ID = '"&amp;A370&amp;"'; "</f>
        <v xml:space="preserve">Update Collaborator_Group Set Organisation = 'Auckland University of Technology' where Group_ID = 'CG00369'; </v>
      </c>
      <c r="S370" t="str">
        <f>"Update Collaborator_Group Set Group_Name = '"&amp;I370&amp;"' where Group_ID = '"&amp;A370&amp;"'; "</f>
        <v xml:space="preserve">Update Collaborator_Group Set Group_Name = 'ChenJ_AucklandUT' where Group_ID = 'CG00369'; </v>
      </c>
      <c r="T370" t="str">
        <f>"Update dcollab.collab_group Set group_code = '"&amp;I370&amp;"' where Group_ID = '"&amp;B370&amp;"'; "</f>
        <v xml:space="preserve">Update dcollab.collab_group Set group_code = 'ChenJ_AucklandUT' where Group_ID = 'CGRP00370'; </v>
      </c>
    </row>
    <row r="371" spans="1:20">
      <c r="A371" t="s">
        <v>1545</v>
      </c>
      <c r="B371" t="s">
        <v>8929</v>
      </c>
      <c r="D371" t="s">
        <v>5087</v>
      </c>
      <c r="E371" t="s">
        <v>1548</v>
      </c>
      <c r="F371">
        <f>LEN(I371)</f>
        <v>13</v>
      </c>
      <c r="G371" t="str">
        <f>VLOOKUP(E371,Organisation!$A$2:$C$499,3,FALSE)</f>
        <v>CORG00050</v>
      </c>
      <c r="H371" t="str">
        <f>VLOOKUP(G371,Organisation!$C$2:$E$318,3,FALSE)</f>
        <v>DBAMU</v>
      </c>
      <c r="I371" t="s">
        <v>5755</v>
      </c>
      <c r="J371">
        <f t="shared" si="5"/>
        <v>1</v>
      </c>
      <c r="L371" t="s">
        <v>712</v>
      </c>
      <c r="M371" t="s">
        <v>1549</v>
      </c>
      <c r="N371" t="s">
        <v>211</v>
      </c>
      <c r="P371" t="s">
        <v>8866</v>
      </c>
      <c r="Q371" s="1">
        <v>1</v>
      </c>
      <c r="R371" t="str">
        <f>"Update Collaborator_Group Set Organisation = '"&amp;E371&amp;"' where Group_ID = '"&amp;A371&amp;"'; "</f>
        <v xml:space="preserve">Update Collaborator_Group Set Organisation = 'Dr. Babasaheb Ambedkar Marathwada University' where Group_ID = 'CG00370'; </v>
      </c>
      <c r="S371" t="str">
        <f>"Update Collaborator_Group Set Group_Name = '"&amp;I371&amp;"' where Group_ID = '"&amp;A371&amp;"'; "</f>
        <v xml:space="preserve">Update Collaborator_Group Set Group_Name = 'TigoteR_DBAMU' where Group_ID = 'CG00370'; </v>
      </c>
      <c r="T371" t="str">
        <f>"Update dcollab.collab_group Set group_code = '"&amp;I371&amp;"' where Group_ID = '"&amp;B371&amp;"'; "</f>
        <v xml:space="preserve">Update dcollab.collab_group Set group_code = 'TigoteR_DBAMU' where Group_ID = 'CGRP00371'; </v>
      </c>
    </row>
    <row r="372" spans="1:20">
      <c r="A372" t="s">
        <v>30</v>
      </c>
      <c r="B372" t="s">
        <v>8991</v>
      </c>
      <c r="D372" t="s">
        <v>2548</v>
      </c>
      <c r="E372" t="s">
        <v>616</v>
      </c>
      <c r="F372">
        <f>LEN(I372)</f>
        <v>16</v>
      </c>
      <c r="G372" t="str">
        <f>VLOOKUP(E372,Organisation!$A$2:$C$499,3,FALSE)</f>
        <v>CORG00102</v>
      </c>
      <c r="H372" t="str">
        <f>VLOOKUP(G372,Organisation!$C$2:$E$318,3,FALSE)</f>
        <v>LaTrobe</v>
      </c>
      <c r="I372" t="s">
        <v>10508</v>
      </c>
      <c r="J372">
        <f t="shared" si="5"/>
        <v>1</v>
      </c>
      <c r="L372" t="s">
        <v>2551</v>
      </c>
      <c r="M372" t="s">
        <v>1706</v>
      </c>
      <c r="N372" t="s">
        <v>14</v>
      </c>
      <c r="P372" t="s">
        <v>8866</v>
      </c>
      <c r="Q372" s="1">
        <v>1</v>
      </c>
      <c r="R372" t="str">
        <f>"Update Collaborator_Group Set Organisation = '"&amp;E372&amp;"' where Group_ID = '"&amp;A372&amp;"'; "</f>
        <v xml:space="preserve">Update Collaborator_Group Set Organisation = 'La Trobe University' where Group_ID = 'CG00371'; </v>
      </c>
      <c r="S372" t="str">
        <f>"Update Collaborator_Group Set Group_Name = '"&amp;I372&amp;"' where Group_ID = '"&amp;A372&amp;"'; "</f>
        <v xml:space="preserve">Update Collaborator_Group Set Group_Name = 'HoustonS_LaTrobe' where Group_ID = 'CG00371'; </v>
      </c>
      <c r="T372" t="str">
        <f>"Update dcollab.collab_group Set group_code = '"&amp;I372&amp;"' where Group_ID = '"&amp;B372&amp;"'; "</f>
        <v xml:space="preserve">Update dcollab.collab_group Set group_code = 'HoustonS_LaTrobe' where Group_ID = 'CGRP00372'; </v>
      </c>
    </row>
    <row r="373" spans="1:20">
      <c r="A373" t="s">
        <v>1819</v>
      </c>
      <c r="B373" t="s">
        <v>8981</v>
      </c>
      <c r="D373" t="s">
        <v>4954</v>
      </c>
      <c r="E373" t="s">
        <v>1822</v>
      </c>
      <c r="F373">
        <f>LEN(I373)</f>
        <v>14</v>
      </c>
      <c r="G373" t="str">
        <f>VLOOKUP(E373,Organisation!$A$2:$C$499,3,FALSE)</f>
        <v>CORG00093</v>
      </c>
      <c r="H373" t="str">
        <f>VLOOKUP(G373,Organisation!$C$2:$E$318,3,FALSE)</f>
        <v>JoufU</v>
      </c>
      <c r="I373" t="s">
        <v>10509</v>
      </c>
      <c r="J373">
        <f t="shared" si="5"/>
        <v>1</v>
      </c>
      <c r="L373" t="s">
        <v>1823</v>
      </c>
      <c r="M373" t="s">
        <v>4957</v>
      </c>
      <c r="N373" t="s">
        <v>318</v>
      </c>
      <c r="P373" t="s">
        <v>8866</v>
      </c>
      <c r="Q373" s="1">
        <v>1</v>
      </c>
      <c r="R373" t="str">
        <f>"Update Collaborator_Group Set Organisation = '"&amp;E373&amp;"' where Group_ID = '"&amp;A373&amp;"'; "</f>
        <v xml:space="preserve">Update Collaborator_Group Set Organisation = 'Jouf University' where Group_ID = 'CG00372'; </v>
      </c>
      <c r="S373" t="str">
        <f>"Update Collaborator_Group Set Group_Name = '"&amp;I373&amp;"' where Group_ID = '"&amp;A373&amp;"'; "</f>
        <v xml:space="preserve">Update Collaborator_Group Set Group_Name = 'SulimanM_JoufU' where Group_ID = 'CG00372'; </v>
      </c>
      <c r="T373" t="str">
        <f>"Update dcollab.collab_group Set group_code = '"&amp;I373&amp;"' where Group_ID = '"&amp;B373&amp;"'; "</f>
        <v xml:space="preserve">Update dcollab.collab_group Set group_code = 'SulimanM_JoufU' where Group_ID = 'CGRP00373'; </v>
      </c>
    </row>
    <row r="374" spans="1:20">
      <c r="A374" t="s">
        <v>3550</v>
      </c>
      <c r="B374" t="s">
        <v>8916</v>
      </c>
      <c r="D374" t="s">
        <v>4387</v>
      </c>
      <c r="E374" t="s">
        <v>8755</v>
      </c>
      <c r="F374">
        <f>LEN(I374)</f>
        <v>16</v>
      </c>
      <c r="G374" t="str">
        <f>VLOOKUP(E374,Organisation!$A$2:$C$499,3,FALSE)</f>
        <v>CORG00039</v>
      </c>
      <c r="H374" t="str">
        <f>VLOOKUP(G374,Organisation!$C$2:$E$318,3,FALSE)</f>
        <v>CSIRO</v>
      </c>
      <c r="I374" t="s">
        <v>10510</v>
      </c>
      <c r="J374">
        <f t="shared" si="5"/>
        <v>1</v>
      </c>
      <c r="L374" t="s">
        <v>3553</v>
      </c>
      <c r="M374" t="s">
        <v>3554</v>
      </c>
      <c r="N374" t="s">
        <v>14</v>
      </c>
      <c r="P374" t="s">
        <v>8866</v>
      </c>
      <c r="Q374" s="1">
        <v>1</v>
      </c>
      <c r="R374" t="str">
        <f>"Update Collaborator_Group Set Organisation = '"&amp;E374&amp;"' where Group_ID = '"&amp;A374&amp;"'; "</f>
        <v xml:space="preserve">Update Collaborator_Group Set Organisation = 'Commonwealth Scientific and Industrial Research' where Group_ID = 'CG00373'; </v>
      </c>
      <c r="S374" t="str">
        <f>"Update Collaborator_Group Set Group_Name = '"&amp;I374&amp;"' where Group_ID = '"&amp;A374&amp;"'; "</f>
        <v xml:space="preserve">Update Collaborator_Group Set Group_Name = 'RodriguezJ_CSIRO' where Group_ID = 'CG00373'; </v>
      </c>
      <c r="T374" t="str">
        <f>"Update dcollab.collab_group Set group_code = '"&amp;I374&amp;"' where Group_ID = '"&amp;B374&amp;"'; "</f>
        <v xml:space="preserve">Update dcollab.collab_group Set group_code = 'RodriguezJ_CSIRO' where Group_ID = 'CGRP00374'; </v>
      </c>
    </row>
    <row r="375" spans="1:20">
      <c r="A375" t="s">
        <v>1776</v>
      </c>
      <c r="B375" t="s">
        <v>9051</v>
      </c>
      <c r="D375" t="s">
        <v>1775</v>
      </c>
      <c r="E375" t="s">
        <v>8750</v>
      </c>
      <c r="F375">
        <f>LEN(I375)</f>
        <v>15</v>
      </c>
      <c r="G375" t="str">
        <f>VLOOKUP(E375,Organisation!$A$2:$C$499,3,FALSE)</f>
        <v>CORG00148</v>
      </c>
      <c r="H375" t="str">
        <f>VLOOKUP(G375,Organisation!$C$2:$E$318,3,FALSE)</f>
        <v>MSA</v>
      </c>
      <c r="I375" t="s">
        <v>10511</v>
      </c>
      <c r="J375">
        <f t="shared" si="5"/>
        <v>1</v>
      </c>
      <c r="L375" t="s">
        <v>8836</v>
      </c>
      <c r="M375" t="s">
        <v>1782</v>
      </c>
      <c r="N375" t="s">
        <v>55</v>
      </c>
      <c r="P375" t="s">
        <v>8866</v>
      </c>
      <c r="Q375" s="1">
        <v>1</v>
      </c>
      <c r="R375" t="str">
        <f>"Update Collaborator_Group Set Organisation = '"&amp;E375&amp;"' where Group_ID = '"&amp;A375&amp;"'; "</f>
        <v xml:space="preserve">Update Collaborator_Group Set Organisation = 'October University for Modern Sciences and Arts' where Group_ID = 'CG00374'; </v>
      </c>
      <c r="S375" t="str">
        <f>"Update Collaborator_Group Set Group_Name = '"&amp;I375&amp;"' where Group_ID = '"&amp;A375&amp;"'; "</f>
        <v xml:space="preserve">Update Collaborator_Group Set Group_Name = 'El-NewahieA_MSA' where Group_ID = 'CG00374'; </v>
      </c>
      <c r="T375" t="str">
        <f>"Update dcollab.collab_group Set group_code = '"&amp;I375&amp;"' where Group_ID = '"&amp;B375&amp;"'; "</f>
        <v xml:space="preserve">Update dcollab.collab_group Set group_code = 'El-NewahieA_MSA' where Group_ID = 'CGRP00375'; </v>
      </c>
    </row>
    <row r="376" spans="1:20">
      <c r="A376" t="s">
        <v>2310</v>
      </c>
      <c r="B376" t="s">
        <v>8888</v>
      </c>
      <c r="D376" t="s">
        <v>4865</v>
      </c>
      <c r="E376" t="s">
        <v>8752</v>
      </c>
      <c r="F376">
        <f>LEN(I376)</f>
        <v>9</v>
      </c>
      <c r="G376" t="str">
        <f>VLOOKUP(E376,Organisation!$A$2:$C$499,3,FALSE)</f>
        <v>CORG00014</v>
      </c>
      <c r="H376" t="str">
        <f>VLOOKUP(G376,Organisation!$C$2:$E$318,3,FALSE)</f>
        <v>ANU</v>
      </c>
      <c r="I376" t="s">
        <v>10512</v>
      </c>
      <c r="J376">
        <f t="shared" si="5"/>
        <v>1</v>
      </c>
      <c r="L376" t="s">
        <v>2313</v>
      </c>
      <c r="M376" t="s">
        <v>4869</v>
      </c>
      <c r="N376" t="s">
        <v>14</v>
      </c>
      <c r="P376" t="s">
        <v>8866</v>
      </c>
      <c r="Q376" s="1">
        <v>1</v>
      </c>
      <c r="R376" t="str">
        <f>"Update Collaborator_Group Set Organisation = '"&amp;E376&amp;"' where Group_ID = '"&amp;A376&amp;"'; "</f>
        <v xml:space="preserve">Update Collaborator_Group Set Organisation = 'Australian National University' where Group_ID = 'CG00375'; </v>
      </c>
      <c r="S376" t="str">
        <f>"Update Collaborator_Group Set Group_Name = '"&amp;I376&amp;"' where Group_ID = '"&amp;A376&amp;"'; "</f>
        <v xml:space="preserve">Update Collaborator_Group Set Group_Name = 'SpryC_ANU' where Group_ID = 'CG00375'; </v>
      </c>
      <c r="T376" t="str">
        <f>"Update dcollab.collab_group Set group_code = '"&amp;I376&amp;"' where Group_ID = '"&amp;B376&amp;"'; "</f>
        <v xml:space="preserve">Update dcollab.collab_group Set group_code = 'SpryC_ANU' where Group_ID = 'CGRP00376'; </v>
      </c>
    </row>
    <row r="377" spans="1:20">
      <c r="A377" t="s">
        <v>1062</v>
      </c>
      <c r="B377" t="s">
        <v>8889</v>
      </c>
      <c r="D377" t="s">
        <v>3400</v>
      </c>
      <c r="E377" t="s">
        <v>8752</v>
      </c>
      <c r="F377">
        <f>LEN(I377)</f>
        <v>11</v>
      </c>
      <c r="G377" t="str">
        <f>VLOOKUP(E377,Organisation!$A$2:$C$499,3,FALSE)</f>
        <v>CORG00014</v>
      </c>
      <c r="H377" t="str">
        <f>VLOOKUP(G377,Organisation!$C$2:$E$318,3,FALSE)</f>
        <v>ANU</v>
      </c>
      <c r="I377" t="s">
        <v>5787</v>
      </c>
      <c r="J377">
        <f t="shared" si="5"/>
        <v>1</v>
      </c>
      <c r="L377" t="s">
        <v>1067</v>
      </c>
      <c r="M377" t="s">
        <v>1068</v>
      </c>
      <c r="N377" t="s">
        <v>14</v>
      </c>
      <c r="P377" t="s">
        <v>8866</v>
      </c>
      <c r="Q377" s="1">
        <v>1</v>
      </c>
      <c r="R377" t="str">
        <f>"Update Collaborator_Group Set Organisation = '"&amp;E377&amp;"' where Group_ID = '"&amp;A377&amp;"'; "</f>
        <v xml:space="preserve">Update Collaborator_Group Set Organisation = 'Australian National University' where Group_ID = 'CG00376'; </v>
      </c>
      <c r="S377" t="str">
        <f>"Update Collaborator_Group Set Group_Name = '"&amp;I377&amp;"' where Group_ID = '"&amp;A377&amp;"'; "</f>
        <v xml:space="preserve">Update Collaborator_Group Set Group_Name = 'MalinsL_ANU' where Group_ID = 'CG00376'; </v>
      </c>
      <c r="T377" t="str">
        <f>"Update dcollab.collab_group Set group_code = '"&amp;I377&amp;"' where Group_ID = '"&amp;B377&amp;"'; "</f>
        <v xml:space="preserve">Update dcollab.collab_group Set group_code = 'MalinsL_ANU' where Group_ID = 'CGRP00377'; </v>
      </c>
    </row>
    <row r="378" spans="1:20">
      <c r="A378" t="s">
        <v>3828</v>
      </c>
      <c r="B378" t="s">
        <v>8890</v>
      </c>
      <c r="D378" t="s">
        <v>3827</v>
      </c>
      <c r="E378" t="s">
        <v>8752</v>
      </c>
      <c r="F378">
        <f>LEN(I378)</f>
        <v>12</v>
      </c>
      <c r="G378" t="str">
        <f>VLOOKUP(E378,Organisation!$A$2:$C$499,3,FALSE)</f>
        <v>CORG00014</v>
      </c>
      <c r="H378" t="str">
        <f>VLOOKUP(G378,Organisation!$C$2:$E$318,3,FALSE)</f>
        <v>ANU</v>
      </c>
      <c r="I378" t="s">
        <v>5785</v>
      </c>
      <c r="J378">
        <f t="shared" si="5"/>
        <v>1</v>
      </c>
      <c r="L378" t="s">
        <v>1067</v>
      </c>
      <c r="M378" t="s">
        <v>1068</v>
      </c>
      <c r="N378" t="s">
        <v>14</v>
      </c>
      <c r="P378" t="s">
        <v>8866</v>
      </c>
      <c r="Q378" s="1">
        <v>1</v>
      </c>
      <c r="R378" t="str">
        <f>"Update Collaborator_Group Set Organisation = '"&amp;E378&amp;"' where Group_ID = '"&amp;A378&amp;"'; "</f>
        <v xml:space="preserve">Update Collaborator_Group Set Organisation = 'Australian National University' where Group_ID = 'CG00377'; </v>
      </c>
      <c r="S378" t="str">
        <f>"Update Collaborator_Group Set Group_Name = '"&amp;I378&amp;"' where Group_ID = '"&amp;A378&amp;"'; "</f>
        <v xml:space="preserve">Update Collaborator_Group Set Group_Name = 'NitscheC_ANU' where Group_ID = 'CG00377'; </v>
      </c>
      <c r="T378" t="str">
        <f>"Update dcollab.collab_group Set group_code = '"&amp;I378&amp;"' where Group_ID = '"&amp;B378&amp;"'; "</f>
        <v xml:space="preserve">Update dcollab.collab_group Set group_code = 'NitscheC_ANU' where Group_ID = 'CGRP00378'; </v>
      </c>
    </row>
    <row r="379" spans="1:20">
      <c r="A379" t="s">
        <v>2516</v>
      </c>
      <c r="B379" t="s">
        <v>8911</v>
      </c>
      <c r="D379" t="s">
        <v>2515</v>
      </c>
      <c r="E379" t="s">
        <v>2519</v>
      </c>
      <c r="F379">
        <f>LEN(I379)</f>
        <v>11</v>
      </c>
      <c r="G379" t="str">
        <f>VLOOKUP(E379,Organisation!$A$2:$C$499,3,FALSE)</f>
        <v>CORG00035</v>
      </c>
      <c r="H379" t="str">
        <f>VLOOKUP(G379,Organisation!$C$2:$E$318,3,FALSE)</f>
        <v>CSHL</v>
      </c>
      <c r="I379" t="s">
        <v>10513</v>
      </c>
      <c r="J379">
        <f t="shared" si="5"/>
        <v>1</v>
      </c>
      <c r="L379" t="s">
        <v>2520</v>
      </c>
      <c r="M379" t="s">
        <v>2521</v>
      </c>
      <c r="N379" t="s">
        <v>8808</v>
      </c>
      <c r="P379" t="s">
        <v>8866</v>
      </c>
      <c r="Q379" s="1">
        <v>1</v>
      </c>
      <c r="R379" t="str">
        <f>"Update Collaborator_Group Set Organisation = '"&amp;E379&amp;"' where Group_ID = '"&amp;A379&amp;"'; "</f>
        <v xml:space="preserve">Update Collaborator_Group Set Organisation = 'Cold Springs Harbor Laboratory' where Group_ID = 'CG00378'; </v>
      </c>
      <c r="S379" t="str">
        <f>"Update Collaborator_Group Set Group_Name = '"&amp;I379&amp;"' where Group_ID = '"&amp;A379&amp;"'; "</f>
        <v xml:space="preserve">Update Collaborator_Group Set Group_Name = 'HomerJ_CSHL' where Group_ID = 'CG00378'; </v>
      </c>
      <c r="T379" t="str">
        <f>"Update dcollab.collab_group Set group_code = '"&amp;I379&amp;"' where Group_ID = '"&amp;B379&amp;"'; "</f>
        <v xml:space="preserve">Update dcollab.collab_group Set group_code = 'HomerJ_CSHL' where Group_ID = 'CGRP00379'; </v>
      </c>
    </row>
    <row r="380" spans="1:20">
      <c r="A380" t="s">
        <v>1419</v>
      </c>
      <c r="B380" t="s">
        <v>9247</v>
      </c>
      <c r="D380" t="s">
        <v>1418</v>
      </c>
      <c r="E380" t="s">
        <v>1422</v>
      </c>
      <c r="F380">
        <f>LEN(I380)</f>
        <v>16</v>
      </c>
      <c r="G380" t="str">
        <f>VLOOKUP(E380,Organisation!$A$2:$C$499,3,FALSE)</f>
        <v>CORG00292</v>
      </c>
      <c r="H380" t="str">
        <f>VLOOKUP(G380,Organisation!$C$2:$E$318,3,FALSE)</f>
        <v>UWollongong</v>
      </c>
      <c r="I380" t="s">
        <v>10514</v>
      </c>
      <c r="J380">
        <f t="shared" si="5"/>
        <v>1</v>
      </c>
      <c r="L380" t="s">
        <v>1423</v>
      </c>
      <c r="M380" t="s">
        <v>1424</v>
      </c>
      <c r="N380" t="s">
        <v>14</v>
      </c>
      <c r="P380" t="s">
        <v>8866</v>
      </c>
      <c r="Q380" s="1">
        <v>1</v>
      </c>
      <c r="R380" t="str">
        <f>"Update Collaborator_Group Set Organisation = '"&amp;E380&amp;"' where Group_ID = '"&amp;A380&amp;"'; "</f>
        <v xml:space="preserve">Update Collaborator_Group Set Organisation = 'University of Wollongong' where Group_ID = 'CG00379'; </v>
      </c>
      <c r="S380" t="str">
        <f>"Update Collaborator_Group Set Group_Name = '"&amp;I380&amp;"' where Group_ID = '"&amp;A380&amp;"'; "</f>
        <v xml:space="preserve">Update Collaborator_Group Set Group_Name = 'CunY_UWollongong' where Group_ID = 'CG00379'; </v>
      </c>
      <c r="T380" t="str">
        <f>"Update dcollab.collab_group Set group_code = '"&amp;I380&amp;"' where Group_ID = '"&amp;B380&amp;"'; "</f>
        <v xml:space="preserve">Update dcollab.collab_group Set group_code = 'CunY_UWollongong' where Group_ID = 'CGRP00380'; </v>
      </c>
    </row>
    <row r="381" spans="1:20">
      <c r="A381" t="s">
        <v>2683</v>
      </c>
      <c r="B381" t="s">
        <v>9235</v>
      </c>
      <c r="D381" t="s">
        <v>3758</v>
      </c>
      <c r="E381" t="s">
        <v>691</v>
      </c>
      <c r="F381">
        <f>LEN(I381)</f>
        <v>21</v>
      </c>
      <c r="G381" t="str">
        <f>VLOOKUP(E381,Organisation!$A$2:$C$499,3,FALSE)</f>
        <v>CORG00286</v>
      </c>
      <c r="H381" t="str">
        <f>VLOOKUP(G381,Organisation!$C$2:$E$318,3,FALSE)</f>
        <v>UVienna</v>
      </c>
      <c r="I381" t="s">
        <v>10515</v>
      </c>
      <c r="J381">
        <f t="shared" si="5"/>
        <v>1</v>
      </c>
      <c r="L381" t="s">
        <v>84</v>
      </c>
      <c r="M381" t="s">
        <v>2686</v>
      </c>
      <c r="N381" t="s">
        <v>694</v>
      </c>
      <c r="P381" t="s">
        <v>8866</v>
      </c>
      <c r="Q381" s="1">
        <v>1</v>
      </c>
      <c r="R381" t="str">
        <f>"Update Collaborator_Group Set Organisation = '"&amp;E381&amp;"' where Group_ID = '"&amp;A381&amp;"'; "</f>
        <v xml:space="preserve">Update Collaborator_Group Set Organisation = 'University of Vienna' where Group_ID = 'CG00380'; </v>
      </c>
      <c r="S381" t="str">
        <f>"Update Collaborator_Group Set Group_Name = '"&amp;I381&amp;"' where Group_ID = '"&amp;A381&amp;"'; "</f>
        <v xml:space="preserve">Update Collaborator_Group Set Group_Name = 'MuttenthalerM_UVienna' where Group_ID = 'CG00380'; </v>
      </c>
      <c r="T381" t="str">
        <f>"Update dcollab.collab_group Set group_code = '"&amp;I381&amp;"' where Group_ID = '"&amp;B381&amp;"'; "</f>
        <v xml:space="preserve">Update dcollab.collab_group Set group_code = 'MuttenthalerM_UVienna' where Group_ID = 'CGRP00381'; </v>
      </c>
    </row>
    <row r="382" spans="1:20">
      <c r="A382" t="s">
        <v>843</v>
      </c>
      <c r="B382" t="s">
        <v>9088</v>
      </c>
      <c r="D382" t="s">
        <v>842</v>
      </c>
      <c r="E382" t="s">
        <v>846</v>
      </c>
      <c r="F382">
        <f>LEN(I382)</f>
        <v>16</v>
      </c>
      <c r="G382" t="str">
        <f>VLOOKUP(E382,Organisation!$A$2:$C$499,3,FALSE)</f>
        <v>CORG00184</v>
      </c>
      <c r="H382" t="str">
        <f>VLOOKUP(G382,Organisation!$C$2:$E$318,3,FALSE)</f>
        <v>TULodz</v>
      </c>
      <c r="I382" t="s">
        <v>5627</v>
      </c>
      <c r="J382">
        <f t="shared" si="5"/>
        <v>1</v>
      </c>
      <c r="L382" t="s">
        <v>84</v>
      </c>
      <c r="M382" t="s">
        <v>847</v>
      </c>
      <c r="N382" t="s">
        <v>848</v>
      </c>
      <c r="P382" t="s">
        <v>8866</v>
      </c>
      <c r="Q382" s="1">
        <v>0</v>
      </c>
      <c r="R382" t="str">
        <f>"Update Collaborator_Group Set Organisation = '"&amp;E382&amp;"' where Group_ID = '"&amp;A382&amp;"'; "</f>
        <v xml:space="preserve">Update Collaborator_Group Set Organisation = 'Technical University of Lodz' where Group_ID = 'CG00381'; </v>
      </c>
      <c r="S382" t="str">
        <f>"Update Collaborator_Group Set Group_Name = '"&amp;I382&amp;"' where Group_ID = '"&amp;A382&amp;"'; "</f>
        <v xml:space="preserve">Update Collaborator_Group Set Group_Name = 'BojarskaJ_TULodz' where Group_ID = 'CG00381'; </v>
      </c>
      <c r="T382" t="str">
        <f>"Update dcollab.collab_group Set group_code = '"&amp;I382&amp;"' where Group_ID = '"&amp;B382&amp;"'; "</f>
        <v xml:space="preserve">Update dcollab.collab_group Set group_code = 'BojarskaJ_TULodz' where Group_ID = 'CGRP00382'; </v>
      </c>
    </row>
    <row r="383" spans="1:20">
      <c r="A383" t="s">
        <v>1963</v>
      </c>
      <c r="B383" t="s">
        <v>8894</v>
      </c>
      <c r="D383" t="s">
        <v>1962</v>
      </c>
      <c r="E383" t="s">
        <v>1967</v>
      </c>
      <c r="F383">
        <f>LEN(I383)</f>
        <v>19</v>
      </c>
      <c r="G383" t="str">
        <f>VLOOKUP(E383,Organisation!$A$2:$C$499,3,FALSE)</f>
        <v>CORG00018</v>
      </c>
      <c r="H383" t="str">
        <f>VLOOKUP(G383,Organisation!$C$2:$E$318,3,FALSE)</f>
        <v>BioCipher</v>
      </c>
      <c r="I383" t="s">
        <v>10516</v>
      </c>
      <c r="J383">
        <f t="shared" si="5"/>
        <v>1</v>
      </c>
      <c r="L383" t="s">
        <v>1968</v>
      </c>
      <c r="M383" t="s">
        <v>1969</v>
      </c>
      <c r="N383" t="s">
        <v>8808</v>
      </c>
      <c r="P383" t="s">
        <v>8866</v>
      </c>
      <c r="Q383" s="1">
        <v>1</v>
      </c>
      <c r="R383" t="str">
        <f>"Update Collaborator_Group Set Organisation = '"&amp;E383&amp;"' where Group_ID = '"&amp;A383&amp;"'; "</f>
        <v xml:space="preserve">Update Collaborator_Group Set Organisation = 'BioCipher LLC' where Group_ID = 'CG00382'; </v>
      </c>
      <c r="S383" t="str">
        <f>"Update Collaborator_Group Set Group_Name = '"&amp;I383&amp;"' where Group_ID = '"&amp;A383&amp;"'; "</f>
        <v xml:space="preserve">Update Collaborator_Group Set Group_Name = 'FitzhughA_BioCipher' where Group_ID = 'CG00382'; </v>
      </c>
      <c r="T383" t="str">
        <f>"Update dcollab.collab_group Set group_code = '"&amp;I383&amp;"' where Group_ID = '"&amp;B383&amp;"'; "</f>
        <v xml:space="preserve">Update dcollab.collab_group Set group_code = 'FitzhughA_BioCipher' where Group_ID = 'CGRP00383'; </v>
      </c>
    </row>
    <row r="384" spans="1:20">
      <c r="A384" t="s">
        <v>1929</v>
      </c>
      <c r="B384" t="s">
        <v>8974</v>
      </c>
      <c r="D384" t="s">
        <v>4944</v>
      </c>
      <c r="E384" t="s">
        <v>1932</v>
      </c>
      <c r="F384">
        <f>LEN(I384)</f>
        <v>12</v>
      </c>
      <c r="G384" t="str">
        <f>VLOOKUP(E384,Organisation!$A$2:$C$499,3,FALSE)</f>
        <v>CORG00089</v>
      </c>
      <c r="H384" t="str">
        <f>VLOOKUP(G384,Organisation!$C$2:$E$318,3,FALSE)</f>
        <v>IPBU</v>
      </c>
      <c r="I384" t="s">
        <v>10517</v>
      </c>
      <c r="J384">
        <f t="shared" si="5"/>
        <v>1</v>
      </c>
      <c r="L384" t="s">
        <v>84</v>
      </c>
      <c r="M384" t="s">
        <v>1933</v>
      </c>
      <c r="N384" t="s">
        <v>1934</v>
      </c>
      <c r="P384" t="s">
        <v>8866</v>
      </c>
      <c r="Q384" s="1">
        <v>1</v>
      </c>
      <c r="R384" t="str">
        <f>"Update Collaborator_Group Set Organisation = '"&amp;E384&amp;"' where Group_ID = '"&amp;A384&amp;"'; "</f>
        <v xml:space="preserve">Update Collaborator_Group Set Organisation = 'IPB University' where Group_ID = 'CG00383'; </v>
      </c>
      <c r="S384" t="str">
        <f>"Update Collaborator_Group Set Group_Name = '"&amp;I384&amp;"' where Group_ID = '"&amp;A384&amp;"'; "</f>
        <v xml:space="preserve">Update Collaborator_Group Set Group_Name = 'SugitaP_IPBU' where Group_ID = 'CG00383'; </v>
      </c>
      <c r="T384" t="str">
        <f>"Update dcollab.collab_group Set group_code = '"&amp;I384&amp;"' where Group_ID = '"&amp;B384&amp;"'; "</f>
        <v xml:space="preserve">Update dcollab.collab_group Set group_code = 'SugitaP_IPBU' where Group_ID = 'CGRP00384'; </v>
      </c>
    </row>
    <row r="385" spans="1:20">
      <c r="A385" t="s">
        <v>752</v>
      </c>
      <c r="B385" t="s">
        <v>8906</v>
      </c>
      <c r="D385" t="s">
        <v>751</v>
      </c>
      <c r="E385" t="s">
        <v>755</v>
      </c>
      <c r="F385">
        <f>LEN(I385)</f>
        <v>17</v>
      </c>
      <c r="G385" t="str">
        <f>VLOOKUP(E385,Organisation!$A$2:$C$499,3,FALSE)</f>
        <v>CORG00029</v>
      </c>
      <c r="H385" t="str">
        <f>VLOOKUP(G385,Organisation!$C$2:$E$318,3,FALSE)</f>
        <v>CarletonU</v>
      </c>
      <c r="I385" t="s">
        <v>10518</v>
      </c>
      <c r="J385">
        <f t="shared" si="5"/>
        <v>1</v>
      </c>
      <c r="L385" t="s">
        <v>756</v>
      </c>
      <c r="M385" t="s">
        <v>757</v>
      </c>
      <c r="N385" t="s">
        <v>75</v>
      </c>
      <c r="P385" t="s">
        <v>8866</v>
      </c>
      <c r="Q385" s="1">
        <v>1</v>
      </c>
      <c r="R385" t="str">
        <f>"Update Collaborator_Group Set Organisation = '"&amp;E385&amp;"' where Group_ID = '"&amp;A385&amp;"'; "</f>
        <v xml:space="preserve">Update Collaborator_Group Set Organisation = 'Carleton University' where Group_ID = 'CG00384'; </v>
      </c>
      <c r="S385" t="str">
        <f>"Update Collaborator_Group Set Group_Name = '"&amp;I385&amp;"' where Group_ID = '"&amp;A385&amp;"'; "</f>
        <v xml:space="preserve">Update Collaborator_Group Set Group_Name = 'BiggarK_CarletonU' where Group_ID = 'CG00384'; </v>
      </c>
      <c r="T385" t="str">
        <f>"Update dcollab.collab_group Set group_code = '"&amp;I385&amp;"' where Group_ID = '"&amp;B385&amp;"'; "</f>
        <v xml:space="preserve">Update dcollab.collab_group Set group_code = 'BiggarK_CarletonU' where Group_ID = 'CGRP00385'; </v>
      </c>
    </row>
    <row r="386" spans="1:20">
      <c r="A386" t="s">
        <v>727</v>
      </c>
      <c r="B386" t="s">
        <v>8917</v>
      </c>
      <c r="D386" t="s">
        <v>3250</v>
      </c>
      <c r="E386" t="s">
        <v>8755</v>
      </c>
      <c r="F386">
        <f>LEN(I386)</f>
        <v>13</v>
      </c>
      <c r="G386" t="str">
        <f>VLOOKUP(E386,Organisation!$A$2:$C$499,3,FALSE)</f>
        <v>CORG00039</v>
      </c>
      <c r="H386" t="str">
        <f>VLOOKUP(G386,Organisation!$C$2:$E$318,3,FALSE)</f>
        <v>CSIRO</v>
      </c>
      <c r="I386" t="s">
        <v>10519</v>
      </c>
      <c r="J386">
        <f t="shared" si="5"/>
        <v>1</v>
      </c>
      <c r="L386" t="s">
        <v>3254</v>
      </c>
      <c r="M386" t="s">
        <v>3255</v>
      </c>
      <c r="N386" t="s">
        <v>14</v>
      </c>
      <c r="O386" t="s">
        <v>5762</v>
      </c>
      <c r="P386" t="s">
        <v>8867</v>
      </c>
      <c r="Q386" s="1">
        <v>0</v>
      </c>
      <c r="R386" t="str">
        <f>"Update Collaborator_Group Set Organisation = '"&amp;E386&amp;"' where Group_ID = '"&amp;A386&amp;"'; "</f>
        <v xml:space="preserve">Update Collaborator_Group Set Organisation = 'Commonwealth Scientific and Industrial Research' where Group_ID = 'CG00385'; </v>
      </c>
      <c r="S386" t="str">
        <f>"Update Collaborator_Group Set Group_Name = '"&amp;I386&amp;"' where Group_ID = '"&amp;A386&amp;"'; "</f>
        <v xml:space="preserve">Update Collaborator_Group Set Group_Name = 'LocockK_CSIRO' where Group_ID = 'CG00385'; </v>
      </c>
      <c r="T386" t="str">
        <f>"Update dcollab.collab_group Set group_code = '"&amp;I386&amp;"' where Group_ID = '"&amp;B386&amp;"'; "</f>
        <v xml:space="preserve">Update dcollab.collab_group Set group_code = 'LocockK_CSIRO' where Group_ID = 'CGRP00386'; </v>
      </c>
    </row>
    <row r="387" spans="1:20">
      <c r="A387" t="s">
        <v>1758</v>
      </c>
      <c r="B387" t="s">
        <v>9211</v>
      </c>
      <c r="D387" t="s">
        <v>1757</v>
      </c>
      <c r="E387" t="s">
        <v>1760</v>
      </c>
      <c r="F387">
        <f>LEN(I387)</f>
        <v>19</v>
      </c>
      <c r="G387" t="str">
        <f>VLOOKUP(E387,Organisation!$A$2:$C$499,3,FALSE)</f>
        <v>CORG00266</v>
      </c>
      <c r="H387" t="str">
        <f>VLOOKUP(G387,Organisation!$C$2:$E$318,3,FALSE)</f>
        <v>USharijah</v>
      </c>
      <c r="I387" t="s">
        <v>10520</v>
      </c>
      <c r="J387">
        <f t="shared" ref="J387:J415" si="6">COUNTIF($I$2:$I$416,I387)</f>
        <v>1</v>
      </c>
      <c r="L387" t="s">
        <v>1761</v>
      </c>
      <c r="M387" t="s">
        <v>1762</v>
      </c>
      <c r="N387" t="s">
        <v>1763</v>
      </c>
      <c r="P387" t="s">
        <v>8866</v>
      </c>
      <c r="Q387" s="1">
        <v>1</v>
      </c>
      <c r="R387" t="str">
        <f>"Update Collaborator_Group Set Organisation = '"&amp;E387&amp;"' where Group_ID = '"&amp;A387&amp;"'; "</f>
        <v xml:space="preserve">Update Collaborator_Group Set Organisation = 'University of Sharjah' where Group_ID = 'CG00386'; </v>
      </c>
      <c r="S387" t="str">
        <f>"Update Collaborator_Group Set Group_Name = '"&amp;I387&amp;"' where Group_ID = '"&amp;A387&amp;"'; "</f>
        <v xml:space="preserve">Update Collaborator_Group Set Group_Name = 'El-GamalM_USharijah' where Group_ID = 'CG00386'; </v>
      </c>
      <c r="T387" t="str">
        <f>"Update dcollab.collab_group Set group_code = '"&amp;I387&amp;"' where Group_ID = '"&amp;B387&amp;"'; "</f>
        <v xml:space="preserve">Update dcollab.collab_group Set group_code = 'El-GamalM_USharijah' where Group_ID = 'CGRP00387'; </v>
      </c>
    </row>
    <row r="388" spans="1:20">
      <c r="A388" t="s">
        <v>1535</v>
      </c>
      <c r="B388" t="s">
        <v>9176</v>
      </c>
      <c r="D388" t="s">
        <v>1534</v>
      </c>
      <c r="E388" t="s">
        <v>1539</v>
      </c>
      <c r="F388">
        <f>LEN(I388)</f>
        <v>20</v>
      </c>
      <c r="G388" t="str">
        <f>VLOOKUP(E388,Organisation!$A$2:$C$499,3,FALSE)</f>
        <v>CORG00252</v>
      </c>
      <c r="H388" t="str">
        <f>VLOOKUP(G388,Organisation!$C$2:$E$318,3,FALSE)</f>
        <v>UoNewEngland</v>
      </c>
      <c r="I388" t="s">
        <v>10521</v>
      </c>
      <c r="J388">
        <f t="shared" si="6"/>
        <v>1</v>
      </c>
      <c r="L388" t="s">
        <v>1540</v>
      </c>
      <c r="M388" t="s">
        <v>1541</v>
      </c>
      <c r="N388" t="s">
        <v>8808</v>
      </c>
      <c r="P388" t="s">
        <v>8866</v>
      </c>
      <c r="Q388" s="1">
        <v>1</v>
      </c>
      <c r="R388" t="str">
        <f>"Update Collaborator_Group Set Organisation = '"&amp;E388&amp;"' where Group_ID = '"&amp;A388&amp;"'; "</f>
        <v xml:space="preserve">Update Collaborator_Group Set Organisation = 'University of New England' where Group_ID = 'CG00387'; </v>
      </c>
      <c r="S388" t="str">
        <f>"Update Collaborator_Group Set Group_Name = '"&amp;I388&amp;"' where Group_ID = '"&amp;A388&amp;"'; "</f>
        <v xml:space="preserve">Update Collaborator_Group Set Group_Name = 'DeveauA_UoNewEngland' where Group_ID = 'CG00387'; </v>
      </c>
      <c r="T388" t="str">
        <f>"Update dcollab.collab_group Set group_code = '"&amp;I388&amp;"' where Group_ID = '"&amp;B388&amp;"'; "</f>
        <v xml:space="preserve">Update dcollab.collab_group Set group_code = 'DeveauA_UoNewEngland' where Group_ID = 'CGRP00388'; </v>
      </c>
    </row>
    <row r="389" spans="1:20">
      <c r="A389" t="s">
        <v>2318</v>
      </c>
      <c r="B389" t="s">
        <v>9149</v>
      </c>
      <c r="D389" t="s">
        <v>5405</v>
      </c>
      <c r="E389" t="s">
        <v>2321</v>
      </c>
      <c r="F389">
        <f>LEN(I389)</f>
        <v>18</v>
      </c>
      <c r="G389" t="str">
        <f>VLOOKUP(E389,Organisation!$A$2:$C$499,3,FALSE)</f>
        <v>CORG00228</v>
      </c>
      <c r="H389" t="str">
        <f>VLOOKUP(G389,Organisation!$C$2:$E$318,3,FALSE)</f>
        <v>UDundee</v>
      </c>
      <c r="I389" t="s">
        <v>10522</v>
      </c>
      <c r="J389">
        <f t="shared" si="6"/>
        <v>1</v>
      </c>
      <c r="L389" t="s">
        <v>2322</v>
      </c>
      <c r="M389" t="s">
        <v>2323</v>
      </c>
      <c r="N389" t="s">
        <v>269</v>
      </c>
      <c r="P389" t="s">
        <v>8866</v>
      </c>
      <c r="Q389" s="1">
        <v>1</v>
      </c>
      <c r="R389" t="str">
        <f>"Update Collaborator_Group Set Organisation = '"&amp;E389&amp;"' where Group_ID = '"&amp;A389&amp;"'; "</f>
        <v xml:space="preserve">Update Collaborator_Group Set Organisation = 'University of Dundee' where Group_ID = 'CG00388'; </v>
      </c>
      <c r="S389" t="str">
        <f>"Update Collaborator_Group Set Group_Name = '"&amp;I389&amp;"' where Group_ID = '"&amp;A389&amp;"'; "</f>
        <v xml:space="preserve">Update Collaborator_Group Set Group_Name = 'ZachariaeU_UDundee' where Group_ID = 'CG00388'; </v>
      </c>
      <c r="T389" t="str">
        <f>"Update dcollab.collab_group Set group_code = '"&amp;I389&amp;"' where Group_ID = '"&amp;B389&amp;"'; "</f>
        <v xml:space="preserve">Update dcollab.collab_group Set group_code = 'ZachariaeU_UDundee' where Group_ID = 'CGRP00389'; </v>
      </c>
    </row>
    <row r="390" spans="1:20">
      <c r="A390" t="s">
        <v>2163</v>
      </c>
      <c r="B390" t="s">
        <v>9089</v>
      </c>
      <c r="D390" t="s">
        <v>3919</v>
      </c>
      <c r="E390" t="s">
        <v>2167</v>
      </c>
      <c r="F390">
        <f>LEN(I390)</f>
        <v>19</v>
      </c>
      <c r="G390" t="str">
        <f>VLOOKUP(E390,Organisation!$A$2:$C$499,3,FALSE)</f>
        <v>CORG00185</v>
      </c>
      <c r="H390" t="str">
        <f>VLOOKUP(G390,Organisation!$C$2:$E$318,3,FALSE)</f>
        <v>TUBraunschweig</v>
      </c>
      <c r="I390" t="s">
        <v>10523</v>
      </c>
      <c r="J390">
        <f t="shared" si="6"/>
        <v>1</v>
      </c>
      <c r="L390" t="s">
        <v>2168</v>
      </c>
      <c r="M390" t="s">
        <v>2169</v>
      </c>
      <c r="N390" t="s">
        <v>557</v>
      </c>
      <c r="P390" t="s">
        <v>8866</v>
      </c>
      <c r="Q390" s="1">
        <v>1</v>
      </c>
      <c r="R390" t="str">
        <f>"Update Collaborator_Group Set Organisation = '"&amp;E390&amp;"' where Group_ID = '"&amp;A390&amp;"'; "</f>
        <v xml:space="preserve">Update Collaborator_Group Set Organisation = 'Technische Universität Braunschweig' where Group_ID = 'CG00389'; </v>
      </c>
      <c r="S390" t="str">
        <f>"Update Collaborator_Group Set Group_Name = '"&amp;I390&amp;"' where Group_ID = '"&amp;A390&amp;"'; "</f>
        <v xml:space="preserve">Update Collaborator_Group Set Group_Name = 'OttI_TUBraunschweig' where Group_ID = 'CG00389'; </v>
      </c>
      <c r="T390" t="str">
        <f>"Update dcollab.collab_group Set group_code = '"&amp;I390&amp;"' where Group_ID = '"&amp;B390&amp;"'; "</f>
        <v xml:space="preserve">Update dcollab.collab_group Set group_code = 'OttI_TUBraunschweig' where Group_ID = 'CGRP00390'; </v>
      </c>
    </row>
    <row r="391" spans="1:20">
      <c r="A391" t="s">
        <v>403</v>
      </c>
      <c r="B391" t="s">
        <v>9159</v>
      </c>
      <c r="D391" t="s">
        <v>402</v>
      </c>
      <c r="E391" t="s">
        <v>5799</v>
      </c>
      <c r="F391">
        <f>LEN(I391)</f>
        <v>14</v>
      </c>
      <c r="G391" t="str">
        <f>VLOOKUP(E391,Organisation!$A$2:$C$499,3,FALSE)</f>
        <v>CORG00238</v>
      </c>
      <c r="H391" t="str">
        <f>VLOOKUP(G391,Organisation!$C$2:$E$318,3,FALSE)</f>
        <v>ULisbon</v>
      </c>
      <c r="I391" t="s">
        <v>10524</v>
      </c>
      <c r="J391">
        <f t="shared" si="6"/>
        <v>1</v>
      </c>
      <c r="L391" t="s">
        <v>8837</v>
      </c>
      <c r="M391" t="s">
        <v>407</v>
      </c>
      <c r="N391" t="s">
        <v>408</v>
      </c>
      <c r="P391" t="s">
        <v>8866</v>
      </c>
      <c r="Q391" s="1">
        <v>1</v>
      </c>
      <c r="R391" t="str">
        <f>"Update Collaborator_Group Set Organisation = '"&amp;E391&amp;"' where Group_ID = '"&amp;A391&amp;"'; "</f>
        <v xml:space="preserve">Update Collaborator_Group Set Organisation = 'University of Lisbon' where Group_ID = 'CG00390'; </v>
      </c>
      <c r="S391" t="str">
        <f>"Update Collaborator_Group Set Group_Name = '"&amp;I391&amp;"' where Group_ID = '"&amp;A391&amp;"'; "</f>
        <v xml:space="preserve">Update Collaborator_Group Set Group_Name = 'AlvesL_ULisbon' where Group_ID = 'CG00390'; </v>
      </c>
      <c r="T391" t="str">
        <f>"Update dcollab.collab_group Set group_code = '"&amp;I391&amp;"' where Group_ID = '"&amp;B391&amp;"'; "</f>
        <v xml:space="preserve">Update dcollab.collab_group Set group_code = 'AlvesL_ULisbon' where Group_ID = 'CGRP00391'; </v>
      </c>
    </row>
    <row r="392" spans="1:20">
      <c r="A392" t="s">
        <v>4578</v>
      </c>
      <c r="B392" t="s">
        <v>9008</v>
      </c>
      <c r="D392" t="s">
        <v>4584</v>
      </c>
      <c r="E392" t="s">
        <v>4580</v>
      </c>
      <c r="F392">
        <f>LEN(I392)</f>
        <v>16</v>
      </c>
      <c r="G392" t="str">
        <f>VLOOKUP(E392,Organisation!$A$2:$C$499,3,FALSE)</f>
        <v>CORG00115</v>
      </c>
      <c r="H392" t="str">
        <f>VLOOKUP(G392,Organisation!$C$2:$E$318,3,FALSE)</f>
        <v>McGill</v>
      </c>
      <c r="I392" t="s">
        <v>10546</v>
      </c>
      <c r="J392">
        <f t="shared" si="6"/>
        <v>1</v>
      </c>
      <c r="L392" t="s">
        <v>756</v>
      </c>
      <c r="M392" t="s">
        <v>4581</v>
      </c>
      <c r="N392" t="s">
        <v>75</v>
      </c>
      <c r="P392" t="s">
        <v>8866</v>
      </c>
      <c r="Q392" s="1">
        <v>1</v>
      </c>
      <c r="R392" t="str">
        <f>"Update Collaborator_Group Set Organisation = '"&amp;E392&amp;"' where Group_ID = '"&amp;A392&amp;"'; "</f>
        <v xml:space="preserve">Update Collaborator_Group Set Organisation = 'McGill University' where Group_ID = 'CG00391'; </v>
      </c>
      <c r="S392" t="str">
        <f>"Update Collaborator_Group Set Group_Name = '"&amp;I392&amp;"' where Group_ID = '"&amp;A392&amp;"'; "</f>
        <v xml:space="preserve">Update Collaborator_Group Set Group_Name = 'SchmeingM_McGill' where Group_ID = 'CG00391'; </v>
      </c>
      <c r="T392" t="str">
        <f>"Update dcollab.collab_group Set group_code = '"&amp;I392&amp;"' where Group_ID = '"&amp;B392&amp;"'; "</f>
        <v xml:space="preserve">Update dcollab.collab_group Set group_code = 'SchmeingM_McGill' where Group_ID = 'CGRP00392'; </v>
      </c>
    </row>
    <row r="393" spans="1:20">
      <c r="A393" t="s">
        <v>2457</v>
      </c>
      <c r="B393" t="s">
        <v>8934</v>
      </c>
      <c r="D393" t="s">
        <v>2456</v>
      </c>
      <c r="E393" t="s">
        <v>823</v>
      </c>
      <c r="F393">
        <f>LEN(I393)</f>
        <v>13</v>
      </c>
      <c r="G393" t="str">
        <f>VLOOKUP(E393,Organisation!$A$2:$C$499,3,FALSE)</f>
        <v>CORG00054</v>
      </c>
      <c r="H393" t="str">
        <f>VLOOKUP(G393,Organisation!$C$2:$E$318,3,FALSE)</f>
        <v>ETH</v>
      </c>
      <c r="I393" t="s">
        <v>5804</v>
      </c>
      <c r="J393">
        <f t="shared" si="6"/>
        <v>1</v>
      </c>
      <c r="L393" t="s">
        <v>2460</v>
      </c>
      <c r="M393" t="s">
        <v>2461</v>
      </c>
      <c r="N393" t="s">
        <v>253</v>
      </c>
      <c r="P393" t="s">
        <v>8866</v>
      </c>
      <c r="Q393" s="1">
        <v>1</v>
      </c>
      <c r="R393" t="str">
        <f>"Update Collaborator_Group Set Organisation = '"&amp;E393&amp;"' where Group_ID = '"&amp;A393&amp;"'; "</f>
        <v xml:space="preserve">Update Collaborator_Group Set Organisation = 'ETH Zurich' where Group_ID = 'CG00392'; </v>
      </c>
      <c r="S393" t="str">
        <f>"Update Collaborator_Group Set Group_Name = '"&amp;I393&amp;"' where Group_ID = '"&amp;A393&amp;"'; "</f>
        <v xml:space="preserve">Update Collaborator_Group Set Group_Name = 'HerrmannI_ETH' where Group_ID = 'CG00392'; </v>
      </c>
      <c r="T393" t="str">
        <f>"Update dcollab.collab_group Set group_code = '"&amp;I393&amp;"' where Group_ID = '"&amp;B393&amp;"'; "</f>
        <v xml:space="preserve">Update dcollab.collab_group Set group_code = 'HerrmannI_ETH' where Group_ID = 'CGRP00393'; </v>
      </c>
    </row>
    <row r="394" spans="1:20">
      <c r="A394" t="s">
        <v>2280</v>
      </c>
      <c r="B394" t="s">
        <v>9111</v>
      </c>
      <c r="D394" t="s">
        <v>2279</v>
      </c>
      <c r="E394" t="s">
        <v>2284</v>
      </c>
      <c r="F394">
        <f>LEN(I394)</f>
        <v>33</v>
      </c>
      <c r="G394" t="str">
        <f>VLOOKUP(E394,Organisation!$A$2:$C$499,3,FALSE)</f>
        <v>CORG00204</v>
      </c>
      <c r="H394" t="str">
        <f>VLOOKUP(G394,Organisation!$C$2:$E$318,3,FALSE)</f>
        <v>UStrasbourg</v>
      </c>
      <c r="I394" t="s">
        <v>10525</v>
      </c>
      <c r="J394">
        <f t="shared" si="6"/>
        <v>1</v>
      </c>
      <c r="L394" t="s">
        <v>2285</v>
      </c>
      <c r="M394" t="s">
        <v>2286</v>
      </c>
      <c r="N394" t="s">
        <v>704</v>
      </c>
      <c r="P394" t="s">
        <v>8866</v>
      </c>
      <c r="Q394" s="1">
        <v>1</v>
      </c>
      <c r="R394" t="str">
        <f>"Update Collaborator_Group Set Organisation = '"&amp;E394&amp;"' where Group_ID = '"&amp;A394&amp;"'; "</f>
        <v xml:space="preserve">Update Collaborator_Group Set Organisation = 'Université de Strasbourg' where Group_ID = 'CG00393'; </v>
      </c>
      <c r="S394" t="str">
        <f>"Update Collaborator_Group Set Group_Name = '"&amp;I394&amp;"' where Group_ID = '"&amp;A394&amp;"'; "</f>
        <v xml:space="preserve">Update Collaborator_Group Set Group_Name = 'Grosdemange-BilliardC_UStrasbourg' where Group_ID = 'CG00393'; </v>
      </c>
      <c r="T394" t="str">
        <f>"Update dcollab.collab_group Set group_code = '"&amp;I394&amp;"' where Group_ID = '"&amp;B394&amp;"'; "</f>
        <v xml:space="preserve">Update dcollab.collab_group Set group_code = 'Grosdemange-BilliardC_UStrasbourg' where Group_ID = 'CGRP00394'; </v>
      </c>
    </row>
    <row r="395" spans="1:20">
      <c r="A395" t="s">
        <v>551</v>
      </c>
      <c r="B395" t="s">
        <v>9153</v>
      </c>
      <c r="D395" t="s">
        <v>4625</v>
      </c>
      <c r="E395" t="s">
        <v>554</v>
      </c>
      <c r="F395">
        <f>LEN(I395)</f>
        <v>21</v>
      </c>
      <c r="G395" t="str">
        <f>VLOOKUP(E395,Organisation!$A$2:$C$499,3,FALSE)</f>
        <v>CORG00232</v>
      </c>
      <c r="H395" t="str">
        <f>VLOOKUP(G395,Organisation!$C$2:$E$318,3,FALSE)</f>
        <v>UGreifswald</v>
      </c>
      <c r="I395" t="s">
        <v>10526</v>
      </c>
      <c r="J395">
        <f t="shared" si="6"/>
        <v>1</v>
      </c>
      <c r="L395" t="s">
        <v>555</v>
      </c>
      <c r="M395" t="s">
        <v>556</v>
      </c>
      <c r="N395" t="s">
        <v>557</v>
      </c>
      <c r="P395" t="s">
        <v>8866</v>
      </c>
      <c r="Q395" s="1">
        <v>1</v>
      </c>
      <c r="R395" t="str">
        <f>"Update Collaborator_Group Set Organisation = '"&amp;E395&amp;"' where Group_ID = '"&amp;A395&amp;"'; "</f>
        <v xml:space="preserve">Update Collaborator_Group Set Organisation = 'University of Greifswald' where Group_ID = 'CG00394'; </v>
      </c>
      <c r="S395" t="str">
        <f>"Update Collaborator_Group Set Group_Name = '"&amp;I395&amp;"' where Group_ID = '"&amp;A395&amp;"'; "</f>
        <v xml:space="preserve">Update Collaborator_Group Set Group_Name = 'SchulzkeC_UGreifswald' where Group_ID = 'CG00394'; </v>
      </c>
      <c r="T395" t="str">
        <f>"Update dcollab.collab_group Set group_code = '"&amp;I395&amp;"' where Group_ID = '"&amp;B395&amp;"'; "</f>
        <v xml:space="preserve">Update dcollab.collab_group Set group_code = 'SchulzkeC_UGreifswald' where Group_ID = 'CGRP00395'; </v>
      </c>
    </row>
    <row r="396" spans="1:20">
      <c r="A396" t="s">
        <v>279</v>
      </c>
      <c r="B396" t="s">
        <v>8980</v>
      </c>
      <c r="D396" t="s">
        <v>2376</v>
      </c>
      <c r="E396" t="s">
        <v>283</v>
      </c>
      <c r="F396">
        <f>LEN(I396)</f>
        <v>19</v>
      </c>
      <c r="G396" t="str">
        <f>VLOOKUP(E396,Organisation!$A$2:$C$499,3,FALSE)</f>
        <v>CORG00092</v>
      </c>
      <c r="H396" t="str">
        <f>VLOOKUP(G396,Organisation!$C$2:$E$318,3,FALSE)</f>
        <v>JamiaHamdard</v>
      </c>
      <c r="I396" t="s">
        <v>10547</v>
      </c>
      <c r="J396">
        <f t="shared" si="6"/>
        <v>1</v>
      </c>
      <c r="L396" t="s">
        <v>2379</v>
      </c>
      <c r="M396" t="s">
        <v>285</v>
      </c>
      <c r="N396" t="s">
        <v>211</v>
      </c>
      <c r="P396" t="s">
        <v>8866</v>
      </c>
      <c r="Q396" s="1">
        <v>1</v>
      </c>
      <c r="R396" t="str">
        <f>"Update Collaborator_Group Set Organisation = '"&amp;E396&amp;"' where Group_ID = '"&amp;A396&amp;"'; "</f>
        <v xml:space="preserve">Update Collaborator_Group Set Organisation = 'Jamia Hamdard' where Group_ID = 'CG00395'; </v>
      </c>
      <c r="S396" t="str">
        <f>"Update Collaborator_Group Set Group_Name = '"&amp;I396&amp;"' where Group_ID = '"&amp;A396&amp;"'; "</f>
        <v xml:space="preserve">Update Collaborator_Group Set Group_Name = 'HamidH_JamiaHamdard' where Group_ID = 'CG00395'; </v>
      </c>
      <c r="T396" t="str">
        <f>"Update dcollab.collab_group Set group_code = '"&amp;I396&amp;"' where Group_ID = '"&amp;B396&amp;"'; "</f>
        <v xml:space="preserve">Update dcollab.collab_group Set group_code = 'HamidH_JamiaHamdard' where Group_ID = 'CGRP00396'; </v>
      </c>
    </row>
    <row r="397" spans="1:20">
      <c r="A397" t="s">
        <v>761</v>
      </c>
      <c r="B397" t="s">
        <v>9025</v>
      </c>
      <c r="D397" t="s">
        <v>5298</v>
      </c>
      <c r="E397" t="s">
        <v>517</v>
      </c>
      <c r="F397">
        <f>LEN(I397)</f>
        <v>17</v>
      </c>
      <c r="G397" t="str">
        <f>VLOOKUP(E397,Organisation!$A$2:$C$499,3,FALSE)</f>
        <v>CORG00125</v>
      </c>
      <c r="H397" t="str">
        <f>VLOOKUP(G397,Organisation!$C$2:$E$318,3,FALSE)</f>
        <v>Monash</v>
      </c>
      <c r="I397" t="s">
        <v>10527</v>
      </c>
      <c r="J397">
        <f t="shared" si="6"/>
        <v>1</v>
      </c>
      <c r="L397" t="s">
        <v>764</v>
      </c>
      <c r="M397" t="s">
        <v>765</v>
      </c>
      <c r="N397" t="s">
        <v>14</v>
      </c>
      <c r="P397" t="s">
        <v>8866</v>
      </c>
      <c r="Q397" s="1">
        <v>1</v>
      </c>
      <c r="R397" t="str">
        <f>"Update Collaborator_Group Set Organisation = '"&amp;E397&amp;"' where Group_ID = '"&amp;A397&amp;"'; "</f>
        <v xml:space="preserve">Update Collaborator_Group Set Organisation = 'Monash University' where Group_ID = 'CG00396'; </v>
      </c>
      <c r="S397" t="str">
        <f>"Update Collaborator_Group Set Group_Name = '"&amp;I397&amp;"' where Group_ID = '"&amp;A397&amp;"'; "</f>
        <v xml:space="preserve">Update Collaborator_Group Set Group_Name = 'WhittakerM_Monash' where Group_ID = 'CG00396'; </v>
      </c>
      <c r="T397" t="str">
        <f>"Update dcollab.collab_group Set group_code = '"&amp;I397&amp;"' where Group_ID = '"&amp;B397&amp;"'; "</f>
        <v xml:space="preserve">Update dcollab.collab_group Set group_code = 'WhittakerM_Monash' where Group_ID = 'CGRP00397'; </v>
      </c>
    </row>
    <row r="398" spans="1:20">
      <c r="A398" t="s">
        <v>2743</v>
      </c>
      <c r="B398" t="s">
        <v>9229</v>
      </c>
      <c r="D398" t="s">
        <v>4993</v>
      </c>
      <c r="E398" t="s">
        <v>2746</v>
      </c>
      <c r="F398">
        <f>LEN(I398)</f>
        <v>22</v>
      </c>
      <c r="G398" t="str">
        <f>VLOOKUP(E398,Organisation!$A$2:$C$499,3,FALSE)</f>
        <v>CORG00280</v>
      </c>
      <c r="H398" t="str">
        <f>VLOOKUP(G398,Organisation!$C$2:$E$318,3,FALSE)</f>
        <v>UWitwatersrand</v>
      </c>
      <c r="I398" t="s">
        <v>10528</v>
      </c>
      <c r="J398">
        <f t="shared" si="6"/>
        <v>1</v>
      </c>
      <c r="L398" t="s">
        <v>84</v>
      </c>
      <c r="M398" t="s">
        <v>4996</v>
      </c>
      <c r="N398" t="s">
        <v>609</v>
      </c>
      <c r="P398" t="s">
        <v>8866</v>
      </c>
      <c r="Q398" s="1">
        <v>1</v>
      </c>
      <c r="R398" t="str">
        <f>"Update Collaborator_Group Set Organisation = '"&amp;E398&amp;"' where Group_ID = '"&amp;A398&amp;"'; "</f>
        <v xml:space="preserve">Update Collaborator_Group Set Organisation = 'University of the Witwatersrand' where Group_ID = 'CG00397'; </v>
      </c>
      <c r="S398" t="str">
        <f>"Update Collaborator_Group Set Group_Name = '"&amp;I398&amp;"' where Group_ID = '"&amp;A398&amp;"'; "</f>
        <v xml:space="preserve">Update Collaborator_Group Set Group_Name = 'SwartsA_UWitwatersrand' where Group_ID = 'CG00397'; </v>
      </c>
      <c r="T398" t="str">
        <f>"Update dcollab.collab_group Set group_code = '"&amp;I398&amp;"' where Group_ID = '"&amp;B398&amp;"'; "</f>
        <v xml:space="preserve">Update dcollab.collab_group Set group_code = 'SwartsA_UWitwatersrand' where Group_ID = 'CGRP00398'; </v>
      </c>
    </row>
    <row r="399" spans="1:20">
      <c r="A399" t="s">
        <v>1398</v>
      </c>
      <c r="B399" t="s">
        <v>9187</v>
      </c>
      <c r="D399" t="s">
        <v>1397</v>
      </c>
      <c r="E399" t="s">
        <v>1294</v>
      </c>
      <c r="F399">
        <f>LEN(I399)</f>
        <v>15</v>
      </c>
      <c r="G399" t="str">
        <f>VLOOKUP(E399,Organisation!$A$2:$C$499,3,FALSE)</f>
        <v>CORG00260</v>
      </c>
      <c r="H399" t="str">
        <f>VLOOKUP(G399,Organisation!$C$2:$E$318,3,FALSE)</f>
        <v>UOtago</v>
      </c>
      <c r="I399" t="s">
        <v>10529</v>
      </c>
      <c r="J399">
        <f t="shared" si="6"/>
        <v>1</v>
      </c>
      <c r="L399" t="s">
        <v>84</v>
      </c>
      <c r="M399" t="s">
        <v>1400</v>
      </c>
      <c r="N399" t="s">
        <v>223</v>
      </c>
      <c r="P399" t="s">
        <v>8866</v>
      </c>
      <c r="Q399" s="1">
        <v>1</v>
      </c>
      <c r="R399" t="str">
        <f>"Update Collaborator_Group Set Organisation = '"&amp;E399&amp;"' where Group_ID = '"&amp;A399&amp;"'; "</f>
        <v xml:space="preserve">Update Collaborator_Group Set Organisation = 'University of Otago' where Group_ID = 'CG00398'; </v>
      </c>
      <c r="S399" t="str">
        <f>"Update Collaborator_Group Set Group_Name = '"&amp;I399&amp;"' where Group_ID = '"&amp;A399&amp;"'; "</f>
        <v xml:space="preserve">Update Collaborator_Group Set Group_Name = 'CrowleyJ_UOtago' where Group_ID = 'CG00398'; </v>
      </c>
      <c r="T399" t="str">
        <f>"Update dcollab.collab_group Set group_code = '"&amp;I399&amp;"' where Group_ID = '"&amp;B399&amp;"'; "</f>
        <v xml:space="preserve">Update dcollab.collab_group Set group_code = 'CrowleyJ_UOtago' where Group_ID = 'CGRP00399'; </v>
      </c>
    </row>
    <row r="400" spans="1:20">
      <c r="A400" t="s">
        <v>4409</v>
      </c>
      <c r="B400" t="s">
        <v>9238</v>
      </c>
      <c r="D400" t="s">
        <v>4408</v>
      </c>
      <c r="E400" t="s">
        <v>1154</v>
      </c>
      <c r="F400">
        <f>LEN(I400)</f>
        <v>15</v>
      </c>
      <c r="G400" t="str">
        <f>VLOOKUP(E400,Organisation!$A$2:$C$499,3,FALSE)</f>
        <v>CORG00288</v>
      </c>
      <c r="H400" t="str">
        <f>VLOOKUP(G400,Organisation!$C$2:$E$318,3,FALSE)</f>
        <v>UWarwick</v>
      </c>
      <c r="I400" t="s">
        <v>10544</v>
      </c>
      <c r="J400">
        <f t="shared" si="6"/>
        <v>1</v>
      </c>
      <c r="L400" t="s">
        <v>4412</v>
      </c>
      <c r="M400" t="s">
        <v>4413</v>
      </c>
      <c r="N400" t="s">
        <v>269</v>
      </c>
      <c r="P400" t="s">
        <v>8866</v>
      </c>
      <c r="Q400" s="1">
        <v>1</v>
      </c>
      <c r="R400" t="str">
        <f>"Update Collaborator_Group Set Organisation = '"&amp;E400&amp;"' where Group_ID = '"&amp;A400&amp;"'; "</f>
        <v xml:space="preserve">Update Collaborator_Group Set Organisation = 'University of Warwick' where Group_ID = 'CG00399'; </v>
      </c>
      <c r="S400" t="str">
        <f>"Update Collaborator_Group Set Group_Name = '"&amp;I400&amp;"' where Group_ID = '"&amp;A400&amp;"'; "</f>
        <v xml:space="preserve">Update Collaborator_Group Set Group_Name = 'RoperD_Uwarwick' where Group_ID = 'CG00399'; </v>
      </c>
      <c r="T400" t="str">
        <f>"Update dcollab.collab_group Set group_code = '"&amp;I400&amp;"' where Group_ID = '"&amp;B400&amp;"'; "</f>
        <v xml:space="preserve">Update dcollab.collab_group Set group_code = 'RoperD_Uwarwick' where Group_ID = 'CGRP00400'; </v>
      </c>
    </row>
    <row r="401" spans="1:20">
      <c r="A401" t="s">
        <v>5026</v>
      </c>
      <c r="B401" t="s">
        <v>8885</v>
      </c>
      <c r="D401" t="s">
        <v>5025</v>
      </c>
      <c r="E401" t="s">
        <v>5029</v>
      </c>
      <c r="F401">
        <f>LEN(I401)</f>
        <v>13</v>
      </c>
      <c r="G401" t="str">
        <f>VLOOKUP(E401,Organisation!$A$2:$C$499,3,FALSE)</f>
        <v>CORG00012</v>
      </c>
      <c r="H401" t="str">
        <f>VLOOKUP(G401,Organisation!$C$2:$E$318,3,FALSE)</f>
        <v>AtmiyaU</v>
      </c>
      <c r="I401" t="s">
        <v>10530</v>
      </c>
      <c r="J401">
        <f t="shared" si="6"/>
        <v>1</v>
      </c>
      <c r="L401" t="s">
        <v>73</v>
      </c>
      <c r="M401" t="s">
        <v>5030</v>
      </c>
      <c r="N401" t="s">
        <v>211</v>
      </c>
      <c r="P401" t="s">
        <v>8866</v>
      </c>
      <c r="Q401" s="1">
        <v>1</v>
      </c>
      <c r="R401" t="str">
        <f>"Update Collaborator_Group Set Organisation = '"&amp;E401&amp;"' where Group_ID = '"&amp;A401&amp;"'; "</f>
        <v xml:space="preserve">Update Collaborator_Group Set Organisation = 'Atmiya University' where Group_ID = 'CG00400'; </v>
      </c>
      <c r="S401" t="str">
        <f>"Update Collaborator_Group Set Group_Name = '"&amp;I401&amp;"' where Group_ID = '"&amp;A401&amp;"'; "</f>
        <v xml:space="preserve">Update Collaborator_Group Set Group_Name = 'TalaS_AtmiyaU' where Group_ID = 'CG00400'; </v>
      </c>
      <c r="T401" t="str">
        <f>"Update dcollab.collab_group Set group_code = '"&amp;I401&amp;"' where Group_ID = '"&amp;B401&amp;"'; "</f>
        <v xml:space="preserve">Update dcollab.collab_group Set group_code = 'TalaS_AtmiyaU' where Group_ID = 'CGRP00401'; </v>
      </c>
    </row>
    <row r="402" spans="1:20">
      <c r="A402" t="s">
        <v>1847</v>
      </c>
      <c r="B402" t="s">
        <v>9081</v>
      </c>
      <c r="D402" t="s">
        <v>1846</v>
      </c>
      <c r="E402" t="s">
        <v>1851</v>
      </c>
      <c r="F402">
        <f>LEN(I402)</f>
        <v>15</v>
      </c>
      <c r="G402" t="str">
        <f>VLOOKUP(E402,Organisation!$A$2:$C$499,3,FALSE)</f>
        <v>CORG00177</v>
      </c>
      <c r="H402" t="str">
        <f>VLOOKUP(G402,Organisation!$C$2:$E$318,3,FALSE)</f>
        <v>SJohnCHS</v>
      </c>
      <c r="I402" t="s">
        <v>10531</v>
      </c>
      <c r="J402">
        <f t="shared" si="6"/>
        <v>1</v>
      </c>
      <c r="L402" t="s">
        <v>1851</v>
      </c>
      <c r="M402" t="s">
        <v>1852</v>
      </c>
      <c r="N402" t="s">
        <v>14</v>
      </c>
      <c r="P402" t="s">
        <v>8866</v>
      </c>
      <c r="Q402" s="1">
        <v>1</v>
      </c>
      <c r="R402" t="str">
        <f>"Update Collaborator_Group Set Organisation = '"&amp;E402&amp;"' where Group_ID = '"&amp;A402&amp;"'; "</f>
        <v xml:space="preserve">Update Collaborator_Group Set Organisation = 'St John the Evangelist Catholic High School' where Group_ID = 'CG00401'; </v>
      </c>
      <c r="S402" t="str">
        <f>"Update Collaborator_Group Set Group_Name = '"&amp;I402&amp;"' where Group_ID = '"&amp;A402&amp;"'; "</f>
        <v xml:space="preserve">Update Collaborator_Group Set Group_Name = 'EltonT_SJohnCHS' where Group_ID = 'CG00401'; </v>
      </c>
      <c r="T402" t="str">
        <f>"Update dcollab.collab_group Set group_code = '"&amp;I402&amp;"' where Group_ID = '"&amp;B402&amp;"'; "</f>
        <v xml:space="preserve">Update dcollab.collab_group Set group_code = 'EltonT_SJohnCHS' where Group_ID = 'CGRP00402'; </v>
      </c>
    </row>
    <row r="403" spans="1:20">
      <c r="A403" t="s">
        <v>3684</v>
      </c>
      <c r="B403" t="s">
        <v>9107</v>
      </c>
      <c r="D403" t="s">
        <v>4054</v>
      </c>
      <c r="E403" t="s">
        <v>3687</v>
      </c>
      <c r="F403">
        <f>LEN(I403)</f>
        <v>18</v>
      </c>
      <c r="G403" t="str">
        <f>VLOOKUP(E403,Organisation!$A$2:$C$499,3,FALSE)</f>
        <v>CORG00201</v>
      </c>
      <c r="H403" t="str">
        <f>VLOOKUP(G403,Organisation!$C$2:$E$318,3,FALSE)</f>
        <v>UClermont</v>
      </c>
      <c r="I403" t="s">
        <v>10532</v>
      </c>
      <c r="J403">
        <f t="shared" si="6"/>
        <v>1</v>
      </c>
      <c r="L403" t="s">
        <v>84</v>
      </c>
      <c r="M403" t="s">
        <v>4057</v>
      </c>
      <c r="N403" t="s">
        <v>704</v>
      </c>
      <c r="P403" t="s">
        <v>8866</v>
      </c>
      <c r="Q403" s="1">
        <v>1</v>
      </c>
      <c r="R403" t="str">
        <f>"Update Collaborator_Group Set Organisation = '"&amp;E403&amp;"' where Group_ID = '"&amp;A403&amp;"'; "</f>
        <v xml:space="preserve">Update Collaborator_Group Set Organisation = 'Université Clermont Auvergne - ICCF UMR 6296' where Group_ID = 'CG00402'; </v>
      </c>
      <c r="S403" t="str">
        <f>"Update Collaborator_Group Set Group_Name = '"&amp;I403&amp;"' where Group_ID = '"&amp;A403&amp;"'; "</f>
        <v xml:space="preserve">Update Collaborator_Group Set Group_Name = 'PereiraE_UClermont' where Group_ID = 'CG00402'; </v>
      </c>
      <c r="T403" t="str">
        <f>"Update dcollab.collab_group Set group_code = '"&amp;I403&amp;"' where Group_ID = '"&amp;B403&amp;"'; "</f>
        <v xml:space="preserve">Update dcollab.collab_group Set group_code = 'PereiraE_UClermont' where Group_ID = 'CGRP00403'; </v>
      </c>
    </row>
    <row r="404" spans="1:20">
      <c r="A404" t="s">
        <v>3773</v>
      </c>
      <c r="B404" t="s">
        <v>8973</v>
      </c>
      <c r="D404" t="s">
        <v>3772</v>
      </c>
      <c r="E404" t="s">
        <v>3774</v>
      </c>
      <c r="F404">
        <f>LEN(I404)</f>
        <v>21</v>
      </c>
      <c r="G404" t="str">
        <f>VLOOKUP(E404,Organisation!$A$2:$C$499,3,FALSE)</f>
        <v>CORG00088</v>
      </c>
      <c r="H404" t="str">
        <f>VLOOKUP(G404,Organisation!$C$2:$E$318,3,FALSE)</f>
        <v>IntegralU</v>
      </c>
      <c r="I404" t="s">
        <v>10533</v>
      </c>
      <c r="J404">
        <f t="shared" si="6"/>
        <v>1</v>
      </c>
      <c r="L404" t="s">
        <v>84</v>
      </c>
      <c r="M404" t="s">
        <v>3775</v>
      </c>
      <c r="N404" t="s">
        <v>211</v>
      </c>
      <c r="P404" t="s">
        <v>8866</v>
      </c>
      <c r="Q404" s="1">
        <v>1</v>
      </c>
      <c r="R404" t="str">
        <f>"Update Collaborator_Group Set Organisation = '"&amp;E404&amp;"' where Group_ID = '"&amp;A404&amp;"'; "</f>
        <v xml:space="preserve">Update Collaborator_Group Set Organisation = 'Integral University' where Group_ID = 'CG00403'; </v>
      </c>
      <c r="S404" t="str">
        <f>"Update Collaborator_Group Set Group_Name = '"&amp;I404&amp;"' where Group_ID = '"&amp;A404&amp;"'; "</f>
        <v xml:space="preserve">Update Collaborator_Group Set Group_Name = 'NasibullahM_IntegralU' where Group_ID = 'CG00403'; </v>
      </c>
      <c r="T404" t="str">
        <f>"Update dcollab.collab_group Set group_code = '"&amp;I404&amp;"' where Group_ID = '"&amp;B404&amp;"'; "</f>
        <v xml:space="preserve">Update dcollab.collab_group Set group_code = 'NasibullahM_IntegralU' where Group_ID = 'CGRP00404'; </v>
      </c>
    </row>
    <row r="405" spans="1:20">
      <c r="B405" t="s">
        <v>9590</v>
      </c>
      <c r="D405" t="s">
        <v>807</v>
      </c>
      <c r="E405" t="s">
        <v>362</v>
      </c>
      <c r="F405">
        <f>LEN(I405)</f>
        <v>14</v>
      </c>
      <c r="G405" t="str">
        <f>VLOOKUP(E405,Organisation!$A$2:$C$499,3,FALSE)</f>
        <v>CORG00001</v>
      </c>
      <c r="H405" t="str">
        <f>VLOOKUP(G405,Organisation!$C$2:$E$318,3,FALSE)</f>
        <v>UQ</v>
      </c>
      <c r="I405" t="s">
        <v>8840</v>
      </c>
      <c r="J405">
        <f t="shared" si="6"/>
        <v>1</v>
      </c>
      <c r="L405" t="s">
        <v>416</v>
      </c>
      <c r="M405" t="s">
        <v>451</v>
      </c>
      <c r="N405" t="s">
        <v>14</v>
      </c>
      <c r="P405" t="s">
        <v>8866</v>
      </c>
      <c r="Q405" s="1"/>
      <c r="S405" t="str">
        <f>"Update Collaborator_Group Set Group_Name = '"&amp;I405&amp;"' where Group_ID = '"&amp;A405&amp;"'; "</f>
        <v xml:space="preserve">Update Collaborator_Group Set Group_Name = 'BlaskovichM_UQ' where Group_ID = ''; </v>
      </c>
      <c r="T405" t="str">
        <f>"Update dcollab.collab_group Set group_code = '"&amp;I405&amp;"' where Group_ID = '"&amp;B405&amp;"'; "</f>
        <v xml:space="preserve">Update dcollab.collab_group Set group_code = 'BlaskovichM_UQ' where Group_ID = 'CGRP00003'; </v>
      </c>
    </row>
    <row r="406" spans="1:20">
      <c r="A406" t="s">
        <v>10585</v>
      </c>
      <c r="B406" s="8" t="s">
        <v>10707</v>
      </c>
      <c r="D406" t="s">
        <v>10563</v>
      </c>
      <c r="E406" t="s">
        <v>362</v>
      </c>
      <c r="F406">
        <f t="shared" ref="F406:F415" si="7">LEN(I406)</f>
        <v>10</v>
      </c>
      <c r="G406" t="str">
        <f>VLOOKUP(E406,Organisation!$A$2:$C$499,3,FALSE)</f>
        <v>CORG00001</v>
      </c>
      <c r="H406" t="str">
        <f>VLOOKUP(G406,Organisation!$C$2:$E$318,3,FALSE)</f>
        <v>UQ</v>
      </c>
      <c r="I406" t="s">
        <v>10691</v>
      </c>
      <c r="J406">
        <f t="shared" si="6"/>
        <v>1</v>
      </c>
      <c r="L406" t="s">
        <v>2197</v>
      </c>
      <c r="M406" t="s">
        <v>10645</v>
      </c>
      <c r="N406" t="s">
        <v>14</v>
      </c>
      <c r="P406" t="s">
        <v>8866</v>
      </c>
    </row>
    <row r="407" spans="1:20">
      <c r="A407" t="s">
        <v>10579</v>
      </c>
      <c r="B407" s="8" t="s">
        <v>10708</v>
      </c>
      <c r="D407" t="s">
        <v>10556</v>
      </c>
      <c r="E407" t="s">
        <v>371</v>
      </c>
      <c r="F407">
        <f t="shared" si="7"/>
        <v>11</v>
      </c>
      <c r="G407" t="str">
        <f>VLOOKUP(E407,Organisation!$A$2:$C$499,3,FALSE)</f>
        <v>CORG00156</v>
      </c>
      <c r="H407" t="str">
        <f>VLOOKUP(G407,Organisation!$C$2:$E$318,3,FALSE)</f>
        <v>QUT</v>
      </c>
      <c r="I407" t="s">
        <v>10692</v>
      </c>
      <c r="J407">
        <f t="shared" si="6"/>
        <v>1</v>
      </c>
      <c r="L407" t="s">
        <v>4759</v>
      </c>
      <c r="M407" t="s">
        <v>10640</v>
      </c>
      <c r="N407" t="s">
        <v>14</v>
      </c>
      <c r="P407" t="s">
        <v>8866</v>
      </c>
    </row>
    <row r="408" spans="1:20">
      <c r="A408" t="s">
        <v>10582</v>
      </c>
      <c r="B408" s="8" t="s">
        <v>10709</v>
      </c>
      <c r="D408" t="s">
        <v>10559</v>
      </c>
      <c r="E408" t="s">
        <v>137</v>
      </c>
      <c r="F408">
        <f t="shared" si="7"/>
        <v>16</v>
      </c>
      <c r="G408" t="str">
        <f>VLOOKUP(E408,Organisation!$A$2:$C$499,3,FALSE)</f>
        <v>CORG00053</v>
      </c>
      <c r="H408" t="str">
        <f>VLOOKUP(G408,Organisation!$C$2:$E$318,3,FALSE)</f>
        <v>EgPetrolRI</v>
      </c>
      <c r="I408" t="s">
        <v>10693</v>
      </c>
      <c r="J408">
        <f t="shared" si="6"/>
        <v>1</v>
      </c>
      <c r="L408" t="s">
        <v>84</v>
      </c>
      <c r="M408" t="s">
        <v>10642</v>
      </c>
      <c r="N408" t="s">
        <v>55</v>
      </c>
      <c r="P408" t="s">
        <v>8866</v>
      </c>
    </row>
    <row r="409" spans="1:20">
      <c r="A409" t="s">
        <v>10581</v>
      </c>
      <c r="B409" s="8" t="s">
        <v>10710</v>
      </c>
      <c r="D409" t="s">
        <v>10558</v>
      </c>
      <c r="E409" t="s">
        <v>137</v>
      </c>
      <c r="F409">
        <f t="shared" si="7"/>
        <v>17</v>
      </c>
      <c r="G409" t="str">
        <f>VLOOKUP(E409,Organisation!$A$2:$C$499,3,FALSE)</f>
        <v>CORG00053</v>
      </c>
      <c r="H409" t="str">
        <f>VLOOKUP(G409,Organisation!$C$2:$E$318,3,FALSE)</f>
        <v>EgPetrolRI</v>
      </c>
      <c r="I409" t="s">
        <v>10694</v>
      </c>
      <c r="J409">
        <f t="shared" si="6"/>
        <v>1</v>
      </c>
      <c r="L409" t="s">
        <v>84</v>
      </c>
      <c r="M409" t="s">
        <v>10642</v>
      </c>
      <c r="N409" t="s">
        <v>55</v>
      </c>
      <c r="P409" t="s">
        <v>8866</v>
      </c>
    </row>
    <row r="410" spans="1:20">
      <c r="A410" t="s">
        <v>10580</v>
      </c>
      <c r="B410" s="8" t="s">
        <v>10711</v>
      </c>
      <c r="D410" t="s">
        <v>10557</v>
      </c>
      <c r="E410" t="s">
        <v>10628</v>
      </c>
      <c r="F410">
        <f t="shared" si="7"/>
        <v>20</v>
      </c>
      <c r="G410" t="str">
        <f>VLOOKUP(E410,Organisation!$A$2:$C$499,3,FALSE)</f>
        <v>CORG00315</v>
      </c>
      <c r="H410" t="str">
        <f>VLOOKUP(G410,Organisation!$C$2:$E$318,3,FALSE)</f>
        <v>MykGogolU</v>
      </c>
      <c r="I410" t="s">
        <v>10695</v>
      </c>
      <c r="J410">
        <f t="shared" si="6"/>
        <v>1</v>
      </c>
      <c r="L410" t="s">
        <v>10633</v>
      </c>
      <c r="M410" t="s">
        <v>10641</v>
      </c>
      <c r="N410" t="s">
        <v>427</v>
      </c>
      <c r="P410" t="s">
        <v>8866</v>
      </c>
    </row>
    <row r="411" spans="1:20">
      <c r="A411" t="s">
        <v>10583</v>
      </c>
      <c r="B411" s="8" t="s">
        <v>10712</v>
      </c>
      <c r="D411" t="s">
        <v>10560</v>
      </c>
      <c r="E411" t="s">
        <v>10629</v>
      </c>
      <c r="F411">
        <f t="shared" si="7"/>
        <v>11</v>
      </c>
      <c r="G411" t="str">
        <f>VLOOKUP(E411,Organisation!$A$2:$C$499,3,FALSE)</f>
        <v>CORG00316</v>
      </c>
      <c r="H411" t="str">
        <f>VLOOKUP(G411,Organisation!$C$2:$E$318,3,FALSE)</f>
        <v>KafU</v>
      </c>
      <c r="I411" t="s">
        <v>10696</v>
      </c>
      <c r="J411">
        <f t="shared" si="6"/>
        <v>1</v>
      </c>
      <c r="L411" t="s">
        <v>84</v>
      </c>
      <c r="M411" t="s">
        <v>10643</v>
      </c>
      <c r="N411" t="s">
        <v>55</v>
      </c>
      <c r="P411" t="s">
        <v>8866</v>
      </c>
    </row>
    <row r="412" spans="1:20">
      <c r="A412" t="s">
        <v>10584</v>
      </c>
      <c r="B412" s="8" t="s">
        <v>10713</v>
      </c>
      <c r="D412" t="s">
        <v>10566</v>
      </c>
      <c r="E412" t="s">
        <v>10630</v>
      </c>
      <c r="F412">
        <f t="shared" si="7"/>
        <v>17</v>
      </c>
      <c r="G412" t="str">
        <f>VLOOKUP(E412,Organisation!$A$2:$C$499,3,FALSE)</f>
        <v>CORG00317</v>
      </c>
      <c r="H412" t="str">
        <f>VLOOKUP(G412,Organisation!$C$2:$E$318,3,FALSE)</f>
        <v>BeniSuefU</v>
      </c>
      <c r="I412" t="s">
        <v>10718</v>
      </c>
      <c r="J412">
        <f t="shared" si="6"/>
        <v>1</v>
      </c>
      <c r="L412" t="s">
        <v>10635</v>
      </c>
      <c r="M412" t="s">
        <v>10648</v>
      </c>
      <c r="N412" t="s">
        <v>55</v>
      </c>
      <c r="P412" t="s">
        <v>8866</v>
      </c>
    </row>
    <row r="413" spans="1:20">
      <c r="A413" t="s">
        <v>10586</v>
      </c>
      <c r="B413" s="8" t="s">
        <v>10714</v>
      </c>
      <c r="D413" t="s">
        <v>10568</v>
      </c>
      <c r="E413" t="s">
        <v>362</v>
      </c>
      <c r="F413">
        <f t="shared" si="7"/>
        <v>13</v>
      </c>
      <c r="G413" t="str">
        <f>VLOOKUP(E413,Organisation!$A$2:$C$499,3,FALSE)</f>
        <v>CORG00001</v>
      </c>
      <c r="H413" t="str">
        <f>VLOOKUP(G413,Organisation!$C$2:$E$318,3,FALSE)</f>
        <v>UQ</v>
      </c>
      <c r="I413" t="s">
        <v>10697</v>
      </c>
      <c r="J413">
        <f t="shared" si="6"/>
        <v>1</v>
      </c>
      <c r="L413" t="s">
        <v>10636</v>
      </c>
      <c r="M413" t="s">
        <v>10649</v>
      </c>
      <c r="N413" t="s">
        <v>14</v>
      </c>
      <c r="P413" t="s">
        <v>8866</v>
      </c>
    </row>
    <row r="414" spans="1:20">
      <c r="A414" t="s">
        <v>10587</v>
      </c>
      <c r="B414" s="8" t="s">
        <v>10715</v>
      </c>
      <c r="D414" t="s">
        <v>10572</v>
      </c>
      <c r="E414" t="s">
        <v>616</v>
      </c>
      <c r="F414">
        <f t="shared" si="7"/>
        <v>14</v>
      </c>
      <c r="G414" t="str">
        <f>VLOOKUP(E414,Organisation!$A$2:$C$499,3,FALSE)</f>
        <v>CORG00102</v>
      </c>
      <c r="H414" t="str">
        <f>VLOOKUP(G414,Organisation!$C$2:$E$318,3,FALSE)</f>
        <v>LaTrobe</v>
      </c>
      <c r="I414" t="s">
        <v>10717</v>
      </c>
      <c r="J414">
        <f t="shared" si="6"/>
        <v>1</v>
      </c>
      <c r="L414" t="s">
        <v>10637</v>
      </c>
      <c r="M414" t="s">
        <v>10651</v>
      </c>
      <c r="N414" t="s">
        <v>14</v>
      </c>
      <c r="P414" t="s">
        <v>8866</v>
      </c>
    </row>
    <row r="415" spans="1:20">
      <c r="A415" t="s">
        <v>10588</v>
      </c>
      <c r="B415" s="8" t="s">
        <v>10716</v>
      </c>
      <c r="D415" t="s">
        <v>10577</v>
      </c>
      <c r="E415" t="s">
        <v>10632</v>
      </c>
      <c r="F415">
        <f t="shared" si="7"/>
        <v>11</v>
      </c>
      <c r="G415" t="str">
        <f>VLOOKUP(E415,Organisation!$A$2:$C$499,3,FALSE)</f>
        <v>CORG00318</v>
      </c>
      <c r="H415" t="str">
        <f>VLOOKUP(G415,Organisation!$C$2:$E$318,3,FALSE)</f>
        <v>CSU</v>
      </c>
      <c r="I415" t="s">
        <v>10698</v>
      </c>
      <c r="J415">
        <f t="shared" si="6"/>
        <v>1</v>
      </c>
      <c r="L415" t="s">
        <v>10639</v>
      </c>
      <c r="M415" t="s">
        <v>10654</v>
      </c>
      <c r="N415" t="s">
        <v>14</v>
      </c>
      <c r="P415" t="s">
        <v>8866</v>
      </c>
    </row>
  </sheetData>
  <autoFilter ref="B1:U415" xr:uid="{10C4F77D-002F-49E4-925F-571E5FA489CF}"/>
  <sortState xmlns:xlrd2="http://schemas.microsoft.com/office/spreadsheetml/2017/richdata2" ref="B2:U405">
    <sortCondition ref="C2:C405"/>
  </sortState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AB4C-29C0-442C-A9AD-E83B0D97173E}">
  <dimension ref="A1:G328"/>
  <sheetViews>
    <sheetView workbookViewId="0">
      <pane ySplit="1" topLeftCell="A221" activePane="bottomLeft" state="frozen"/>
      <selection pane="bottomLeft" activeCell="U245" sqref="U245"/>
    </sheetView>
  </sheetViews>
  <sheetFormatPr defaultRowHeight="14.4"/>
  <cols>
    <col min="1" max="1" width="73.33203125" bestFit="1" customWidth="1"/>
    <col min="2" max="2" width="4.88671875" customWidth="1"/>
    <col min="3" max="3" width="14.5546875" bestFit="1" customWidth="1"/>
    <col min="4" max="4" width="12.6640625" bestFit="1" customWidth="1"/>
    <col min="5" max="5" width="25.5546875" bestFit="1" customWidth="1"/>
    <col min="6" max="6" width="2" bestFit="1" customWidth="1"/>
    <col min="7" max="7" width="22.6640625" bestFit="1" customWidth="1"/>
  </cols>
  <sheetData>
    <row r="1" spans="1:7">
      <c r="A1" s="4" t="s">
        <v>8806</v>
      </c>
      <c r="B1" s="4" t="s">
        <v>8810</v>
      </c>
      <c r="C1" s="6" t="s">
        <v>9274</v>
      </c>
      <c r="D1" s="4" t="s">
        <v>8807</v>
      </c>
      <c r="E1" s="4" t="s">
        <v>8803</v>
      </c>
      <c r="F1" s="4" t="s">
        <v>8811</v>
      </c>
      <c r="G1" s="4" t="s">
        <v>8805</v>
      </c>
    </row>
    <row r="2" spans="1:7">
      <c r="A2" t="s">
        <v>3177</v>
      </c>
      <c r="B2">
        <f>COUNTIF($A$2:$A$499,A2)</f>
        <v>1</v>
      </c>
      <c r="C2" t="s">
        <v>9276</v>
      </c>
      <c r="D2" t="s">
        <v>8454</v>
      </c>
      <c r="E2" t="s">
        <v>8518</v>
      </c>
      <c r="F2">
        <f>COUNTIF($E$2:$E$314,E2)</f>
        <v>1</v>
      </c>
      <c r="G2" t="s">
        <v>8808</v>
      </c>
    </row>
    <row r="3" spans="1:7">
      <c r="A3" t="s">
        <v>8751</v>
      </c>
      <c r="B3">
        <f>COUNTIF($A$2:$A$499,A3)</f>
        <v>1</v>
      </c>
      <c r="C3" t="s">
        <v>9277</v>
      </c>
      <c r="D3" t="s">
        <v>8454</v>
      </c>
      <c r="E3" t="s">
        <v>8507</v>
      </c>
      <c r="F3">
        <f>COUNTIF($E$2:$E$314,E3)</f>
        <v>1</v>
      </c>
      <c r="G3" t="s">
        <v>459</v>
      </c>
    </row>
    <row r="4" spans="1:7">
      <c r="A4" t="s">
        <v>199</v>
      </c>
      <c r="B4">
        <f>COUNTIF($A$2:$A$499,A4)</f>
        <v>1</v>
      </c>
      <c r="C4" t="s">
        <v>9278</v>
      </c>
      <c r="D4" t="s">
        <v>8454</v>
      </c>
      <c r="E4" t="s">
        <v>8519</v>
      </c>
      <c r="F4">
        <f>COUNTIF($E$2:$E$314,E4)</f>
        <v>1</v>
      </c>
      <c r="G4" t="s">
        <v>55</v>
      </c>
    </row>
    <row r="5" spans="1:7">
      <c r="A5" t="s">
        <v>4147</v>
      </c>
      <c r="B5">
        <f>COUNTIF($A$2:$A$499,A5)</f>
        <v>1</v>
      </c>
      <c r="C5" t="s">
        <v>9279</v>
      </c>
      <c r="D5" t="s">
        <v>8454</v>
      </c>
      <c r="E5" t="s">
        <v>8520</v>
      </c>
      <c r="F5">
        <f>COUNTIF($E$2:$E$314,E5)</f>
        <v>1</v>
      </c>
      <c r="G5" t="s">
        <v>704</v>
      </c>
    </row>
    <row r="6" spans="1:7">
      <c r="A6" t="s">
        <v>160</v>
      </c>
      <c r="B6">
        <f>COUNTIF($A$2:$A$499,A6)</f>
        <v>1</v>
      </c>
      <c r="C6" t="s">
        <v>9280</v>
      </c>
      <c r="D6" t="s">
        <v>8454</v>
      </c>
      <c r="E6" t="s">
        <v>8521</v>
      </c>
      <c r="F6">
        <f>COUNTIF($E$2:$E$314,E6)</f>
        <v>1</v>
      </c>
      <c r="G6" t="s">
        <v>55</v>
      </c>
    </row>
    <row r="7" spans="1:7">
      <c r="A7" t="s">
        <v>1771</v>
      </c>
      <c r="B7">
        <f>COUNTIF($A$2:$A$499,A7)</f>
        <v>1</v>
      </c>
      <c r="C7" t="s">
        <v>9281</v>
      </c>
      <c r="D7" t="s">
        <v>8454</v>
      </c>
      <c r="E7" t="s">
        <v>8522</v>
      </c>
      <c r="F7">
        <f>COUNTIF($E$2:$E$314,E7)</f>
        <v>1</v>
      </c>
      <c r="G7" t="s">
        <v>55</v>
      </c>
    </row>
    <row r="8" spans="1:7">
      <c r="A8" t="s">
        <v>3805</v>
      </c>
      <c r="B8">
        <f>COUNTIF($A$2:$A$499,A8)</f>
        <v>1</v>
      </c>
      <c r="C8" t="s">
        <v>9282</v>
      </c>
      <c r="D8" t="s">
        <v>8454</v>
      </c>
      <c r="E8" t="s">
        <v>8523</v>
      </c>
      <c r="F8">
        <f>COUNTIF($E$2:$E$314,E8)</f>
        <v>1</v>
      </c>
      <c r="G8" t="s">
        <v>2674</v>
      </c>
    </row>
    <row r="9" spans="1:7">
      <c r="A9" t="s">
        <v>324</v>
      </c>
      <c r="B9">
        <f>COUNTIF($A$2:$A$499,A9)</f>
        <v>1</v>
      </c>
      <c r="C9" t="s">
        <v>9283</v>
      </c>
      <c r="D9" t="s">
        <v>8454</v>
      </c>
      <c r="E9" t="s">
        <v>8524</v>
      </c>
      <c r="F9">
        <f>COUNTIF($E$2:$E$314,E9)</f>
        <v>1</v>
      </c>
      <c r="G9" t="s">
        <v>8808</v>
      </c>
    </row>
    <row r="10" spans="1:7">
      <c r="A10" t="s">
        <v>5459</v>
      </c>
      <c r="B10">
        <f>COUNTIF($A$2:$A$499,A10)</f>
        <v>1</v>
      </c>
      <c r="C10" t="s">
        <v>9284</v>
      </c>
      <c r="D10" t="s">
        <v>8454</v>
      </c>
      <c r="E10" t="s">
        <v>8525</v>
      </c>
      <c r="F10">
        <f>COUNTIF($E$2:$E$314,E10)</f>
        <v>1</v>
      </c>
      <c r="G10" t="s">
        <v>8808</v>
      </c>
    </row>
    <row r="11" spans="1:7">
      <c r="A11" t="s">
        <v>92</v>
      </c>
      <c r="B11">
        <f>COUNTIF($A$2:$A$499,A11)</f>
        <v>1</v>
      </c>
      <c r="C11" t="s">
        <v>9285</v>
      </c>
      <c r="D11" t="s">
        <v>8454</v>
      </c>
      <c r="E11" t="s">
        <v>8526</v>
      </c>
      <c r="F11">
        <f>COUNTIF($E$2:$E$314,E11)</f>
        <v>1</v>
      </c>
      <c r="G11" t="s">
        <v>55</v>
      </c>
    </row>
    <row r="12" spans="1:7">
      <c r="A12" t="s">
        <v>5029</v>
      </c>
      <c r="B12">
        <f>COUNTIF($A$2:$A$499,A12)</f>
        <v>1</v>
      </c>
      <c r="C12" t="s">
        <v>9286</v>
      </c>
      <c r="D12" t="s">
        <v>8454</v>
      </c>
      <c r="E12" t="s">
        <v>8692</v>
      </c>
      <c r="F12">
        <f>COUNTIF($E$2:$E$314,E12)</f>
        <v>1</v>
      </c>
      <c r="G12" t="s">
        <v>211</v>
      </c>
    </row>
    <row r="13" spans="1:7">
      <c r="A13" t="s">
        <v>1146</v>
      </c>
      <c r="B13">
        <f>COUNTIF($A$2:$A$499,A13)</f>
        <v>1</v>
      </c>
      <c r="C13" t="s">
        <v>9287</v>
      </c>
      <c r="D13" t="s">
        <v>8454</v>
      </c>
      <c r="E13" t="s">
        <v>8691</v>
      </c>
      <c r="F13">
        <f>COUNTIF($E$2:$E$314,E13)</f>
        <v>1</v>
      </c>
      <c r="G13" t="s">
        <v>223</v>
      </c>
    </row>
    <row r="14" spans="1:7">
      <c r="A14" t="s">
        <v>8752</v>
      </c>
      <c r="B14">
        <f>COUNTIF($A$2:$A$499,A14)</f>
        <v>1</v>
      </c>
      <c r="C14" t="s">
        <v>9288</v>
      </c>
      <c r="D14" t="s">
        <v>8454</v>
      </c>
      <c r="E14" t="s">
        <v>8457</v>
      </c>
      <c r="F14">
        <f>COUNTIF($E$2:$E$314,E14)</f>
        <v>1</v>
      </c>
      <c r="G14" t="s">
        <v>14</v>
      </c>
    </row>
    <row r="15" spans="1:7">
      <c r="A15" t="s">
        <v>4192</v>
      </c>
      <c r="B15">
        <f>COUNTIF($A$2:$A$499,A15)</f>
        <v>1</v>
      </c>
      <c r="C15" t="s">
        <v>9289</v>
      </c>
      <c r="D15" t="s">
        <v>8454</v>
      </c>
      <c r="E15" t="s">
        <v>8527</v>
      </c>
      <c r="F15">
        <f>COUNTIF($E$2:$E$314,E15)</f>
        <v>1</v>
      </c>
      <c r="G15" t="s">
        <v>211</v>
      </c>
    </row>
    <row r="16" spans="1:7">
      <c r="A16" t="s">
        <v>5096</v>
      </c>
      <c r="B16">
        <f>COUNTIF($A$2:$A$499,A16)</f>
        <v>1</v>
      </c>
      <c r="C16" t="s">
        <v>9290</v>
      </c>
      <c r="D16" t="s">
        <v>8454</v>
      </c>
      <c r="E16" t="s">
        <v>8528</v>
      </c>
      <c r="F16">
        <f>COUNTIF($E$2:$E$314,E16)</f>
        <v>1</v>
      </c>
      <c r="G16" t="s">
        <v>8808</v>
      </c>
    </row>
    <row r="17" spans="1:7">
      <c r="A17" t="s">
        <v>10630</v>
      </c>
      <c r="B17">
        <f>COUNTIF($A$2:$A$499,A17)</f>
        <v>1</v>
      </c>
      <c r="C17" t="s">
        <v>10701</v>
      </c>
      <c r="E17" t="s">
        <v>10705</v>
      </c>
      <c r="G17" t="s">
        <v>55</v>
      </c>
    </row>
    <row r="18" spans="1:7">
      <c r="A18" t="s">
        <v>3654</v>
      </c>
      <c r="B18">
        <f>COUNTIF($A$2:$A$499,A18)</f>
        <v>1</v>
      </c>
      <c r="C18" t="s">
        <v>9291</v>
      </c>
      <c r="D18" t="s">
        <v>8454</v>
      </c>
      <c r="E18" t="s">
        <v>8529</v>
      </c>
      <c r="F18">
        <f>COUNTIF($E$2:$E$314,E18)</f>
        <v>1</v>
      </c>
      <c r="G18" t="s">
        <v>557</v>
      </c>
    </row>
    <row r="19" spans="1:7">
      <c r="A19" t="s">
        <v>1967</v>
      </c>
      <c r="B19">
        <f>COUNTIF($A$2:$A$499,A19)</f>
        <v>1</v>
      </c>
      <c r="C19" t="s">
        <v>9292</v>
      </c>
      <c r="D19" t="s">
        <v>8455</v>
      </c>
      <c r="E19" t="s">
        <v>8690</v>
      </c>
      <c r="F19">
        <f>COUNTIF($E$2:$E$314,E19)</f>
        <v>1</v>
      </c>
      <c r="G19" t="s">
        <v>8808</v>
      </c>
    </row>
    <row r="20" spans="1:7">
      <c r="A20" t="s">
        <v>8753</v>
      </c>
      <c r="B20">
        <f>COUNTIF($A$2:$A$499,A20)</f>
        <v>1</v>
      </c>
      <c r="C20" t="s">
        <v>9293</v>
      </c>
      <c r="D20" t="s">
        <v>8454</v>
      </c>
      <c r="E20" t="s">
        <v>8508</v>
      </c>
      <c r="F20">
        <f>COUNTIF($E$2:$E$314,E20)</f>
        <v>1</v>
      </c>
      <c r="G20" t="s">
        <v>684</v>
      </c>
    </row>
    <row r="21" spans="1:7">
      <c r="A21" t="s">
        <v>2066</v>
      </c>
      <c r="B21">
        <f>COUNTIF($A$2:$A$499,A21)</f>
        <v>1</v>
      </c>
      <c r="C21" t="s">
        <v>9294</v>
      </c>
      <c r="D21" t="s">
        <v>8454</v>
      </c>
      <c r="E21" t="s">
        <v>8509</v>
      </c>
      <c r="F21">
        <f>COUNTIF($E$2:$E$314,E21)</f>
        <v>1</v>
      </c>
      <c r="G21" t="s">
        <v>211</v>
      </c>
    </row>
    <row r="22" spans="1:7">
      <c r="A22" t="s">
        <v>1343</v>
      </c>
      <c r="B22">
        <f>COUNTIF($A$2:$A$499,A22)</f>
        <v>1</v>
      </c>
      <c r="C22" t="s">
        <v>9295</v>
      </c>
      <c r="D22" t="s">
        <v>8454</v>
      </c>
      <c r="E22" t="s">
        <v>8510</v>
      </c>
      <c r="F22">
        <f>COUNTIF($E$2:$E$314,E22)</f>
        <v>1</v>
      </c>
      <c r="G22" t="s">
        <v>211</v>
      </c>
    </row>
    <row r="23" spans="1:7">
      <c r="A23" t="s">
        <v>943</v>
      </c>
      <c r="B23">
        <f>COUNTIF($A$2:$A$499,A23)</f>
        <v>1</v>
      </c>
      <c r="C23" t="s">
        <v>9296</v>
      </c>
      <c r="D23" t="s">
        <v>8454</v>
      </c>
      <c r="E23" t="s">
        <v>8511</v>
      </c>
      <c r="F23">
        <f>COUNTIF($E$2:$E$314,E23)</f>
        <v>1</v>
      </c>
      <c r="G23" t="s">
        <v>8808</v>
      </c>
    </row>
    <row r="24" spans="1:7">
      <c r="A24" t="s">
        <v>8119</v>
      </c>
      <c r="B24">
        <f>COUNTIF($A$2:$A$499,A24)</f>
        <v>1</v>
      </c>
      <c r="C24" t="s">
        <v>9297</v>
      </c>
      <c r="D24" t="s">
        <v>8455</v>
      </c>
      <c r="E24" t="s">
        <v>8119</v>
      </c>
      <c r="F24">
        <f>COUNTIF($E$2:$E$314,E24)</f>
        <v>1</v>
      </c>
      <c r="G24" t="s">
        <v>14</v>
      </c>
    </row>
    <row r="25" spans="1:7">
      <c r="A25" t="s">
        <v>790</v>
      </c>
      <c r="B25">
        <f>COUNTIF($A$2:$A$499,A25)</f>
        <v>1</v>
      </c>
      <c r="C25" t="s">
        <v>9298</v>
      </c>
      <c r="D25" t="s">
        <v>8454</v>
      </c>
      <c r="E25" t="s">
        <v>8689</v>
      </c>
      <c r="F25">
        <f>COUNTIF($E$2:$E$314,E25)</f>
        <v>1</v>
      </c>
      <c r="G25" t="s">
        <v>8808</v>
      </c>
    </row>
    <row r="26" spans="1:7">
      <c r="A26" t="s">
        <v>4297</v>
      </c>
      <c r="B26">
        <f>COUNTIF($A$2:$A$499,A26)</f>
        <v>1</v>
      </c>
      <c r="C26" t="s">
        <v>9299</v>
      </c>
      <c r="D26" t="s">
        <v>8454</v>
      </c>
      <c r="E26" t="s">
        <v>8693</v>
      </c>
      <c r="F26">
        <f>COUNTIF($E$2:$E$314,E26)</f>
        <v>1</v>
      </c>
      <c r="G26" t="s">
        <v>211</v>
      </c>
    </row>
    <row r="27" spans="1:7">
      <c r="A27" t="s">
        <v>1841</v>
      </c>
      <c r="B27">
        <f>COUNTIF($A$2:$A$499,A27)</f>
        <v>1</v>
      </c>
      <c r="C27" t="s">
        <v>9300</v>
      </c>
      <c r="D27" t="s">
        <v>8454</v>
      </c>
      <c r="E27" t="s">
        <v>8512</v>
      </c>
      <c r="F27">
        <f>COUNTIF($E$2:$E$314,E27)</f>
        <v>1</v>
      </c>
      <c r="G27" t="s">
        <v>55</v>
      </c>
    </row>
    <row r="28" spans="1:7">
      <c r="A28" t="s">
        <v>8754</v>
      </c>
      <c r="B28">
        <f>COUNTIF($A$2:$A$499,A28)</f>
        <v>1</v>
      </c>
      <c r="C28" t="s">
        <v>9301</v>
      </c>
      <c r="D28" t="s">
        <v>8454</v>
      </c>
      <c r="E28" t="s">
        <v>8458</v>
      </c>
      <c r="F28">
        <f>COUNTIF($E$2:$E$314,E28)</f>
        <v>1</v>
      </c>
      <c r="G28" t="s">
        <v>8808</v>
      </c>
    </row>
    <row r="29" spans="1:7">
      <c r="A29" t="s">
        <v>4735</v>
      </c>
      <c r="B29">
        <f>COUNTIF($A$2:$A$499,A29)</f>
        <v>1</v>
      </c>
      <c r="C29" t="s">
        <v>9302</v>
      </c>
      <c r="D29" t="s">
        <v>8454</v>
      </c>
      <c r="E29" t="s">
        <v>8513</v>
      </c>
      <c r="F29">
        <f>COUNTIF($E$2:$E$314,E29)</f>
        <v>1</v>
      </c>
      <c r="G29" t="s">
        <v>269</v>
      </c>
    </row>
    <row r="30" spans="1:7">
      <c r="A30" t="s">
        <v>755</v>
      </c>
      <c r="B30">
        <f>COUNTIF($A$2:$A$499,A30)</f>
        <v>1</v>
      </c>
      <c r="C30" t="s">
        <v>9303</v>
      </c>
      <c r="D30" t="s">
        <v>8454</v>
      </c>
      <c r="E30" t="s">
        <v>8688</v>
      </c>
      <c r="F30">
        <f>COUNTIF($E$2:$E$314,E30)</f>
        <v>1</v>
      </c>
      <c r="G30" t="s">
        <v>75</v>
      </c>
    </row>
    <row r="31" spans="1:7">
      <c r="A31" t="s">
        <v>5769</v>
      </c>
      <c r="B31">
        <f>COUNTIF($A$2:$A$499,A31)</f>
        <v>1</v>
      </c>
      <c r="C31" t="s">
        <v>9304</v>
      </c>
      <c r="D31" t="s">
        <v>8454</v>
      </c>
      <c r="E31" t="s">
        <v>8459</v>
      </c>
      <c r="F31">
        <f>COUNTIF($E$2:$E$314,E31)</f>
        <v>1</v>
      </c>
      <c r="G31" t="s">
        <v>704</v>
      </c>
    </row>
    <row r="32" spans="1:7">
      <c r="A32" t="s">
        <v>3487</v>
      </c>
      <c r="B32">
        <f>COUNTIF($A$2:$A$499,A32)</f>
        <v>1</v>
      </c>
      <c r="C32" t="s">
        <v>9305</v>
      </c>
      <c r="D32" t="s">
        <v>8455</v>
      </c>
      <c r="E32" t="s">
        <v>8780</v>
      </c>
      <c r="F32">
        <f>COUNTIF($E$2:$E$314,E32)</f>
        <v>1</v>
      </c>
      <c r="G32" t="s">
        <v>8808</v>
      </c>
    </row>
    <row r="33" spans="1:7">
      <c r="A33" t="s">
        <v>10632</v>
      </c>
      <c r="B33">
        <f>COUNTIF($A$2:$A$499,A33)</f>
        <v>1</v>
      </c>
      <c r="C33" t="s">
        <v>10702</v>
      </c>
      <c r="E33" t="s">
        <v>10706</v>
      </c>
      <c r="G33" t="s">
        <v>14</v>
      </c>
    </row>
    <row r="34" spans="1:7">
      <c r="A34" t="s">
        <v>2110</v>
      </c>
      <c r="B34">
        <f>COUNTIF($A$2:$A$499,A34)</f>
        <v>1</v>
      </c>
      <c r="C34" t="s">
        <v>9306</v>
      </c>
      <c r="D34" t="s">
        <v>8454</v>
      </c>
      <c r="E34" t="s">
        <v>8694</v>
      </c>
      <c r="F34">
        <f>COUNTIF($E$2:$E$314,E34)</f>
        <v>1</v>
      </c>
      <c r="G34" t="s">
        <v>704</v>
      </c>
    </row>
    <row r="35" spans="1:7">
      <c r="A35" t="s">
        <v>3281</v>
      </c>
      <c r="B35">
        <f>COUNTIF($A$2:$A$499,A35)</f>
        <v>1</v>
      </c>
      <c r="C35" t="s">
        <v>9307</v>
      </c>
      <c r="D35" t="s">
        <v>8454</v>
      </c>
      <c r="E35" t="s">
        <v>8514</v>
      </c>
      <c r="F35">
        <f>COUNTIF($E$2:$E$314,E35)</f>
        <v>1</v>
      </c>
      <c r="G35" t="s">
        <v>3284</v>
      </c>
    </row>
    <row r="36" spans="1:7">
      <c r="A36" t="s">
        <v>1977</v>
      </c>
      <c r="B36">
        <f>COUNTIF($A$2:$A$499,A36)</f>
        <v>1</v>
      </c>
      <c r="C36" t="s">
        <v>9308</v>
      </c>
      <c r="D36" t="s">
        <v>8454</v>
      </c>
      <c r="E36" t="s">
        <v>8515</v>
      </c>
      <c r="F36">
        <f>COUNTIF($E$2:$E$314,E36)</f>
        <v>1</v>
      </c>
      <c r="G36" t="s">
        <v>1980</v>
      </c>
    </row>
    <row r="37" spans="1:7">
      <c r="A37" t="s">
        <v>2519</v>
      </c>
      <c r="B37">
        <f>COUNTIF($A$2:$A$499,A37)</f>
        <v>1</v>
      </c>
      <c r="C37" t="s">
        <v>9309</v>
      </c>
      <c r="D37" t="s">
        <v>8454</v>
      </c>
      <c r="E37" t="s">
        <v>8516</v>
      </c>
      <c r="F37">
        <f>COUNTIF($E$2:$E$314,E37)</f>
        <v>1</v>
      </c>
      <c r="G37" t="s">
        <v>8808</v>
      </c>
    </row>
    <row r="38" spans="1:7">
      <c r="A38" t="s">
        <v>8798</v>
      </c>
      <c r="B38">
        <f>COUNTIF($A$2:$A$499,A38)</f>
        <v>1</v>
      </c>
      <c r="C38" t="s">
        <v>9310</v>
      </c>
      <c r="D38" t="s">
        <v>8454</v>
      </c>
      <c r="E38" t="s">
        <v>8799</v>
      </c>
      <c r="F38">
        <f>COUNTIF($E$2:$E$314,E38)</f>
        <v>1</v>
      </c>
      <c r="G38" t="s">
        <v>25</v>
      </c>
    </row>
    <row r="39" spans="1:7">
      <c r="A39" t="s">
        <v>3106</v>
      </c>
      <c r="B39">
        <f>COUNTIF($A$2:$A$499,A39)</f>
        <v>1</v>
      </c>
      <c r="C39" t="s">
        <v>9311</v>
      </c>
      <c r="D39" t="s">
        <v>8454</v>
      </c>
      <c r="E39" t="s">
        <v>8695</v>
      </c>
      <c r="F39">
        <f>COUNTIF($E$2:$E$314,E39)</f>
        <v>1</v>
      </c>
      <c r="G39" t="s">
        <v>8808</v>
      </c>
    </row>
    <row r="40" spans="1:7">
      <c r="A40" t="s">
        <v>4077</v>
      </c>
      <c r="B40">
        <f>COUNTIF($A$2:$A$499,A40)</f>
        <v>1</v>
      </c>
      <c r="C40" t="s">
        <v>9312</v>
      </c>
      <c r="D40" t="s">
        <v>8454</v>
      </c>
      <c r="E40" t="s">
        <v>8517</v>
      </c>
      <c r="F40">
        <f>COUNTIF($E$2:$E$314,E40)</f>
        <v>1</v>
      </c>
      <c r="G40" t="s">
        <v>8808</v>
      </c>
    </row>
    <row r="41" spans="1:7">
      <c r="A41" t="s">
        <v>8755</v>
      </c>
      <c r="B41">
        <f>COUNTIF($A$2:$A$499,A41)</f>
        <v>1</v>
      </c>
      <c r="C41" t="s">
        <v>9313</v>
      </c>
      <c r="D41" t="s">
        <v>8454</v>
      </c>
      <c r="E41" t="s">
        <v>8460</v>
      </c>
      <c r="F41">
        <f>COUNTIF($E$2:$E$314,E41)</f>
        <v>1</v>
      </c>
      <c r="G41" t="s">
        <v>14</v>
      </c>
    </row>
    <row r="42" spans="1:7">
      <c r="A42" t="s">
        <v>2206</v>
      </c>
      <c r="B42">
        <f>COUNTIF($A$2:$A$499,A42)</f>
        <v>1</v>
      </c>
      <c r="C42" t="s">
        <v>9314</v>
      </c>
      <c r="D42" t="s">
        <v>8454</v>
      </c>
      <c r="E42" t="s">
        <v>8479</v>
      </c>
      <c r="F42">
        <f>COUNTIF($E$2:$E$314,E42)</f>
        <v>1</v>
      </c>
      <c r="G42" t="s">
        <v>1256</v>
      </c>
    </row>
    <row r="43" spans="1:7">
      <c r="A43" t="s">
        <v>5316</v>
      </c>
      <c r="B43">
        <f>COUNTIF($A$2:$A$499,A43)</f>
        <v>1</v>
      </c>
      <c r="C43" t="s">
        <v>9315</v>
      </c>
      <c r="D43" t="s">
        <v>8454</v>
      </c>
      <c r="E43" t="s">
        <v>8530</v>
      </c>
      <c r="F43">
        <f>COUNTIF($E$2:$E$314,E43)</f>
        <v>1</v>
      </c>
      <c r="G43" t="s">
        <v>8808</v>
      </c>
    </row>
    <row r="44" spans="1:7">
      <c r="A44" t="s">
        <v>8756</v>
      </c>
      <c r="B44">
        <f>COUNTIF($A$2:$A$499,A44)</f>
        <v>1</v>
      </c>
      <c r="C44" t="s">
        <v>9316</v>
      </c>
      <c r="D44" t="s">
        <v>8454</v>
      </c>
      <c r="E44" t="s">
        <v>8461</v>
      </c>
      <c r="F44">
        <f>COUNTIF($E$2:$E$314,E44)</f>
        <v>1</v>
      </c>
      <c r="G44" t="s">
        <v>609</v>
      </c>
    </row>
    <row r="45" spans="1:7">
      <c r="A45" t="s">
        <v>3071</v>
      </c>
      <c r="B45">
        <f>COUNTIF($A$2:$A$499,A45)</f>
        <v>1</v>
      </c>
      <c r="C45" t="s">
        <v>9317</v>
      </c>
      <c r="D45" t="s">
        <v>8454</v>
      </c>
      <c r="E45" t="s">
        <v>8696</v>
      </c>
      <c r="F45">
        <f>COUNTIF($E$2:$E$314,E45)</f>
        <v>1</v>
      </c>
      <c r="G45" t="s">
        <v>848</v>
      </c>
    </row>
    <row r="46" spans="1:7">
      <c r="A46" t="s">
        <v>2796</v>
      </c>
      <c r="B46">
        <f>COUNTIF($A$2:$A$499,A46)</f>
        <v>1</v>
      </c>
      <c r="C46" t="s">
        <v>9318</v>
      </c>
      <c r="D46" t="s">
        <v>8454</v>
      </c>
      <c r="E46" t="s">
        <v>8531</v>
      </c>
      <c r="F46">
        <f>COUNTIF($E$2:$E$314,E46)</f>
        <v>1</v>
      </c>
      <c r="G46" t="s">
        <v>211</v>
      </c>
    </row>
    <row r="47" spans="1:7">
      <c r="A47" t="s">
        <v>3526</v>
      </c>
      <c r="B47">
        <f>COUNTIF($A$2:$A$499,A47)</f>
        <v>1</v>
      </c>
      <c r="C47" t="s">
        <v>9319</v>
      </c>
      <c r="D47" t="s">
        <v>8454</v>
      </c>
      <c r="E47" t="s">
        <v>8532</v>
      </c>
      <c r="F47">
        <f>COUNTIF($E$2:$E$314,E47)</f>
        <v>1</v>
      </c>
      <c r="G47" t="s">
        <v>14</v>
      </c>
    </row>
    <row r="48" spans="1:7">
      <c r="A48" t="s">
        <v>2614</v>
      </c>
      <c r="B48">
        <f>COUNTIF($A$2:$A$499,A48)</f>
        <v>1</v>
      </c>
      <c r="C48" t="s">
        <v>9320</v>
      </c>
      <c r="D48" t="s">
        <v>8454</v>
      </c>
      <c r="E48" t="s">
        <v>8533</v>
      </c>
      <c r="F48">
        <f>COUNTIF($E$2:$E$314,E48)</f>
        <v>1</v>
      </c>
      <c r="G48" t="s">
        <v>748</v>
      </c>
    </row>
    <row r="49" spans="1:7">
      <c r="A49" t="s">
        <v>2829</v>
      </c>
      <c r="B49">
        <f>COUNTIF($A$2:$A$499,A49)</f>
        <v>1</v>
      </c>
      <c r="C49" t="s">
        <v>9321</v>
      </c>
      <c r="D49" t="s">
        <v>8454</v>
      </c>
      <c r="E49" t="s">
        <v>8697</v>
      </c>
      <c r="F49">
        <f>COUNTIF($E$2:$E$314,E49)</f>
        <v>1</v>
      </c>
      <c r="G49" t="s">
        <v>55</v>
      </c>
    </row>
    <row r="50" spans="1:7">
      <c r="A50" t="s">
        <v>491</v>
      </c>
      <c r="B50">
        <f>COUNTIF($A$2:$A$499,A50)</f>
        <v>1</v>
      </c>
      <c r="C50" t="s">
        <v>9322</v>
      </c>
      <c r="D50" t="s">
        <v>8454</v>
      </c>
      <c r="E50" t="s">
        <v>8534</v>
      </c>
      <c r="F50">
        <f>COUNTIF($E$2:$E$314,E50)</f>
        <v>1</v>
      </c>
      <c r="G50" t="s">
        <v>14</v>
      </c>
    </row>
    <row r="51" spans="1:7">
      <c r="A51" t="s">
        <v>4004</v>
      </c>
      <c r="B51">
        <f>COUNTIF($A$2:$A$499,A51)</f>
        <v>1</v>
      </c>
      <c r="C51" t="s">
        <v>9323</v>
      </c>
      <c r="D51" t="s">
        <v>8454</v>
      </c>
      <c r="E51" t="s">
        <v>8535</v>
      </c>
      <c r="F51">
        <f>COUNTIF($E$2:$E$314,E51)</f>
        <v>1</v>
      </c>
      <c r="G51" t="s">
        <v>211</v>
      </c>
    </row>
    <row r="52" spans="1:7">
      <c r="A52" t="s">
        <v>1548</v>
      </c>
      <c r="B52">
        <f>COUNTIF($A$2:$A$499,A52)</f>
        <v>1</v>
      </c>
      <c r="C52" t="s">
        <v>9324</v>
      </c>
      <c r="D52" t="s">
        <v>8454</v>
      </c>
      <c r="E52" t="s">
        <v>8536</v>
      </c>
      <c r="F52">
        <f>COUNTIF($E$2:$E$314,E52)</f>
        <v>1</v>
      </c>
      <c r="G52" t="s">
        <v>211</v>
      </c>
    </row>
    <row r="53" spans="1:7">
      <c r="A53" t="s">
        <v>920</v>
      </c>
      <c r="B53">
        <f>COUNTIF($A$2:$A$499,A53)</f>
        <v>1</v>
      </c>
      <c r="C53" t="s">
        <v>9325</v>
      </c>
      <c r="D53" t="s">
        <v>8454</v>
      </c>
      <c r="E53" t="s">
        <v>8537</v>
      </c>
      <c r="F53">
        <f>COUNTIF($E$2:$E$314,E53)</f>
        <v>1</v>
      </c>
      <c r="G53" t="s">
        <v>269</v>
      </c>
    </row>
    <row r="54" spans="1:7">
      <c r="A54" t="s">
        <v>8757</v>
      </c>
      <c r="B54">
        <f>COUNTIF($A$2:$A$499,A54)</f>
        <v>1</v>
      </c>
      <c r="C54" t="s">
        <v>9326</v>
      </c>
      <c r="D54" t="s">
        <v>8454</v>
      </c>
      <c r="E54" t="s">
        <v>8462</v>
      </c>
      <c r="F54">
        <f>COUNTIF($E$2:$E$314,E54)</f>
        <v>1</v>
      </c>
      <c r="G54" t="s">
        <v>253</v>
      </c>
    </row>
    <row r="55" spans="1:7">
      <c r="A55" t="s">
        <v>137</v>
      </c>
      <c r="B55">
        <f>COUNTIF($A$2:$A$499,A55)</f>
        <v>1</v>
      </c>
      <c r="C55" t="s">
        <v>9327</v>
      </c>
      <c r="D55" t="s">
        <v>8454</v>
      </c>
      <c r="E55" t="s">
        <v>10719</v>
      </c>
      <c r="F55">
        <f>COUNTIF($E$2:$E$314,E55)</f>
        <v>1</v>
      </c>
      <c r="G55" t="s">
        <v>55</v>
      </c>
    </row>
    <row r="56" spans="1:7">
      <c r="A56" t="s">
        <v>823</v>
      </c>
      <c r="B56">
        <f>COUNTIF($A$2:$A$499,A56)</f>
        <v>1</v>
      </c>
      <c r="C56" t="s">
        <v>9328</v>
      </c>
      <c r="D56" t="s">
        <v>8454</v>
      </c>
      <c r="E56" t="s">
        <v>8503</v>
      </c>
      <c r="F56">
        <f>COUNTIF($E$2:$E$314,E56)</f>
        <v>1</v>
      </c>
      <c r="G56" t="s">
        <v>253</v>
      </c>
    </row>
    <row r="57" spans="1:7">
      <c r="A57" t="s">
        <v>701</v>
      </c>
      <c r="B57">
        <f>COUNTIF($A$2:$A$499,A57)</f>
        <v>1</v>
      </c>
      <c r="C57" t="s">
        <v>9329</v>
      </c>
      <c r="D57" t="s">
        <v>8455</v>
      </c>
      <c r="E57" t="s">
        <v>8781</v>
      </c>
      <c r="F57">
        <f>COUNTIF($E$2:$E$314,E57)</f>
        <v>1</v>
      </c>
      <c r="G57" t="s">
        <v>704</v>
      </c>
    </row>
    <row r="58" spans="1:7">
      <c r="A58" t="s">
        <v>1056</v>
      </c>
      <c r="B58">
        <f>COUNTIF($A$2:$A$499,A58)</f>
        <v>1</v>
      </c>
      <c r="C58" t="s">
        <v>9330</v>
      </c>
      <c r="D58" t="s">
        <v>8455</v>
      </c>
      <c r="E58" t="s">
        <v>8782</v>
      </c>
      <c r="F58">
        <f>COUNTIF($E$2:$E$314,E58)</f>
        <v>1</v>
      </c>
      <c r="G58" t="s">
        <v>8808</v>
      </c>
    </row>
    <row r="59" spans="1:7">
      <c r="A59" t="s">
        <v>3337</v>
      </c>
      <c r="B59">
        <f>COUNTIF($A$2:$A$499,A59)</f>
        <v>1</v>
      </c>
      <c r="C59" t="s">
        <v>9331</v>
      </c>
      <c r="D59" t="s">
        <v>8454</v>
      </c>
      <c r="E59" t="s">
        <v>8538</v>
      </c>
      <c r="F59">
        <f>COUNTIF($E$2:$E$314,E59)</f>
        <v>1</v>
      </c>
      <c r="G59" t="s">
        <v>2054</v>
      </c>
    </row>
    <row r="60" spans="1:7">
      <c r="A60" t="s">
        <v>8758</v>
      </c>
      <c r="B60">
        <f>COUNTIF($A$2:$A$499,A60)</f>
        <v>1</v>
      </c>
      <c r="C60" t="s">
        <v>9332</v>
      </c>
      <c r="D60" t="s">
        <v>8454</v>
      </c>
      <c r="E60" t="s">
        <v>8482</v>
      </c>
      <c r="F60">
        <f>COUNTIF($E$2:$E$314,E60)</f>
        <v>1</v>
      </c>
      <c r="G60" t="s">
        <v>234</v>
      </c>
    </row>
    <row r="61" spans="1:7">
      <c r="A61" t="s">
        <v>8783</v>
      </c>
      <c r="B61">
        <f>COUNTIF($A$2:$A$499,A61)</f>
        <v>1</v>
      </c>
      <c r="C61" t="s">
        <v>9333</v>
      </c>
      <c r="D61" t="s">
        <v>8454</v>
      </c>
      <c r="E61" t="s">
        <v>8539</v>
      </c>
      <c r="F61">
        <f>COUNTIF($E$2:$E$314,E61)</f>
        <v>1</v>
      </c>
      <c r="G61" t="s">
        <v>2674</v>
      </c>
    </row>
    <row r="62" spans="1:7">
      <c r="A62" t="s">
        <v>4068</v>
      </c>
      <c r="B62">
        <f>COUNTIF($A$2:$A$499,A62)</f>
        <v>1</v>
      </c>
      <c r="C62" t="s">
        <v>9334</v>
      </c>
      <c r="D62" t="s">
        <v>8454</v>
      </c>
      <c r="E62" t="s">
        <v>8540</v>
      </c>
      <c r="F62">
        <f>COUNTIF($E$2:$E$314,E62)</f>
        <v>1</v>
      </c>
      <c r="G62" t="s">
        <v>14</v>
      </c>
    </row>
    <row r="63" spans="1:7">
      <c r="A63" t="s">
        <v>1798</v>
      </c>
      <c r="B63">
        <f>COUNTIF($A$2:$A$499,A63)</f>
        <v>1</v>
      </c>
      <c r="C63" t="s">
        <v>9335</v>
      </c>
      <c r="D63" t="s">
        <v>8454</v>
      </c>
      <c r="E63" t="s">
        <v>8571</v>
      </c>
      <c r="F63">
        <f>COUNTIF($E$2:$E$314,E63)</f>
        <v>1</v>
      </c>
      <c r="G63" t="s">
        <v>55</v>
      </c>
    </row>
    <row r="64" spans="1:7">
      <c r="A64" t="s">
        <v>1627</v>
      </c>
      <c r="B64">
        <f>COUNTIF($A$2:$A$499,A64)</f>
        <v>1</v>
      </c>
      <c r="C64" t="s">
        <v>9336</v>
      </c>
      <c r="D64" t="s">
        <v>8454</v>
      </c>
      <c r="E64" t="s">
        <v>8541</v>
      </c>
      <c r="F64">
        <f>COUNTIF($E$2:$E$314,E64)</f>
        <v>1</v>
      </c>
      <c r="G64" t="s">
        <v>8808</v>
      </c>
    </row>
    <row r="65" spans="1:7">
      <c r="A65" t="s">
        <v>4784</v>
      </c>
      <c r="B65">
        <f>COUNTIF($A$2:$A$499,A65)</f>
        <v>1</v>
      </c>
      <c r="C65" t="s">
        <v>9337</v>
      </c>
      <c r="D65" t="s">
        <v>8454</v>
      </c>
      <c r="E65" t="s">
        <v>8542</v>
      </c>
      <c r="F65">
        <f>COUNTIF($E$2:$E$314,E65)</f>
        <v>1</v>
      </c>
      <c r="G65" t="s">
        <v>8808</v>
      </c>
    </row>
    <row r="66" spans="1:7">
      <c r="A66" t="s">
        <v>52</v>
      </c>
      <c r="B66">
        <f>COUNTIF($A$2:$A$499,A66)</f>
        <v>1</v>
      </c>
      <c r="C66" t="s">
        <v>9338</v>
      </c>
      <c r="D66" t="s">
        <v>8454</v>
      </c>
      <c r="E66" t="s">
        <v>8543</v>
      </c>
      <c r="F66">
        <f>COUNTIF($E$2:$E$314,E66)</f>
        <v>1</v>
      </c>
      <c r="G66" t="s">
        <v>55</v>
      </c>
    </row>
    <row r="67" spans="1:7">
      <c r="A67" t="s">
        <v>8759</v>
      </c>
      <c r="B67">
        <f>COUNTIF($A$2:$A$499,A67)</f>
        <v>1</v>
      </c>
      <c r="C67" t="s">
        <v>9339</v>
      </c>
      <c r="D67" t="s">
        <v>8456</v>
      </c>
      <c r="E67" t="s">
        <v>546</v>
      </c>
      <c r="F67">
        <f>COUNTIF($E$2:$E$314,E67)</f>
        <v>1</v>
      </c>
      <c r="G67" t="s">
        <v>253</v>
      </c>
    </row>
    <row r="68" spans="1:7">
      <c r="A68" t="s">
        <v>1881</v>
      </c>
      <c r="B68">
        <f>COUNTIF($A$2:$A$499,A68)</f>
        <v>1</v>
      </c>
      <c r="C68" t="s">
        <v>9340</v>
      </c>
      <c r="D68" t="s">
        <v>8454</v>
      </c>
      <c r="E68" t="s">
        <v>8698</v>
      </c>
      <c r="F68">
        <f>COUNTIF($E$2:$E$314,E68)</f>
        <v>1</v>
      </c>
      <c r="G68" t="s">
        <v>8808</v>
      </c>
    </row>
    <row r="69" spans="1:7">
      <c r="A69" t="s">
        <v>1327</v>
      </c>
      <c r="B69">
        <f>COUNTIF($A$2:$A$499,A69)</f>
        <v>1</v>
      </c>
      <c r="C69" t="s">
        <v>9341</v>
      </c>
      <c r="D69" t="s">
        <v>8454</v>
      </c>
      <c r="E69" t="s">
        <v>8699</v>
      </c>
      <c r="F69">
        <f>COUNTIF($E$2:$E$314,E69)</f>
        <v>1</v>
      </c>
      <c r="G69" t="s">
        <v>14</v>
      </c>
    </row>
    <row r="70" spans="1:7">
      <c r="A70" t="s">
        <v>3640</v>
      </c>
      <c r="B70">
        <f>COUNTIF($A$2:$A$499,A70)</f>
        <v>1</v>
      </c>
      <c r="C70" t="s">
        <v>9342</v>
      </c>
      <c r="D70" t="s">
        <v>8454</v>
      </c>
      <c r="E70" t="s">
        <v>8544</v>
      </c>
      <c r="F70">
        <f>COUNTIF($E$2:$E$314,E70)</f>
        <v>1</v>
      </c>
      <c r="G70" t="s">
        <v>86</v>
      </c>
    </row>
    <row r="71" spans="1:7">
      <c r="A71" t="s">
        <v>4467</v>
      </c>
      <c r="B71">
        <f>COUNTIF($A$2:$A$499,A71)</f>
        <v>1</v>
      </c>
      <c r="C71" t="s">
        <v>9343</v>
      </c>
      <c r="D71" t="s">
        <v>8454</v>
      </c>
      <c r="E71" t="s">
        <v>8545</v>
      </c>
      <c r="F71">
        <f>COUNTIF($E$2:$E$314,E71)</f>
        <v>1</v>
      </c>
      <c r="G71" t="s">
        <v>8809</v>
      </c>
    </row>
    <row r="72" spans="1:7">
      <c r="A72" t="s">
        <v>3388</v>
      </c>
      <c r="B72">
        <f>COUNTIF($A$2:$A$499,A72)</f>
        <v>1</v>
      </c>
      <c r="C72" t="s">
        <v>9344</v>
      </c>
      <c r="D72" t="s">
        <v>8454</v>
      </c>
      <c r="E72" t="s">
        <v>8546</v>
      </c>
      <c r="F72">
        <f>COUNTIF($E$2:$E$314,E72)</f>
        <v>1</v>
      </c>
      <c r="G72" t="s">
        <v>8808</v>
      </c>
    </row>
    <row r="73" spans="1:7">
      <c r="A73" t="s">
        <v>8760</v>
      </c>
      <c r="B73">
        <f>COUNTIF($A$2:$A$499,A73)</f>
        <v>1</v>
      </c>
      <c r="C73" t="s">
        <v>9345</v>
      </c>
      <c r="D73" t="s">
        <v>8454</v>
      </c>
      <c r="E73" t="s">
        <v>8481</v>
      </c>
      <c r="F73">
        <f>COUNTIF($E$2:$E$314,E73)</f>
        <v>1</v>
      </c>
      <c r="G73" t="s">
        <v>704</v>
      </c>
    </row>
    <row r="74" spans="1:7">
      <c r="A74" t="s">
        <v>8761</v>
      </c>
      <c r="B74">
        <f>COUNTIF($A$2:$A$499,A74)</f>
        <v>1</v>
      </c>
      <c r="C74" t="s">
        <v>9346</v>
      </c>
      <c r="D74" t="s">
        <v>8454</v>
      </c>
      <c r="E74" t="s">
        <v>5740</v>
      </c>
      <c r="F74">
        <f>COUNTIF($E$2:$E$314,E74)</f>
        <v>1</v>
      </c>
      <c r="G74" t="s">
        <v>557</v>
      </c>
    </row>
    <row r="75" spans="1:7">
      <c r="A75" t="s">
        <v>890</v>
      </c>
      <c r="B75">
        <f>COUNTIF($A$2:$A$499,A75)</f>
        <v>1</v>
      </c>
      <c r="C75" t="s">
        <v>9347</v>
      </c>
      <c r="D75" t="s">
        <v>8454</v>
      </c>
      <c r="E75" t="s">
        <v>8547</v>
      </c>
      <c r="F75">
        <f>COUNTIF($E$2:$E$314,E75)</f>
        <v>1</v>
      </c>
      <c r="G75" t="s">
        <v>891</v>
      </c>
    </row>
    <row r="76" spans="1:7">
      <c r="A76" t="s">
        <v>2910</v>
      </c>
      <c r="B76">
        <f>COUNTIF($A$2:$A$499,A76)</f>
        <v>1</v>
      </c>
      <c r="C76" t="s">
        <v>9348</v>
      </c>
      <c r="D76" t="s">
        <v>8454</v>
      </c>
      <c r="E76" t="s">
        <v>8548</v>
      </c>
      <c r="F76">
        <f>COUNTIF($E$2:$E$314,E76)</f>
        <v>1</v>
      </c>
      <c r="G76" t="s">
        <v>211</v>
      </c>
    </row>
    <row r="77" spans="1:7">
      <c r="A77" t="s">
        <v>815</v>
      </c>
      <c r="B77">
        <f>COUNTIF($A$2:$A$499,A77)</f>
        <v>1</v>
      </c>
      <c r="C77" t="s">
        <v>9349</v>
      </c>
      <c r="D77" t="s">
        <v>8454</v>
      </c>
      <c r="E77" t="s">
        <v>8700</v>
      </c>
      <c r="F77">
        <f>COUNTIF($E$2:$E$314,E77)</f>
        <v>1</v>
      </c>
      <c r="G77" t="s">
        <v>269</v>
      </c>
    </row>
    <row r="78" spans="1:7">
      <c r="A78" t="s">
        <v>1920</v>
      </c>
      <c r="B78">
        <f>COUNTIF($A$2:$A$499,A78)</f>
        <v>1</v>
      </c>
      <c r="C78" t="s">
        <v>9350</v>
      </c>
      <c r="D78" t="s">
        <v>8454</v>
      </c>
      <c r="E78" t="s">
        <v>8701</v>
      </c>
      <c r="F78">
        <f>COUNTIF($E$2:$E$314,E78)</f>
        <v>1</v>
      </c>
      <c r="G78" t="s">
        <v>211</v>
      </c>
    </row>
    <row r="79" spans="1:7">
      <c r="A79" t="s">
        <v>1190</v>
      </c>
      <c r="B79">
        <f>COUNTIF($A$2:$A$499,A79)</f>
        <v>1</v>
      </c>
      <c r="C79" t="s">
        <v>9351</v>
      </c>
      <c r="D79" t="s">
        <v>8454</v>
      </c>
      <c r="E79" t="s">
        <v>8549</v>
      </c>
      <c r="F79">
        <f>COUNTIF($E$2:$E$314,E79)</f>
        <v>1</v>
      </c>
      <c r="G79" t="s">
        <v>211</v>
      </c>
    </row>
    <row r="80" spans="1:7">
      <c r="A80" t="s">
        <v>1123</v>
      </c>
      <c r="B80">
        <f>COUNTIF($A$2:$A$499,A80)</f>
        <v>1</v>
      </c>
      <c r="C80" t="s">
        <v>9352</v>
      </c>
      <c r="D80" t="s">
        <v>8454</v>
      </c>
      <c r="E80" t="s">
        <v>8550</v>
      </c>
      <c r="F80">
        <f>COUNTIF($E$2:$E$314,E80)</f>
        <v>1</v>
      </c>
      <c r="G80" t="s">
        <v>211</v>
      </c>
    </row>
    <row r="81" spans="1:7">
      <c r="A81" t="s">
        <v>8148</v>
      </c>
      <c r="B81">
        <f>COUNTIF($A$2:$A$499,A81)</f>
        <v>1</v>
      </c>
      <c r="C81" t="s">
        <v>9353</v>
      </c>
      <c r="D81" t="s">
        <v>8454</v>
      </c>
      <c r="E81" t="s">
        <v>8551</v>
      </c>
      <c r="F81">
        <f>COUNTIF($E$2:$E$314,E81)</f>
        <v>1</v>
      </c>
      <c r="G81" t="s">
        <v>8808</v>
      </c>
    </row>
    <row r="82" spans="1:7">
      <c r="A82" t="s">
        <v>5054</v>
      </c>
      <c r="B82">
        <f>COUNTIF($A$2:$A$499,A82)</f>
        <v>1</v>
      </c>
      <c r="C82" t="s">
        <v>9354</v>
      </c>
      <c r="D82" t="s">
        <v>8454</v>
      </c>
      <c r="E82" t="s">
        <v>8552</v>
      </c>
      <c r="F82">
        <f>COUNTIF($E$2:$E$314,E82)</f>
        <v>1</v>
      </c>
      <c r="G82" t="s">
        <v>211</v>
      </c>
    </row>
    <row r="83" spans="1:7">
      <c r="A83" t="s">
        <v>8762</v>
      </c>
      <c r="B83">
        <f>COUNTIF($A$2:$A$499,A83)</f>
        <v>1</v>
      </c>
      <c r="C83" t="s">
        <v>9355</v>
      </c>
      <c r="D83" t="s">
        <v>8454</v>
      </c>
      <c r="E83" t="s">
        <v>8480</v>
      </c>
      <c r="F83">
        <f>COUNTIF($E$2:$E$314,E83)</f>
        <v>1</v>
      </c>
      <c r="G83" t="s">
        <v>1256</v>
      </c>
    </row>
    <row r="84" spans="1:7">
      <c r="A84" t="s">
        <v>5365</v>
      </c>
      <c r="B84">
        <f>COUNTIF($A$2:$A$499,A84)</f>
        <v>1</v>
      </c>
      <c r="C84" t="s">
        <v>9356</v>
      </c>
      <c r="D84" t="s">
        <v>8454</v>
      </c>
      <c r="E84" t="s">
        <v>8553</v>
      </c>
      <c r="F84">
        <f>COUNTIF($E$2:$E$314,E84)</f>
        <v>1</v>
      </c>
      <c r="G84" t="s">
        <v>459</v>
      </c>
    </row>
    <row r="85" spans="1:7">
      <c r="A85" t="s">
        <v>721</v>
      </c>
      <c r="B85">
        <f>COUNTIF($A$2:$A$499,A85)</f>
        <v>1</v>
      </c>
      <c r="C85" t="s">
        <v>9357</v>
      </c>
      <c r="D85" t="s">
        <v>8454</v>
      </c>
      <c r="E85" t="s">
        <v>8554</v>
      </c>
      <c r="F85">
        <f>COUNTIF($E$2:$E$314,E85)</f>
        <v>1</v>
      </c>
      <c r="G85" t="s">
        <v>211</v>
      </c>
    </row>
    <row r="86" spans="1:7">
      <c r="A86" t="s">
        <v>649</v>
      </c>
      <c r="B86">
        <f>COUNTIF($A$2:$A$499,A86)</f>
        <v>1</v>
      </c>
      <c r="C86" t="s">
        <v>9358</v>
      </c>
      <c r="D86" t="s">
        <v>8454</v>
      </c>
      <c r="E86" t="s">
        <v>8555</v>
      </c>
      <c r="F86">
        <f>COUNTIF($E$2:$E$314,E86)</f>
        <v>1</v>
      </c>
      <c r="G86" t="s">
        <v>427</v>
      </c>
    </row>
    <row r="87" spans="1:7">
      <c r="A87" t="s">
        <v>2041</v>
      </c>
      <c r="B87">
        <f>COUNTIF($A$2:$A$499,A87)</f>
        <v>1</v>
      </c>
      <c r="C87" t="s">
        <v>9359</v>
      </c>
      <c r="D87" t="s">
        <v>8454</v>
      </c>
      <c r="E87" t="s">
        <v>8556</v>
      </c>
      <c r="F87">
        <f>COUNTIF($E$2:$E$314,E87)</f>
        <v>1</v>
      </c>
      <c r="G87" t="s">
        <v>1600</v>
      </c>
    </row>
    <row r="88" spans="1:7">
      <c r="A88" t="s">
        <v>424</v>
      </c>
      <c r="B88">
        <f>COUNTIF($A$2:$A$499,A88)</f>
        <v>1</v>
      </c>
      <c r="C88" t="s">
        <v>9360</v>
      </c>
      <c r="D88" t="s">
        <v>8454</v>
      </c>
      <c r="E88" t="s">
        <v>8557</v>
      </c>
      <c r="F88">
        <f>COUNTIF($E$2:$E$314,E88)</f>
        <v>1</v>
      </c>
      <c r="G88" t="s">
        <v>427</v>
      </c>
    </row>
    <row r="89" spans="1:7">
      <c r="A89" t="s">
        <v>8773</v>
      </c>
      <c r="B89">
        <f>COUNTIF($A$2:$A$499,A89)</f>
        <v>1</v>
      </c>
      <c r="C89" t="s">
        <v>9361</v>
      </c>
      <c r="D89" t="s">
        <v>8454</v>
      </c>
      <c r="E89" t="s">
        <v>8774</v>
      </c>
      <c r="F89">
        <f>COUNTIF($E$2:$E$314,E89)</f>
        <v>1</v>
      </c>
      <c r="G89" t="s">
        <v>1256</v>
      </c>
    </row>
    <row r="90" spans="1:7">
      <c r="A90" t="s">
        <v>3774</v>
      </c>
      <c r="B90">
        <f>COUNTIF($A$2:$A$499,A90)</f>
        <v>1</v>
      </c>
      <c r="C90" t="s">
        <v>9362</v>
      </c>
      <c r="D90" t="s">
        <v>8454</v>
      </c>
      <c r="E90" t="s">
        <v>8702</v>
      </c>
      <c r="F90">
        <f>COUNTIF($E$2:$E$314,E90)</f>
        <v>1</v>
      </c>
      <c r="G90" t="s">
        <v>211</v>
      </c>
    </row>
    <row r="91" spans="1:7">
      <c r="A91" t="s">
        <v>1932</v>
      </c>
      <c r="B91">
        <f>COUNTIF($A$2:$A$499,A91)</f>
        <v>1</v>
      </c>
      <c r="C91" t="s">
        <v>9363</v>
      </c>
      <c r="D91" t="s">
        <v>8454</v>
      </c>
      <c r="E91" t="s">
        <v>8703</v>
      </c>
      <c r="F91">
        <f>COUNTIF($E$2:$E$314,E91)</f>
        <v>1</v>
      </c>
      <c r="G91" t="s">
        <v>1934</v>
      </c>
    </row>
    <row r="92" spans="1:7">
      <c r="A92" t="s">
        <v>208</v>
      </c>
      <c r="B92">
        <f>COUNTIF($A$2:$A$499,A92)</f>
        <v>1</v>
      </c>
      <c r="C92" t="s">
        <v>9364</v>
      </c>
      <c r="D92" t="s">
        <v>8454</v>
      </c>
      <c r="E92" t="s">
        <v>8558</v>
      </c>
      <c r="F92">
        <f>COUNTIF($E$2:$E$314,E92)</f>
        <v>1</v>
      </c>
      <c r="G92" t="s">
        <v>211</v>
      </c>
    </row>
    <row r="93" spans="1:7">
      <c r="A93" t="s">
        <v>8763</v>
      </c>
      <c r="B93">
        <f>COUNTIF($A$2:$A$499,A93)</f>
        <v>1</v>
      </c>
      <c r="C93" t="s">
        <v>9365</v>
      </c>
      <c r="D93" t="s">
        <v>8454</v>
      </c>
      <c r="E93" t="s">
        <v>8478</v>
      </c>
      <c r="F93">
        <f>COUNTIF($E$2:$E$314,E93)</f>
        <v>1</v>
      </c>
      <c r="G93" t="s">
        <v>14</v>
      </c>
    </row>
    <row r="94" spans="1:7">
      <c r="A94" t="s">
        <v>283</v>
      </c>
      <c r="B94">
        <f>COUNTIF($A$2:$A$499,A94)</f>
        <v>1</v>
      </c>
      <c r="C94" t="s">
        <v>9366</v>
      </c>
      <c r="D94" t="s">
        <v>8454</v>
      </c>
      <c r="E94" t="s">
        <v>8559</v>
      </c>
      <c r="F94">
        <f>COUNTIF($E$2:$E$314,E94)</f>
        <v>1</v>
      </c>
      <c r="G94" t="s">
        <v>211</v>
      </c>
    </row>
    <row r="95" spans="1:7">
      <c r="A95" t="s">
        <v>1822</v>
      </c>
      <c r="B95">
        <f>COUNTIF($A$2:$A$499,A95)</f>
        <v>1</v>
      </c>
      <c r="C95" t="s">
        <v>9367</v>
      </c>
      <c r="D95" t="s">
        <v>8454</v>
      </c>
      <c r="E95" t="s">
        <v>8704</v>
      </c>
      <c r="F95">
        <f>COUNTIF($E$2:$E$314,E95)</f>
        <v>1</v>
      </c>
      <c r="G95" t="s">
        <v>318</v>
      </c>
    </row>
    <row r="96" spans="1:7">
      <c r="A96" t="s">
        <v>4204</v>
      </c>
      <c r="B96">
        <f>COUNTIF($A$2:$A$499,A96)</f>
        <v>1</v>
      </c>
      <c r="C96" t="s">
        <v>9368</v>
      </c>
      <c r="D96" t="s">
        <v>8454</v>
      </c>
      <c r="E96" t="s">
        <v>8560</v>
      </c>
      <c r="F96">
        <f>COUNTIF($E$2:$E$314,E96)</f>
        <v>1</v>
      </c>
      <c r="G96" t="s">
        <v>211</v>
      </c>
    </row>
    <row r="97" spans="1:7">
      <c r="A97" t="s">
        <v>10629</v>
      </c>
      <c r="B97">
        <f>COUNTIF($A$2:$A$499,A97)</f>
        <v>1</v>
      </c>
      <c r="C97" t="s">
        <v>10700</v>
      </c>
      <c r="E97" t="s">
        <v>10704</v>
      </c>
      <c r="G97" t="s">
        <v>55</v>
      </c>
    </row>
    <row r="98" spans="1:7">
      <c r="A98" t="s">
        <v>8764</v>
      </c>
      <c r="B98">
        <f>COUNTIF($A$2:$A$499,A98)</f>
        <v>1</v>
      </c>
      <c r="C98" t="s">
        <v>9369</v>
      </c>
      <c r="D98" t="s">
        <v>8454</v>
      </c>
      <c r="E98" t="s">
        <v>8477</v>
      </c>
      <c r="F98">
        <f>COUNTIF($E$2:$E$314,E98)</f>
        <v>1</v>
      </c>
      <c r="G98" t="s">
        <v>557</v>
      </c>
    </row>
    <row r="99" spans="1:7">
      <c r="A99" t="s">
        <v>1890</v>
      </c>
      <c r="B99">
        <f>COUNTIF($A$2:$A$499,A99)</f>
        <v>1</v>
      </c>
      <c r="C99" t="s">
        <v>9370</v>
      </c>
      <c r="D99" t="s">
        <v>8454</v>
      </c>
      <c r="E99" t="s">
        <v>8561</v>
      </c>
      <c r="F99">
        <f>COUNTIF($E$2:$E$314,E99)</f>
        <v>1</v>
      </c>
      <c r="G99" t="s">
        <v>1893</v>
      </c>
    </row>
    <row r="100" spans="1:7">
      <c r="A100" t="s">
        <v>315</v>
      </c>
      <c r="B100">
        <f>COUNTIF($A$2:$A$499,A100)</f>
        <v>1</v>
      </c>
      <c r="C100" t="s">
        <v>9371</v>
      </c>
      <c r="D100" t="s">
        <v>8454</v>
      </c>
      <c r="E100" t="s">
        <v>8562</v>
      </c>
      <c r="F100">
        <f>COUNTIF($E$2:$E$314,E100)</f>
        <v>1</v>
      </c>
      <c r="G100" t="s">
        <v>318</v>
      </c>
    </row>
    <row r="101" spans="1:7">
      <c r="A101" t="s">
        <v>5417</v>
      </c>
      <c r="B101">
        <f>COUNTIF($A$2:$A$499,A101)</f>
        <v>1</v>
      </c>
      <c r="C101" t="s">
        <v>9372</v>
      </c>
      <c r="D101" t="s">
        <v>8454</v>
      </c>
      <c r="E101" t="s">
        <v>8563</v>
      </c>
      <c r="F101">
        <f>COUNTIF($E$2:$E$314,E101)</f>
        <v>1</v>
      </c>
      <c r="G101" t="s">
        <v>1600</v>
      </c>
    </row>
    <row r="102" spans="1:7">
      <c r="A102" t="s">
        <v>2998</v>
      </c>
      <c r="B102">
        <f>COUNTIF($A$2:$A$499,A102)</f>
        <v>1</v>
      </c>
      <c r="C102" t="s">
        <v>9373</v>
      </c>
      <c r="D102" t="s">
        <v>8455</v>
      </c>
      <c r="E102" t="s">
        <v>8788</v>
      </c>
      <c r="F102">
        <f>COUNTIF($E$2:$E$314,E102)</f>
        <v>1</v>
      </c>
      <c r="G102" t="s">
        <v>8808</v>
      </c>
    </row>
    <row r="103" spans="1:7">
      <c r="A103" t="s">
        <v>8765</v>
      </c>
      <c r="B103">
        <f>COUNTIF($A$2:$A$499,A103)</f>
        <v>1</v>
      </c>
      <c r="C103" t="s">
        <v>9374</v>
      </c>
      <c r="D103" t="s">
        <v>8454</v>
      </c>
      <c r="E103" t="s">
        <v>8476</v>
      </c>
      <c r="F103">
        <f>COUNTIF($E$2:$E$314,E103)</f>
        <v>1</v>
      </c>
      <c r="G103" t="s">
        <v>2922</v>
      </c>
    </row>
    <row r="104" spans="1:7">
      <c r="A104" t="s">
        <v>1507</v>
      </c>
      <c r="B104">
        <f>COUNTIF($A$2:$A$499,A104)</f>
        <v>1</v>
      </c>
      <c r="C104" t="s">
        <v>9375</v>
      </c>
      <c r="D104" t="s">
        <v>8454</v>
      </c>
      <c r="E104" t="s">
        <v>8564</v>
      </c>
      <c r="F104">
        <f>COUNTIF($E$2:$E$314,E104)</f>
        <v>1</v>
      </c>
      <c r="G104" t="s">
        <v>1510</v>
      </c>
    </row>
    <row r="105" spans="1:7">
      <c r="A105" t="s">
        <v>616</v>
      </c>
      <c r="B105">
        <f>COUNTIF($A$2:$A$499,A105)</f>
        <v>1</v>
      </c>
      <c r="C105" t="s">
        <v>9376</v>
      </c>
      <c r="D105" t="s">
        <v>8454</v>
      </c>
      <c r="E105" t="s">
        <v>8705</v>
      </c>
      <c r="F105">
        <f>COUNTIF($E$2:$E$314,E105)</f>
        <v>1</v>
      </c>
      <c r="G105" t="s">
        <v>14</v>
      </c>
    </row>
    <row r="106" spans="1:7">
      <c r="A106" t="s">
        <v>4486</v>
      </c>
      <c r="B106">
        <f>COUNTIF($A$2:$A$499,A106)</f>
        <v>1</v>
      </c>
      <c r="C106" t="s">
        <v>9377</v>
      </c>
      <c r="D106" t="s">
        <v>8454</v>
      </c>
      <c r="E106" t="s">
        <v>8706</v>
      </c>
      <c r="F106">
        <f>COUNTIF($E$2:$E$314,E106)</f>
        <v>1</v>
      </c>
      <c r="G106" t="s">
        <v>2674</v>
      </c>
    </row>
    <row r="107" spans="1:7">
      <c r="A107" t="s">
        <v>1279</v>
      </c>
      <c r="B107">
        <f>COUNTIF($A$2:$A$499,A107)</f>
        <v>1</v>
      </c>
      <c r="C107" t="s">
        <v>9378</v>
      </c>
      <c r="D107" t="s">
        <v>8454</v>
      </c>
      <c r="E107" t="s">
        <v>8565</v>
      </c>
      <c r="F107">
        <f>COUNTIF($E$2:$E$314,E107)</f>
        <v>1</v>
      </c>
      <c r="G107" t="s">
        <v>269</v>
      </c>
    </row>
    <row r="108" spans="1:7">
      <c r="A108" t="s">
        <v>3062</v>
      </c>
      <c r="B108">
        <f>COUNTIF($A$2:$A$499,A108)</f>
        <v>1</v>
      </c>
      <c r="C108" t="s">
        <v>9379</v>
      </c>
      <c r="D108" t="s">
        <v>8454</v>
      </c>
      <c r="E108" t="s">
        <v>8566</v>
      </c>
      <c r="F108">
        <f>COUNTIF($E$2:$E$314,E108)</f>
        <v>1</v>
      </c>
      <c r="G108" t="s">
        <v>557</v>
      </c>
    </row>
    <row r="109" spans="1:7">
      <c r="A109" t="s">
        <v>1114</v>
      </c>
      <c r="B109">
        <f>COUNTIF($A$2:$A$499,A109)</f>
        <v>1</v>
      </c>
      <c r="C109" t="s">
        <v>9380</v>
      </c>
      <c r="D109" t="s">
        <v>8454</v>
      </c>
      <c r="E109" t="s">
        <v>8567</v>
      </c>
      <c r="F109">
        <f>COUNTIF($E$2:$E$314,E109)</f>
        <v>1</v>
      </c>
      <c r="G109" t="s">
        <v>14</v>
      </c>
    </row>
    <row r="110" spans="1:7">
      <c r="A110" t="s">
        <v>2189</v>
      </c>
      <c r="B110">
        <f>COUNTIF($A$2:$A$499,A110)</f>
        <v>1</v>
      </c>
      <c r="C110" t="s">
        <v>9381</v>
      </c>
      <c r="D110" t="s">
        <v>8454</v>
      </c>
      <c r="E110" t="s">
        <v>8568</v>
      </c>
      <c r="F110">
        <f>COUNTIF($E$2:$E$314,E110)</f>
        <v>1</v>
      </c>
      <c r="G110" t="s">
        <v>211</v>
      </c>
    </row>
    <row r="111" spans="1:7">
      <c r="A111" t="s">
        <v>4766</v>
      </c>
      <c r="B111">
        <f>COUNTIF($A$2:$A$499,A111)</f>
        <v>1</v>
      </c>
      <c r="C111" t="s">
        <v>9382</v>
      </c>
      <c r="D111" t="s">
        <v>8454</v>
      </c>
      <c r="E111" t="s">
        <v>8569</v>
      </c>
      <c r="F111">
        <f>COUNTIF($E$2:$E$314,E111)</f>
        <v>1</v>
      </c>
      <c r="G111" t="s">
        <v>211</v>
      </c>
    </row>
    <row r="112" spans="1:7">
      <c r="A112" t="s">
        <v>2781</v>
      </c>
      <c r="B112">
        <f>COUNTIF($A$2:$A$499,A112)</f>
        <v>1</v>
      </c>
      <c r="C112" t="s">
        <v>9383</v>
      </c>
      <c r="D112" t="s">
        <v>8454</v>
      </c>
      <c r="E112" t="s">
        <v>8570</v>
      </c>
      <c r="F112">
        <f>COUNTIF($E$2:$E$314,E112)</f>
        <v>1</v>
      </c>
      <c r="G112" t="s">
        <v>211</v>
      </c>
    </row>
    <row r="113" spans="1:7">
      <c r="A113" t="s">
        <v>4727</v>
      </c>
      <c r="B113">
        <f>COUNTIF($A$2:$A$499,A113)</f>
        <v>1</v>
      </c>
      <c r="C113" t="s">
        <v>9384</v>
      </c>
      <c r="D113" t="s">
        <v>8454</v>
      </c>
      <c r="E113" t="s">
        <v>4727</v>
      </c>
      <c r="F113">
        <f>COUNTIF($E$2:$E$314,E113)</f>
        <v>1</v>
      </c>
      <c r="G113" t="s">
        <v>211</v>
      </c>
    </row>
    <row r="114" spans="1:7">
      <c r="A114" t="s">
        <v>1790</v>
      </c>
      <c r="B114">
        <f>COUNTIF($A$2:$A$499,A114)</f>
        <v>1</v>
      </c>
      <c r="C114" t="s">
        <v>9385</v>
      </c>
      <c r="D114" t="s">
        <v>8454</v>
      </c>
      <c r="E114" t="s">
        <v>8708</v>
      </c>
      <c r="F114">
        <f>COUNTIF($E$2:$E$314,E114)</f>
        <v>1</v>
      </c>
      <c r="G114" t="s">
        <v>55</v>
      </c>
    </row>
    <row r="115" spans="1:7">
      <c r="A115" t="s">
        <v>4880</v>
      </c>
      <c r="B115">
        <f>COUNTIF($A$2:$A$499,A115)</f>
        <v>1</v>
      </c>
      <c r="C115" t="s">
        <v>9386</v>
      </c>
      <c r="D115" t="s">
        <v>8454</v>
      </c>
      <c r="E115" t="s">
        <v>8709</v>
      </c>
      <c r="F115">
        <f>COUNTIF($E$2:$E$314,E115)</f>
        <v>1</v>
      </c>
      <c r="G115" t="s">
        <v>8808</v>
      </c>
    </row>
    <row r="116" spans="1:7">
      <c r="A116" t="s">
        <v>4988</v>
      </c>
      <c r="B116">
        <f>COUNTIF($A$2:$A$499,A116)</f>
        <v>1</v>
      </c>
      <c r="C116" t="s">
        <v>9387</v>
      </c>
      <c r="D116" t="s">
        <v>8454</v>
      </c>
      <c r="E116" t="s">
        <v>8572</v>
      </c>
      <c r="F116">
        <f>COUNTIF($E$2:$E$314,E116)</f>
        <v>1</v>
      </c>
      <c r="G116" t="s">
        <v>8860</v>
      </c>
    </row>
    <row r="117" spans="1:7">
      <c r="A117" t="s">
        <v>1357</v>
      </c>
      <c r="B117">
        <f>COUNTIF($A$2:$A$499,A117)</f>
        <v>1</v>
      </c>
      <c r="C117" t="s">
        <v>9388</v>
      </c>
      <c r="D117" t="s">
        <v>8454</v>
      </c>
      <c r="E117" t="s">
        <v>8573</v>
      </c>
      <c r="F117">
        <f>COUNTIF($E$2:$E$314,E117)</f>
        <v>1</v>
      </c>
      <c r="G117" t="s">
        <v>8808</v>
      </c>
    </row>
    <row r="118" spans="1:7">
      <c r="A118" t="s">
        <v>4580</v>
      </c>
      <c r="B118">
        <f>COUNTIF($A$2:$A$499,A118)</f>
        <v>1</v>
      </c>
      <c r="C118" t="s">
        <v>9389</v>
      </c>
      <c r="D118" t="s">
        <v>8454</v>
      </c>
      <c r="E118" t="s">
        <v>8707</v>
      </c>
      <c r="F118">
        <f>COUNTIF($E$2:$E$314,E118)</f>
        <v>1</v>
      </c>
      <c r="G118" t="s">
        <v>75</v>
      </c>
    </row>
    <row r="119" spans="1:7">
      <c r="A119" t="s">
        <v>2358</v>
      </c>
      <c r="B119">
        <f>COUNTIF($A$2:$A$499,A119)</f>
        <v>1</v>
      </c>
      <c r="C119" t="s">
        <v>9390</v>
      </c>
      <c r="D119" t="s">
        <v>8454</v>
      </c>
      <c r="E119" t="s">
        <v>8574</v>
      </c>
      <c r="F119">
        <f>COUNTIF($E$2:$E$314,E119)</f>
        <v>1</v>
      </c>
      <c r="G119" t="s">
        <v>8808</v>
      </c>
    </row>
    <row r="120" spans="1:7">
      <c r="A120" t="s">
        <v>2296</v>
      </c>
      <c r="B120">
        <f>COUNTIF($A$2:$A$499,A120)</f>
        <v>1</v>
      </c>
      <c r="C120" t="s">
        <v>9391</v>
      </c>
      <c r="D120" t="s">
        <v>8454</v>
      </c>
      <c r="E120" t="s">
        <v>8575</v>
      </c>
      <c r="F120">
        <f>COUNTIF($E$2:$E$314,E120)</f>
        <v>1</v>
      </c>
      <c r="G120" t="s">
        <v>694</v>
      </c>
    </row>
    <row r="121" spans="1:7">
      <c r="A121" t="s">
        <v>8766</v>
      </c>
      <c r="B121">
        <f>COUNTIF($A$2:$A$499,A121)</f>
        <v>1</v>
      </c>
      <c r="C121" t="s">
        <v>9392</v>
      </c>
      <c r="D121" t="s">
        <v>8456</v>
      </c>
      <c r="E121" t="s">
        <v>5690</v>
      </c>
      <c r="F121">
        <f>COUNTIF($E$2:$E$314,E121)</f>
        <v>1</v>
      </c>
      <c r="G121" t="s">
        <v>253</v>
      </c>
    </row>
    <row r="122" spans="1:7">
      <c r="A122" t="s">
        <v>8767</v>
      </c>
      <c r="B122">
        <f>COUNTIF($A$2:$A$499,A122)</f>
        <v>1</v>
      </c>
      <c r="C122" t="s">
        <v>9393</v>
      </c>
      <c r="D122" t="s">
        <v>8454</v>
      </c>
      <c r="E122" t="s">
        <v>8475</v>
      </c>
      <c r="F122">
        <f>COUNTIF($E$2:$E$314,E122)</f>
        <v>1</v>
      </c>
      <c r="G122" t="s">
        <v>8808</v>
      </c>
    </row>
    <row r="123" spans="1:7">
      <c r="A123" t="s">
        <v>2146</v>
      </c>
      <c r="B123">
        <f>COUNTIF($A$2:$A$499,A123)</f>
        <v>1</v>
      </c>
      <c r="C123" t="s">
        <v>9394</v>
      </c>
      <c r="D123" t="s">
        <v>8454</v>
      </c>
      <c r="E123" t="s">
        <v>8576</v>
      </c>
      <c r="F123">
        <f>COUNTIF($E$2:$E$314,E123)</f>
        <v>1</v>
      </c>
      <c r="G123" t="s">
        <v>75</v>
      </c>
    </row>
    <row r="124" spans="1:7">
      <c r="A124" t="s">
        <v>1667</v>
      </c>
      <c r="B124">
        <f>COUNTIF($A$2:$A$499,A124)</f>
        <v>1</v>
      </c>
      <c r="C124" t="s">
        <v>9395</v>
      </c>
      <c r="D124" t="s">
        <v>8454</v>
      </c>
      <c r="E124" t="s">
        <v>8577</v>
      </c>
      <c r="F124">
        <f>COUNTIF($E$2:$E$314,E124)</f>
        <v>1</v>
      </c>
      <c r="G124" t="s">
        <v>1600</v>
      </c>
    </row>
    <row r="125" spans="1:7">
      <c r="A125" t="s">
        <v>3430</v>
      </c>
      <c r="B125">
        <f>COUNTIF($A$2:$A$499,A125)</f>
        <v>1</v>
      </c>
      <c r="C125" t="s">
        <v>9396</v>
      </c>
      <c r="D125" t="s">
        <v>8455</v>
      </c>
      <c r="E125" t="s">
        <v>8789</v>
      </c>
      <c r="F125">
        <f>COUNTIF($E$2:$E$314,E125)</f>
        <v>1</v>
      </c>
      <c r="G125" t="s">
        <v>211</v>
      </c>
    </row>
    <row r="126" spans="1:7">
      <c r="A126" t="s">
        <v>1387</v>
      </c>
      <c r="B126">
        <f>COUNTIF($A$2:$A$499,A126)</f>
        <v>1</v>
      </c>
      <c r="C126" t="s">
        <v>9397</v>
      </c>
      <c r="D126" t="s">
        <v>8454</v>
      </c>
      <c r="E126" t="s">
        <v>8578</v>
      </c>
      <c r="F126">
        <f>COUNTIF($E$2:$E$314,E126)</f>
        <v>1</v>
      </c>
      <c r="G126" t="s">
        <v>8808</v>
      </c>
    </row>
    <row r="127" spans="1:7">
      <c r="A127" t="s">
        <v>5798</v>
      </c>
      <c r="B127">
        <f>COUNTIF($A$2:$A$499,A127)</f>
        <v>1</v>
      </c>
      <c r="C127" t="s">
        <v>9398</v>
      </c>
      <c r="D127" t="s">
        <v>8454</v>
      </c>
      <c r="E127" t="s">
        <v>8710</v>
      </c>
      <c r="F127">
        <f>COUNTIF($E$2:$E$314,E127)</f>
        <v>1</v>
      </c>
      <c r="G127" t="s">
        <v>55</v>
      </c>
    </row>
    <row r="128" spans="1:7">
      <c r="A128" t="s">
        <v>517</v>
      </c>
      <c r="B128">
        <f>COUNTIF($A$2:$A$499,A128)</f>
        <v>1</v>
      </c>
      <c r="C128" t="s">
        <v>9399</v>
      </c>
      <c r="D128" t="s">
        <v>8454</v>
      </c>
      <c r="E128" t="s">
        <v>8579</v>
      </c>
      <c r="F128">
        <f>COUNTIF($E$2:$E$314,E128)</f>
        <v>1</v>
      </c>
      <c r="G128" t="s">
        <v>14</v>
      </c>
    </row>
    <row r="129" spans="1:7">
      <c r="A129" t="s">
        <v>5374</v>
      </c>
      <c r="B129">
        <f>COUNTIF($A$2:$A$499,A129)</f>
        <v>1</v>
      </c>
      <c r="C129" t="s">
        <v>9400</v>
      </c>
      <c r="D129" t="s">
        <v>8454</v>
      </c>
      <c r="E129" t="s">
        <v>8711</v>
      </c>
      <c r="F129">
        <f>COUNTIF($E$2:$E$314,E129)</f>
        <v>1</v>
      </c>
      <c r="G129" t="s">
        <v>2369</v>
      </c>
    </row>
    <row r="130" spans="1:7">
      <c r="A130" t="s">
        <v>5227</v>
      </c>
      <c r="B130">
        <f>COUNTIF($A$2:$A$499,A130)</f>
        <v>1</v>
      </c>
      <c r="C130" t="s">
        <v>9401</v>
      </c>
      <c r="D130" t="s">
        <v>8454</v>
      </c>
      <c r="E130" t="s">
        <v>8580</v>
      </c>
      <c r="F130">
        <f>COUNTIF($E$2:$E$314,E130)</f>
        <v>1</v>
      </c>
      <c r="G130" t="s">
        <v>75</v>
      </c>
    </row>
    <row r="131" spans="1:7">
      <c r="A131" t="s">
        <v>8775</v>
      </c>
      <c r="B131">
        <f>COUNTIF($A$2:$A$499,A131)</f>
        <v>1</v>
      </c>
      <c r="C131" t="s">
        <v>9402</v>
      </c>
      <c r="D131" t="s">
        <v>8454</v>
      </c>
      <c r="E131" t="s">
        <v>8777</v>
      </c>
      <c r="F131">
        <f>COUNTIF($E$2:$E$314,E131)</f>
        <v>1</v>
      </c>
      <c r="G131" t="s">
        <v>55</v>
      </c>
    </row>
    <row r="132" spans="1:7">
      <c r="A132" t="s">
        <v>2305</v>
      </c>
      <c r="B132">
        <f>COUNTIF($A$2:$A$499,A132)</f>
        <v>1</v>
      </c>
      <c r="C132" t="s">
        <v>9403</v>
      </c>
      <c r="D132" t="s">
        <v>8454</v>
      </c>
      <c r="E132" t="s">
        <v>8712</v>
      </c>
      <c r="F132">
        <f>COUNTIF($E$2:$E$314,E132)</f>
        <v>1</v>
      </c>
      <c r="G132" t="s">
        <v>211</v>
      </c>
    </row>
    <row r="133" spans="1:7">
      <c r="A133" t="s">
        <v>2501</v>
      </c>
      <c r="B133">
        <f>COUNTIF($A$2:$A$499,A133)</f>
        <v>1</v>
      </c>
      <c r="C133" t="s">
        <v>9404</v>
      </c>
      <c r="D133" t="s">
        <v>8454</v>
      </c>
      <c r="E133" t="s">
        <v>8581</v>
      </c>
      <c r="F133">
        <f>COUNTIF($E$2:$E$314,E133)</f>
        <v>1</v>
      </c>
      <c r="G133" t="s">
        <v>459</v>
      </c>
    </row>
    <row r="134" spans="1:7">
      <c r="A134" t="s">
        <v>8768</v>
      </c>
      <c r="B134">
        <f>COUNTIF($A$2:$A$499,A134)</f>
        <v>1</v>
      </c>
      <c r="C134" t="s">
        <v>9405</v>
      </c>
      <c r="D134" t="s">
        <v>8454</v>
      </c>
      <c r="E134" t="s">
        <v>8474</v>
      </c>
      <c r="F134">
        <f>COUNTIF($E$2:$E$314,E134)</f>
        <v>1</v>
      </c>
      <c r="G134" t="s">
        <v>55</v>
      </c>
    </row>
    <row r="135" spans="1:7">
      <c r="A135" t="s">
        <v>8769</v>
      </c>
      <c r="B135">
        <f>COUNTIF($A$2:$A$499,A135)</f>
        <v>1</v>
      </c>
      <c r="C135" t="s">
        <v>9406</v>
      </c>
      <c r="D135" t="s">
        <v>8454</v>
      </c>
      <c r="E135" t="s">
        <v>8473</v>
      </c>
      <c r="F135">
        <f>COUNTIF($E$2:$E$314,E135)</f>
        <v>1</v>
      </c>
      <c r="G135" t="s">
        <v>2634</v>
      </c>
    </row>
    <row r="136" spans="1:7">
      <c r="A136" t="s">
        <v>5041</v>
      </c>
      <c r="B136">
        <f>COUNTIF($A$2:$A$499,A136)</f>
        <v>1</v>
      </c>
      <c r="C136" t="s">
        <v>9407</v>
      </c>
      <c r="D136" t="s">
        <v>8454</v>
      </c>
      <c r="E136" t="s">
        <v>8582</v>
      </c>
      <c r="F136">
        <f>COUNTIF($E$2:$E$314,E136)</f>
        <v>1</v>
      </c>
      <c r="G136" t="s">
        <v>5043</v>
      </c>
    </row>
    <row r="137" spans="1:7">
      <c r="A137" t="s">
        <v>8770</v>
      </c>
      <c r="B137">
        <f>COUNTIF($A$2:$A$499,A137)</f>
        <v>1</v>
      </c>
      <c r="C137" t="s">
        <v>9408</v>
      </c>
      <c r="D137" t="s">
        <v>8454</v>
      </c>
      <c r="E137" t="s">
        <v>1736</v>
      </c>
      <c r="F137">
        <f>COUNTIF($E$2:$E$314,E137)</f>
        <v>1</v>
      </c>
      <c r="G137" t="s">
        <v>8808</v>
      </c>
    </row>
    <row r="138" spans="1:7">
      <c r="A138" t="s">
        <v>8771</v>
      </c>
      <c r="B138">
        <f>COUNTIF($A$2:$A$499,A138)</f>
        <v>1</v>
      </c>
      <c r="C138" t="s">
        <v>9409</v>
      </c>
      <c r="D138" t="s">
        <v>8454</v>
      </c>
      <c r="E138" t="s">
        <v>8472</v>
      </c>
      <c r="F138">
        <f>COUNTIF($E$2:$E$314,E138)</f>
        <v>1</v>
      </c>
      <c r="G138" t="s">
        <v>211</v>
      </c>
    </row>
    <row r="139" spans="1:7">
      <c r="A139" t="s">
        <v>1752</v>
      </c>
      <c r="B139">
        <f>COUNTIF($A$2:$A$499,A139)</f>
        <v>1</v>
      </c>
      <c r="C139" t="s">
        <v>9410</v>
      </c>
      <c r="D139" t="s">
        <v>8454</v>
      </c>
      <c r="E139" t="s">
        <v>8583</v>
      </c>
      <c r="F139">
        <f>COUNTIF($E$2:$E$314,E139)</f>
        <v>1</v>
      </c>
      <c r="G139" t="s">
        <v>55</v>
      </c>
    </row>
    <row r="140" spans="1:7">
      <c r="A140" t="s">
        <v>2631</v>
      </c>
      <c r="B140">
        <f>COUNTIF($A$2:$A$499,A140)</f>
        <v>1</v>
      </c>
      <c r="C140" t="s">
        <v>9411</v>
      </c>
      <c r="D140" t="s">
        <v>8454</v>
      </c>
      <c r="E140" t="s">
        <v>8584</v>
      </c>
      <c r="F140">
        <f>COUNTIF($E$2:$E$314,E140)</f>
        <v>1</v>
      </c>
      <c r="G140" t="s">
        <v>2634</v>
      </c>
    </row>
    <row r="141" spans="1:7">
      <c r="A141" t="s">
        <v>2024</v>
      </c>
      <c r="B141">
        <f>COUNTIF($A$2:$A$499,A141)</f>
        <v>1</v>
      </c>
      <c r="C141" t="s">
        <v>9412</v>
      </c>
      <c r="D141" t="s">
        <v>8454</v>
      </c>
      <c r="E141" t="s">
        <v>8585</v>
      </c>
      <c r="F141">
        <f>COUNTIF($E$2:$E$314,E141)</f>
        <v>1</v>
      </c>
      <c r="G141" t="s">
        <v>1235</v>
      </c>
    </row>
    <row r="142" spans="1:7">
      <c r="A142" t="s">
        <v>1471</v>
      </c>
      <c r="B142">
        <f>COUNTIF($A$2:$A$499,A142)</f>
        <v>1</v>
      </c>
      <c r="C142" t="s">
        <v>9413</v>
      </c>
      <c r="D142" t="s">
        <v>8454</v>
      </c>
      <c r="E142" t="s">
        <v>8787</v>
      </c>
      <c r="F142">
        <f>COUNTIF($E$2:$E$314,E142)</f>
        <v>1</v>
      </c>
      <c r="G142" t="s">
        <v>427</v>
      </c>
    </row>
    <row r="143" spans="1:7">
      <c r="A143" t="s">
        <v>457</v>
      </c>
      <c r="B143">
        <f>COUNTIF($A$2:$A$499,A143)</f>
        <v>1</v>
      </c>
      <c r="C143" t="s">
        <v>9414</v>
      </c>
      <c r="D143" t="s">
        <v>8454</v>
      </c>
      <c r="E143" t="s">
        <v>8471</v>
      </c>
      <c r="F143">
        <f>COUNTIF($E$2:$E$314,E143)</f>
        <v>1</v>
      </c>
      <c r="G143" t="s">
        <v>459</v>
      </c>
    </row>
    <row r="144" spans="1:7">
      <c r="A144" t="s">
        <v>2345</v>
      </c>
      <c r="B144">
        <f>COUNTIF($A$2:$A$499,A144)</f>
        <v>1</v>
      </c>
      <c r="C144" t="s">
        <v>9415</v>
      </c>
      <c r="D144" t="s">
        <v>8454</v>
      </c>
      <c r="E144" t="s">
        <v>8586</v>
      </c>
      <c r="F144">
        <f>COUNTIF($E$2:$E$314,E144)</f>
        <v>1</v>
      </c>
      <c r="G144" t="s">
        <v>269</v>
      </c>
    </row>
    <row r="145" spans="1:7">
      <c r="A145" t="s">
        <v>10628</v>
      </c>
      <c r="B145">
        <f>COUNTIF($A$2:$A$499,A145)</f>
        <v>1</v>
      </c>
      <c r="C145" t="s">
        <v>10699</v>
      </c>
      <c r="E145" t="s">
        <v>10703</v>
      </c>
      <c r="G145" t="s">
        <v>427</v>
      </c>
    </row>
    <row r="146" spans="1:7">
      <c r="A146" t="s">
        <v>2942</v>
      </c>
      <c r="B146">
        <f>COUNTIF($A$2:$A$499,A146)</f>
        <v>1</v>
      </c>
      <c r="C146" t="s">
        <v>9416</v>
      </c>
      <c r="D146" t="s">
        <v>8454</v>
      </c>
      <c r="E146" t="s">
        <v>8587</v>
      </c>
      <c r="F146">
        <f>COUNTIF($E$2:$E$314,E146)</f>
        <v>1</v>
      </c>
      <c r="G146" t="s">
        <v>211</v>
      </c>
    </row>
    <row r="147" spans="1:7">
      <c r="A147" t="s">
        <v>8772</v>
      </c>
      <c r="B147">
        <f>COUNTIF($A$2:$A$499,A147)</f>
        <v>1</v>
      </c>
      <c r="C147" t="s">
        <v>9417</v>
      </c>
      <c r="D147" t="s">
        <v>8454</v>
      </c>
      <c r="E147" t="s">
        <v>8470</v>
      </c>
      <c r="F147">
        <f>COUNTIF($E$2:$E$314,E147)</f>
        <v>1</v>
      </c>
      <c r="G147" t="s">
        <v>8808</v>
      </c>
    </row>
    <row r="148" spans="1:7">
      <c r="A148" t="s">
        <v>2710</v>
      </c>
      <c r="B148">
        <f>COUNTIF($A$2:$A$499,A148)</f>
        <v>1</v>
      </c>
      <c r="C148" t="s">
        <v>9418</v>
      </c>
      <c r="D148" t="s">
        <v>8454</v>
      </c>
      <c r="E148" t="s">
        <v>8713</v>
      </c>
      <c r="F148">
        <f>COUNTIF($E$2:$E$314,E148)</f>
        <v>1</v>
      </c>
      <c r="G148" t="s">
        <v>609</v>
      </c>
    </row>
    <row r="149" spans="1:7">
      <c r="A149" t="s">
        <v>534</v>
      </c>
      <c r="B149">
        <f>COUNTIF($A$2:$A$499,A149)</f>
        <v>1</v>
      </c>
      <c r="C149" t="s">
        <v>9419</v>
      </c>
      <c r="D149" t="s">
        <v>8454</v>
      </c>
      <c r="E149" t="s">
        <v>8714</v>
      </c>
      <c r="F149">
        <f>COUNTIF($E$2:$E$314,E149)</f>
        <v>1</v>
      </c>
      <c r="G149" t="s">
        <v>537</v>
      </c>
    </row>
    <row r="150" spans="1:7">
      <c r="A150" t="s">
        <v>3315</v>
      </c>
      <c r="B150">
        <f>COUNTIF($A$2:$A$499,A150)</f>
        <v>1</v>
      </c>
      <c r="C150" t="s">
        <v>9420</v>
      </c>
      <c r="D150" t="s">
        <v>8454</v>
      </c>
      <c r="E150" t="s">
        <v>8588</v>
      </c>
      <c r="F150">
        <f>COUNTIF($E$2:$E$314,E150)</f>
        <v>1</v>
      </c>
      <c r="G150" t="s">
        <v>1600</v>
      </c>
    </row>
    <row r="151" spans="1:7">
      <c r="A151" t="s">
        <v>3088</v>
      </c>
      <c r="B151">
        <f>COUNTIF($A$2:$A$499,A151)</f>
        <v>1</v>
      </c>
      <c r="C151" t="s">
        <v>9421</v>
      </c>
      <c r="D151" t="s">
        <v>8454</v>
      </c>
      <c r="E151" t="s">
        <v>8589</v>
      </c>
      <c r="F151">
        <f>COUNTIF($E$2:$E$314,E151)</f>
        <v>1</v>
      </c>
      <c r="G151" t="s">
        <v>211</v>
      </c>
    </row>
    <row r="152" spans="1:7">
      <c r="A152" t="s">
        <v>8750</v>
      </c>
      <c r="B152">
        <f>COUNTIF($A$2:$A$499,A152)</f>
        <v>1</v>
      </c>
      <c r="C152" t="s">
        <v>9422</v>
      </c>
      <c r="D152" t="s">
        <v>8454</v>
      </c>
      <c r="E152" t="s">
        <v>8469</v>
      </c>
      <c r="F152">
        <f>COUNTIF($E$2:$E$314,E152)</f>
        <v>1</v>
      </c>
      <c r="G152" t="s">
        <v>55</v>
      </c>
    </row>
    <row r="153" spans="1:7">
      <c r="A153" t="s">
        <v>305</v>
      </c>
      <c r="B153">
        <f>COUNTIF($A$2:$A$499,A153)</f>
        <v>1</v>
      </c>
      <c r="C153" t="s">
        <v>9423</v>
      </c>
      <c r="D153" t="s">
        <v>8454</v>
      </c>
      <c r="E153" t="s">
        <v>8590</v>
      </c>
      <c r="F153">
        <f>COUNTIF($E$2:$E$314,E153)</f>
        <v>1</v>
      </c>
      <c r="G153" t="s">
        <v>37</v>
      </c>
    </row>
    <row r="154" spans="1:7">
      <c r="A154" t="s">
        <v>8797</v>
      </c>
      <c r="B154">
        <f>COUNTIF($A$2:$A$499,A154)</f>
        <v>1</v>
      </c>
      <c r="C154" t="s">
        <v>9424</v>
      </c>
      <c r="D154" t="s">
        <v>8454</v>
      </c>
      <c r="E154" t="s">
        <v>8800</v>
      </c>
      <c r="F154">
        <f>COUNTIF($E$2:$E$314,E154)</f>
        <v>1</v>
      </c>
      <c r="G154" t="s">
        <v>211</v>
      </c>
    </row>
    <row r="155" spans="1:7">
      <c r="A155" t="s">
        <v>2051</v>
      </c>
      <c r="B155">
        <f>COUNTIF($A$2:$A$499,A155)</f>
        <v>1</v>
      </c>
      <c r="C155" t="s">
        <v>9425</v>
      </c>
      <c r="D155" t="s">
        <v>8454</v>
      </c>
      <c r="E155" t="s">
        <v>8591</v>
      </c>
      <c r="F155">
        <f>COUNTIF($E$2:$E$314,E155)</f>
        <v>1</v>
      </c>
      <c r="G155" t="s">
        <v>2054</v>
      </c>
    </row>
    <row r="156" spans="1:7">
      <c r="A156" t="s">
        <v>3296</v>
      </c>
      <c r="B156">
        <f>COUNTIF($A$2:$A$499,A156)</f>
        <v>1</v>
      </c>
      <c r="C156" t="s">
        <v>9426</v>
      </c>
      <c r="D156" t="s">
        <v>8454</v>
      </c>
      <c r="E156" t="s">
        <v>8592</v>
      </c>
      <c r="F156">
        <f>COUNTIF($E$2:$E$314,E156)</f>
        <v>1</v>
      </c>
      <c r="G156" t="s">
        <v>748</v>
      </c>
    </row>
    <row r="157" spans="1:7">
      <c r="A157" t="s">
        <v>1744</v>
      </c>
      <c r="B157">
        <f>COUNTIF($A$2:$A$499,A157)</f>
        <v>1</v>
      </c>
      <c r="C157" t="s">
        <v>9427</v>
      </c>
      <c r="D157" t="s">
        <v>8454</v>
      </c>
      <c r="E157" t="s">
        <v>8593</v>
      </c>
      <c r="F157">
        <f>COUNTIF($E$2:$E$314,E157)</f>
        <v>1</v>
      </c>
      <c r="G157" t="s">
        <v>8808</v>
      </c>
    </row>
    <row r="158" spans="1:7">
      <c r="A158" t="s">
        <v>1598</v>
      </c>
      <c r="B158">
        <f>COUNTIF($A$2:$A$499,A158)</f>
        <v>1</v>
      </c>
      <c r="C158" t="s">
        <v>9428</v>
      </c>
      <c r="D158" t="s">
        <v>8454</v>
      </c>
      <c r="E158" t="s">
        <v>8594</v>
      </c>
      <c r="F158">
        <f>COUNTIF($E$2:$E$314,E158)</f>
        <v>1</v>
      </c>
      <c r="G158" t="s">
        <v>1600</v>
      </c>
    </row>
    <row r="159" spans="1:7">
      <c r="A159" t="s">
        <v>3899</v>
      </c>
      <c r="B159">
        <f>COUNTIF($A$2:$A$499,A159)</f>
        <v>1</v>
      </c>
      <c r="C159" t="s">
        <v>9429</v>
      </c>
      <c r="D159" t="s">
        <v>8454</v>
      </c>
      <c r="E159" t="s">
        <v>8595</v>
      </c>
      <c r="F159">
        <f>COUNTIF($E$2:$E$314,E159)</f>
        <v>1</v>
      </c>
      <c r="G159" t="s">
        <v>848</v>
      </c>
    </row>
    <row r="160" spans="1:7">
      <c r="A160" t="s">
        <v>371</v>
      </c>
      <c r="B160">
        <f>COUNTIF($A$2:$A$499,A160)</f>
        <v>1</v>
      </c>
      <c r="C160" t="s">
        <v>9430</v>
      </c>
      <c r="D160" t="s">
        <v>8454</v>
      </c>
      <c r="E160" t="s">
        <v>8502</v>
      </c>
      <c r="F160">
        <f>COUNTIF($E$2:$E$314,E160)</f>
        <v>1</v>
      </c>
      <c r="G160" t="s">
        <v>14</v>
      </c>
    </row>
    <row r="161" spans="1:7">
      <c r="A161" t="s">
        <v>4050</v>
      </c>
      <c r="B161">
        <f>COUNTIF($A$2:$A$499,A161)</f>
        <v>1</v>
      </c>
      <c r="C161" t="s">
        <v>9431</v>
      </c>
      <c r="D161" t="s">
        <v>8454</v>
      </c>
      <c r="E161" t="s">
        <v>8596</v>
      </c>
      <c r="F161">
        <f>COUNTIF($E$2:$E$314,E161)</f>
        <v>1</v>
      </c>
      <c r="G161" t="s">
        <v>211</v>
      </c>
    </row>
    <row r="162" spans="1:7">
      <c r="A162" t="s">
        <v>711</v>
      </c>
      <c r="B162">
        <f>COUNTIF($A$2:$A$499,A162)</f>
        <v>1</v>
      </c>
      <c r="C162" t="s">
        <v>9432</v>
      </c>
      <c r="D162" t="s">
        <v>8454</v>
      </c>
      <c r="E162" t="s">
        <v>8597</v>
      </c>
      <c r="F162">
        <f>COUNTIF($E$2:$E$314,E162)</f>
        <v>1</v>
      </c>
      <c r="G162" t="s">
        <v>609</v>
      </c>
    </row>
    <row r="163" spans="1:7">
      <c r="A163" t="s">
        <v>573</v>
      </c>
      <c r="B163">
        <f>COUNTIF($A$2:$A$499,A163)</f>
        <v>1</v>
      </c>
      <c r="C163" t="s">
        <v>9433</v>
      </c>
      <c r="D163" t="s">
        <v>8454</v>
      </c>
      <c r="E163" t="s">
        <v>8598</v>
      </c>
      <c r="F163">
        <f>COUNTIF($E$2:$E$314,E163)</f>
        <v>1</v>
      </c>
      <c r="G163" t="s">
        <v>211</v>
      </c>
    </row>
    <row r="164" spans="1:7">
      <c r="A164" t="s">
        <v>929</v>
      </c>
      <c r="B164">
        <f>COUNTIF($A$2:$A$499,A164)</f>
        <v>1</v>
      </c>
      <c r="C164" t="s">
        <v>9434</v>
      </c>
      <c r="D164" t="s">
        <v>8454</v>
      </c>
      <c r="E164" t="s">
        <v>8599</v>
      </c>
      <c r="F164">
        <f>COUNTIF($E$2:$E$314,E164)</f>
        <v>1</v>
      </c>
      <c r="G164" t="s">
        <v>14</v>
      </c>
    </row>
    <row r="165" spans="1:7">
      <c r="A165" t="s">
        <v>4017</v>
      </c>
      <c r="B165">
        <f>COUNTIF($A$2:$A$499,A165)</f>
        <v>1</v>
      </c>
      <c r="C165" t="s">
        <v>9435</v>
      </c>
      <c r="D165" t="s">
        <v>8454</v>
      </c>
      <c r="E165" t="s">
        <v>8600</v>
      </c>
      <c r="F165">
        <f>COUNTIF($E$2:$E$314,E165)</f>
        <v>1</v>
      </c>
      <c r="G165" t="s">
        <v>8808</v>
      </c>
    </row>
    <row r="166" spans="1:7">
      <c r="A166" t="s">
        <v>2731</v>
      </c>
      <c r="B166">
        <f>COUNTIF($A$2:$A$499,A166)</f>
        <v>1</v>
      </c>
      <c r="C166" t="s">
        <v>9436</v>
      </c>
      <c r="D166" t="s">
        <v>8454</v>
      </c>
      <c r="E166" t="s">
        <v>8601</v>
      </c>
      <c r="F166">
        <f>COUNTIF($E$2:$E$314,E166)</f>
        <v>1</v>
      </c>
      <c r="G166" t="s">
        <v>8808</v>
      </c>
    </row>
    <row r="167" spans="1:7">
      <c r="A167" t="s">
        <v>2949</v>
      </c>
      <c r="B167">
        <f>COUNTIF($A$2:$A$499,A167)</f>
        <v>1</v>
      </c>
      <c r="C167" t="s">
        <v>9437</v>
      </c>
      <c r="D167" t="s">
        <v>8454</v>
      </c>
      <c r="E167" t="s">
        <v>8602</v>
      </c>
      <c r="F167">
        <f>COUNTIF($E$2:$E$314,E167)</f>
        <v>1</v>
      </c>
      <c r="G167" t="s">
        <v>211</v>
      </c>
    </row>
    <row r="168" spans="1:7">
      <c r="A168" t="s">
        <v>4620</v>
      </c>
      <c r="B168">
        <f>COUNTIF($A$2:$A$499,A168)</f>
        <v>1</v>
      </c>
      <c r="C168" t="s">
        <v>9438</v>
      </c>
      <c r="D168" t="s">
        <v>8454</v>
      </c>
      <c r="E168" t="s">
        <v>8603</v>
      </c>
      <c r="F168">
        <f>COUNTIF($E$2:$E$314,E168)</f>
        <v>1</v>
      </c>
      <c r="G168" t="s">
        <v>557</v>
      </c>
    </row>
    <row r="169" spans="1:7">
      <c r="A169" t="s">
        <v>4646</v>
      </c>
      <c r="B169">
        <f>COUNTIF($A$2:$A$499,A169)</f>
        <v>1</v>
      </c>
      <c r="C169" t="s">
        <v>9439</v>
      </c>
      <c r="D169" t="s">
        <v>8454</v>
      </c>
      <c r="E169" t="s">
        <v>8604</v>
      </c>
      <c r="F169">
        <f>COUNTIF($E$2:$E$314,E169)</f>
        <v>1</v>
      </c>
      <c r="G169" t="s">
        <v>1600</v>
      </c>
    </row>
    <row r="170" spans="1:7">
      <c r="A170" t="s">
        <v>857</v>
      </c>
      <c r="B170">
        <f>COUNTIF($A$2:$A$499,A170)</f>
        <v>1</v>
      </c>
      <c r="C170" t="s">
        <v>9440</v>
      </c>
      <c r="D170" t="s">
        <v>8454</v>
      </c>
      <c r="E170" t="s">
        <v>8605</v>
      </c>
      <c r="F170">
        <f>COUNTIF($E$2:$E$314,E170)</f>
        <v>1</v>
      </c>
      <c r="G170" t="s">
        <v>557</v>
      </c>
    </row>
    <row r="171" spans="1:7">
      <c r="A171" t="s">
        <v>2214</v>
      </c>
      <c r="B171">
        <f>COUNTIF($A$2:$A$499,A171)</f>
        <v>1</v>
      </c>
      <c r="C171" t="s">
        <v>9441</v>
      </c>
      <c r="D171" t="s">
        <v>8454</v>
      </c>
      <c r="E171" t="s">
        <v>8606</v>
      </c>
      <c r="F171">
        <f>COUNTIF($E$2:$E$314,E171)</f>
        <v>1</v>
      </c>
      <c r="G171" t="s">
        <v>75</v>
      </c>
    </row>
    <row r="172" spans="1:7">
      <c r="A172" t="s">
        <v>8776</v>
      </c>
      <c r="B172">
        <f>COUNTIF($A$2:$A$499,A172)</f>
        <v>1</v>
      </c>
      <c r="C172" t="s">
        <v>9442</v>
      </c>
      <c r="D172" t="s">
        <v>8454</v>
      </c>
      <c r="E172" t="s">
        <v>8795</v>
      </c>
      <c r="F172">
        <f>COUNTIF($E$2:$E$314,E172)</f>
        <v>1</v>
      </c>
      <c r="G172" t="s">
        <v>234</v>
      </c>
    </row>
    <row r="173" spans="1:7">
      <c r="A173" t="s">
        <v>3990</v>
      </c>
      <c r="B173">
        <f>COUNTIF($A$2:$A$499,A173)</f>
        <v>1</v>
      </c>
      <c r="C173" t="s">
        <v>9443</v>
      </c>
      <c r="D173" t="s">
        <v>8454</v>
      </c>
      <c r="E173" t="s">
        <v>8607</v>
      </c>
      <c r="F173">
        <f>COUNTIF($E$2:$E$314,E173)</f>
        <v>1</v>
      </c>
      <c r="G173" t="s">
        <v>211</v>
      </c>
    </row>
    <row r="174" spans="1:7">
      <c r="A174" t="s">
        <v>2957</v>
      </c>
      <c r="B174">
        <f>COUNTIF($A$2:$A$499,A174)</f>
        <v>1</v>
      </c>
      <c r="C174" t="s">
        <v>9444</v>
      </c>
      <c r="D174" t="s">
        <v>8454</v>
      </c>
      <c r="E174" t="s">
        <v>8608</v>
      </c>
      <c r="F174">
        <f>COUNTIF($E$2:$E$314,E174)</f>
        <v>1</v>
      </c>
      <c r="G174" t="s">
        <v>211</v>
      </c>
    </row>
    <row r="175" spans="1:7">
      <c r="A175" t="s">
        <v>2663</v>
      </c>
      <c r="B175">
        <f>COUNTIF($A$2:$A$499,A175)</f>
        <v>1</v>
      </c>
      <c r="C175" t="s">
        <v>9445</v>
      </c>
      <c r="D175" t="s">
        <v>8454</v>
      </c>
      <c r="E175" t="s">
        <v>8609</v>
      </c>
      <c r="F175">
        <f>COUNTIF($E$2:$E$314,E175)</f>
        <v>1</v>
      </c>
      <c r="G175" t="s">
        <v>211</v>
      </c>
    </row>
    <row r="176" spans="1:7">
      <c r="A176" t="s">
        <v>582</v>
      </c>
      <c r="B176">
        <f>COUNTIF($A$2:$A$499,A176)</f>
        <v>1</v>
      </c>
      <c r="C176" t="s">
        <v>9446</v>
      </c>
      <c r="D176" t="s">
        <v>8454</v>
      </c>
      <c r="E176" t="s">
        <v>8687</v>
      </c>
      <c r="F176">
        <f>COUNTIF($E$2:$E$314,E176)</f>
        <v>1</v>
      </c>
      <c r="G176" t="s">
        <v>8808</v>
      </c>
    </row>
    <row r="177" spans="1:7">
      <c r="A177" t="s">
        <v>1832</v>
      </c>
      <c r="B177">
        <f>COUNTIF($A$2:$A$499,A177)</f>
        <v>1</v>
      </c>
      <c r="C177" t="s">
        <v>9447</v>
      </c>
      <c r="D177" t="s">
        <v>8454</v>
      </c>
      <c r="E177" t="s">
        <v>8610</v>
      </c>
      <c r="F177">
        <f>COUNTIF($E$2:$E$314,E177)</f>
        <v>1</v>
      </c>
      <c r="G177" t="s">
        <v>55</v>
      </c>
    </row>
    <row r="178" spans="1:7">
      <c r="A178" t="s">
        <v>4259</v>
      </c>
      <c r="B178">
        <f>COUNTIF($A$2:$A$499,A178)</f>
        <v>1</v>
      </c>
      <c r="C178" t="s">
        <v>9448</v>
      </c>
      <c r="D178" t="s">
        <v>8454</v>
      </c>
      <c r="E178" t="s">
        <v>8611</v>
      </c>
      <c r="F178">
        <f>COUNTIF($E$2:$E$314,E178)</f>
        <v>1</v>
      </c>
      <c r="G178" t="s">
        <v>211</v>
      </c>
    </row>
    <row r="179" spans="1:7">
      <c r="A179" t="s">
        <v>1097</v>
      </c>
      <c r="B179">
        <f>COUNTIF($A$2:$A$499,A179)</f>
        <v>1</v>
      </c>
      <c r="C179" t="s">
        <v>9449</v>
      </c>
      <c r="D179" t="s">
        <v>8454</v>
      </c>
      <c r="E179" t="s">
        <v>8715</v>
      </c>
      <c r="F179">
        <f>COUNTIF($E$2:$E$314,E179)</f>
        <v>1</v>
      </c>
      <c r="G179" t="s">
        <v>211</v>
      </c>
    </row>
    <row r="180" spans="1:7">
      <c r="A180" t="s">
        <v>1047</v>
      </c>
      <c r="B180">
        <f>COUNTIF($A$2:$A$499,A180)</f>
        <v>1</v>
      </c>
      <c r="C180" t="s">
        <v>9450</v>
      </c>
      <c r="D180" t="s">
        <v>8454</v>
      </c>
      <c r="E180" t="s">
        <v>8612</v>
      </c>
      <c r="F180">
        <f>COUNTIF($E$2:$E$314,E180)</f>
        <v>1</v>
      </c>
      <c r="G180" t="s">
        <v>8808</v>
      </c>
    </row>
    <row r="181" spans="1:7">
      <c r="A181" t="s">
        <v>1851</v>
      </c>
      <c r="B181">
        <f>COUNTIF($A$2:$A$499,A181)</f>
        <v>1</v>
      </c>
      <c r="C181" t="s">
        <v>9451</v>
      </c>
      <c r="D181" t="s">
        <v>8454</v>
      </c>
      <c r="E181" t="s">
        <v>8716</v>
      </c>
      <c r="F181">
        <f>COUNTIF($E$2:$E$314,E181)</f>
        <v>1</v>
      </c>
      <c r="G181" t="s">
        <v>14</v>
      </c>
    </row>
    <row r="182" spans="1:7">
      <c r="A182" t="s">
        <v>4560</v>
      </c>
      <c r="B182">
        <f>COUNTIF($A$2:$A$499,A182)</f>
        <v>1</v>
      </c>
      <c r="C182" t="s">
        <v>9452</v>
      </c>
      <c r="D182" t="s">
        <v>8454</v>
      </c>
      <c r="E182" t="s">
        <v>8717</v>
      </c>
      <c r="F182">
        <f>COUNTIF($E$2:$E$314,E182)</f>
        <v>1</v>
      </c>
      <c r="G182" t="s">
        <v>8808</v>
      </c>
    </row>
    <row r="183" spans="1:7">
      <c r="A183" t="s">
        <v>606</v>
      </c>
      <c r="B183">
        <f>COUNTIF($A$2:$A$499,A183)</f>
        <v>1</v>
      </c>
      <c r="C183" t="s">
        <v>9453</v>
      </c>
      <c r="D183" t="s">
        <v>8454</v>
      </c>
      <c r="E183" t="s">
        <v>8613</v>
      </c>
      <c r="F183">
        <f>COUNTIF($E$2:$E$314,E183)</f>
        <v>1</v>
      </c>
      <c r="G183" t="s">
        <v>609</v>
      </c>
    </row>
    <row r="184" spans="1:7">
      <c r="A184" t="s">
        <v>34</v>
      </c>
      <c r="B184">
        <f>COUNTIF($A$2:$A$499,A184)</f>
        <v>1</v>
      </c>
      <c r="C184" t="s">
        <v>9454</v>
      </c>
      <c r="D184" t="s">
        <v>8454</v>
      </c>
      <c r="E184" t="s">
        <v>8796</v>
      </c>
      <c r="F184">
        <f>COUNTIF($E$2:$E$314,E184)</f>
        <v>1</v>
      </c>
      <c r="G184" t="s">
        <v>37</v>
      </c>
    </row>
    <row r="185" spans="1:7">
      <c r="A185" t="s">
        <v>83</v>
      </c>
      <c r="B185">
        <f>COUNTIF($A$2:$A$499,A185)</f>
        <v>1</v>
      </c>
      <c r="C185" t="s">
        <v>9455</v>
      </c>
      <c r="D185" t="s">
        <v>8454</v>
      </c>
      <c r="E185" t="s">
        <v>8614</v>
      </c>
      <c r="F185">
        <f>COUNTIF($E$2:$E$314,E185)</f>
        <v>1</v>
      </c>
      <c r="G185" t="s">
        <v>86</v>
      </c>
    </row>
    <row r="186" spans="1:7">
      <c r="A186" t="s">
        <v>3396</v>
      </c>
      <c r="B186">
        <f>COUNTIF($A$2:$A$499,A186)</f>
        <v>1</v>
      </c>
      <c r="C186" t="s">
        <v>9456</v>
      </c>
      <c r="D186" t="s">
        <v>8454</v>
      </c>
      <c r="E186" t="s">
        <v>8718</v>
      </c>
      <c r="F186">
        <f>COUNTIF($E$2:$E$314,E186)</f>
        <v>1</v>
      </c>
      <c r="G186" t="s">
        <v>211</v>
      </c>
    </row>
    <row r="187" spans="1:7">
      <c r="A187" t="s">
        <v>898</v>
      </c>
      <c r="B187">
        <f>COUNTIF($A$2:$A$499,A187)</f>
        <v>1</v>
      </c>
      <c r="C187" t="s">
        <v>9457</v>
      </c>
      <c r="D187" t="s">
        <v>8454</v>
      </c>
      <c r="E187" t="s">
        <v>8504</v>
      </c>
      <c r="F187">
        <f>COUNTIF($E$2:$E$314,E187)</f>
        <v>1</v>
      </c>
      <c r="G187" t="s">
        <v>694</v>
      </c>
    </row>
    <row r="188" spans="1:7">
      <c r="A188" t="s">
        <v>846</v>
      </c>
      <c r="B188">
        <f>COUNTIF($A$2:$A$499,A188)</f>
        <v>1</v>
      </c>
      <c r="C188" t="s">
        <v>9458</v>
      </c>
      <c r="D188" t="s">
        <v>8454</v>
      </c>
      <c r="E188" t="s">
        <v>8505</v>
      </c>
      <c r="F188">
        <f>COUNTIF($E$2:$E$314,E188)</f>
        <v>1</v>
      </c>
      <c r="G188" t="s">
        <v>848</v>
      </c>
    </row>
    <row r="189" spans="1:7">
      <c r="A189" t="s">
        <v>2167</v>
      </c>
      <c r="B189">
        <f>COUNTIF($A$2:$A$499,A189)</f>
        <v>1</v>
      </c>
      <c r="C189" t="s">
        <v>9459</v>
      </c>
      <c r="D189" t="s">
        <v>8454</v>
      </c>
      <c r="E189" t="s">
        <v>8506</v>
      </c>
      <c r="F189">
        <f>COUNTIF($E$2:$E$314,E189)</f>
        <v>1</v>
      </c>
      <c r="G189" t="s">
        <v>557</v>
      </c>
    </row>
    <row r="190" spans="1:7">
      <c r="A190" t="s">
        <v>1088</v>
      </c>
      <c r="B190">
        <f>COUNTIF($A$2:$A$499,A190)</f>
        <v>1</v>
      </c>
      <c r="C190" t="s">
        <v>9460</v>
      </c>
      <c r="D190" t="s">
        <v>8454</v>
      </c>
      <c r="E190" t="s">
        <v>8615</v>
      </c>
      <c r="F190">
        <f>COUNTIF($E$2:$E$314,E190)</f>
        <v>1</v>
      </c>
      <c r="G190" t="s">
        <v>1090</v>
      </c>
    </row>
    <row r="191" spans="1:7">
      <c r="A191" t="s">
        <v>2811</v>
      </c>
      <c r="B191">
        <f>COUNTIF($A$2:$A$499,A191)</f>
        <v>1</v>
      </c>
      <c r="C191" t="s">
        <v>9461</v>
      </c>
      <c r="D191" t="s">
        <v>8454</v>
      </c>
      <c r="E191" t="s">
        <v>8616</v>
      </c>
      <c r="F191">
        <f>COUNTIF($E$2:$E$314,E191)</f>
        <v>1</v>
      </c>
      <c r="G191" t="s">
        <v>8808</v>
      </c>
    </row>
    <row r="192" spans="1:7">
      <c r="A192" t="s">
        <v>913</v>
      </c>
      <c r="B192">
        <f>COUNTIF($A$2:$A$499,A192)</f>
        <v>1</v>
      </c>
      <c r="C192" t="s">
        <v>9462</v>
      </c>
      <c r="D192" t="s">
        <v>8454</v>
      </c>
      <c r="E192" t="s">
        <v>8719</v>
      </c>
      <c r="F192">
        <f>COUNTIF($E$2:$E$314,E192)</f>
        <v>1</v>
      </c>
      <c r="G192" t="s">
        <v>8808</v>
      </c>
    </row>
    <row r="193" spans="1:7">
      <c r="A193" t="s">
        <v>4245</v>
      </c>
      <c r="B193">
        <f>COUNTIF($A$2:$A$499,A193)</f>
        <v>1</v>
      </c>
      <c r="C193" t="s">
        <v>9463</v>
      </c>
      <c r="D193" t="s">
        <v>8454</v>
      </c>
      <c r="E193" t="s">
        <v>8720</v>
      </c>
      <c r="F193">
        <f>COUNTIF($E$2:$E$314,E193)</f>
        <v>1</v>
      </c>
      <c r="G193" t="s">
        <v>1235</v>
      </c>
    </row>
    <row r="194" spans="1:7">
      <c r="A194" t="s">
        <v>3351</v>
      </c>
      <c r="B194">
        <f>COUNTIF($A$2:$A$499,A194)</f>
        <v>1</v>
      </c>
      <c r="C194" t="s">
        <v>9464</v>
      </c>
      <c r="D194" t="s">
        <v>8454</v>
      </c>
      <c r="E194" t="s">
        <v>8617</v>
      </c>
      <c r="F194">
        <f>COUNTIF($E$2:$E$314,E194)</f>
        <v>1</v>
      </c>
      <c r="G194" t="s">
        <v>211</v>
      </c>
    </row>
    <row r="195" spans="1:7">
      <c r="A195" t="s">
        <v>2846</v>
      </c>
      <c r="B195">
        <f>COUNTIF($A$2:$A$499,A195)</f>
        <v>1</v>
      </c>
      <c r="C195" t="s">
        <v>9465</v>
      </c>
      <c r="D195" t="s">
        <v>8454</v>
      </c>
      <c r="E195" t="s">
        <v>8618</v>
      </c>
      <c r="F195">
        <f>COUNTIF($E$2:$E$314,E195)</f>
        <v>1</v>
      </c>
      <c r="G195" t="s">
        <v>1600</v>
      </c>
    </row>
    <row r="196" spans="1:7">
      <c r="A196" t="s">
        <v>1684</v>
      </c>
      <c r="B196">
        <f>COUNTIF($A$2:$A$499,A196)</f>
        <v>1</v>
      </c>
      <c r="C196" t="s">
        <v>9466</v>
      </c>
      <c r="D196" t="s">
        <v>8454</v>
      </c>
      <c r="E196" t="s">
        <v>8620</v>
      </c>
      <c r="F196">
        <f>COUNTIF($E$2:$E$314,E196)</f>
        <v>1</v>
      </c>
      <c r="G196" t="s">
        <v>481</v>
      </c>
    </row>
    <row r="197" spans="1:7">
      <c r="A197" t="s">
        <v>2083</v>
      </c>
      <c r="B197">
        <f>COUNTIF($A$2:$A$499,A197)</f>
        <v>1</v>
      </c>
      <c r="C197" t="s">
        <v>9467</v>
      </c>
      <c r="D197" t="s">
        <v>8454</v>
      </c>
      <c r="E197" t="s">
        <v>8785</v>
      </c>
      <c r="F197">
        <f>COUNTIF($E$2:$E$314,E197)</f>
        <v>1</v>
      </c>
      <c r="G197" t="s">
        <v>481</v>
      </c>
    </row>
    <row r="198" spans="1:7">
      <c r="A198" t="s">
        <v>2245</v>
      </c>
      <c r="B198">
        <f>COUNTIF($A$2:$A$499,A198)</f>
        <v>1</v>
      </c>
      <c r="C198" t="s">
        <v>9468</v>
      </c>
      <c r="D198" t="s">
        <v>8454</v>
      </c>
      <c r="E198" t="s">
        <v>8721</v>
      </c>
      <c r="F198">
        <f>COUNTIF($E$2:$E$314,E198)</f>
        <v>1</v>
      </c>
      <c r="G198" t="s">
        <v>1256</v>
      </c>
    </row>
    <row r="199" spans="1:7">
      <c r="A199" t="s">
        <v>2330</v>
      </c>
      <c r="B199">
        <f>COUNTIF($A$2:$A$499,A199)</f>
        <v>1</v>
      </c>
      <c r="C199" t="s">
        <v>9469</v>
      </c>
      <c r="D199" t="s">
        <v>8454</v>
      </c>
      <c r="E199" t="s">
        <v>8722</v>
      </c>
      <c r="F199">
        <f>COUNTIF($E$2:$E$314,E199)</f>
        <v>1</v>
      </c>
      <c r="G199" t="s">
        <v>2333</v>
      </c>
    </row>
    <row r="200" spans="1:7">
      <c r="A200" t="s">
        <v>480</v>
      </c>
      <c r="B200">
        <f>COUNTIF($A$2:$A$499,A200)</f>
        <v>1</v>
      </c>
      <c r="C200" t="s">
        <v>9470</v>
      </c>
      <c r="D200" t="s">
        <v>8454</v>
      </c>
      <c r="E200" t="s">
        <v>8621</v>
      </c>
      <c r="F200">
        <f>COUNTIF($E$2:$E$314,E200)</f>
        <v>1</v>
      </c>
      <c r="G200" t="s">
        <v>481</v>
      </c>
    </row>
    <row r="201" spans="1:7">
      <c r="A201" t="s">
        <v>1946</v>
      </c>
      <c r="B201">
        <f>COUNTIF($A$2:$A$499,A201)</f>
        <v>1</v>
      </c>
      <c r="C201" t="s">
        <v>9471</v>
      </c>
      <c r="D201" t="s">
        <v>8454</v>
      </c>
      <c r="E201" t="s">
        <v>8723</v>
      </c>
      <c r="F201">
        <f>COUNTIF($E$2:$E$314,E201)</f>
        <v>1</v>
      </c>
      <c r="G201" t="s">
        <v>234</v>
      </c>
    </row>
    <row r="202" spans="1:7">
      <c r="A202" t="s">
        <v>398</v>
      </c>
      <c r="B202">
        <f>COUNTIF($A$2:$A$499,A202)</f>
        <v>1</v>
      </c>
      <c r="C202" t="s">
        <v>9472</v>
      </c>
      <c r="D202" t="s">
        <v>8454</v>
      </c>
      <c r="E202" t="s">
        <v>8724</v>
      </c>
      <c r="F202">
        <f>COUNTIF($E$2:$E$314,E202)</f>
        <v>1</v>
      </c>
      <c r="G202" t="s">
        <v>234</v>
      </c>
    </row>
    <row r="203" spans="1:7">
      <c r="A203" t="s">
        <v>3447</v>
      </c>
      <c r="B203">
        <f>COUNTIF($A$2:$A$499,A203)</f>
        <v>1</v>
      </c>
      <c r="C203" t="s">
        <v>9473</v>
      </c>
      <c r="D203" t="s">
        <v>8454</v>
      </c>
      <c r="E203" t="s">
        <v>8725</v>
      </c>
      <c r="F203">
        <f>COUNTIF($E$2:$E$314,E203)</f>
        <v>1</v>
      </c>
      <c r="G203" t="s">
        <v>355</v>
      </c>
    </row>
    <row r="204" spans="1:7">
      <c r="A204" t="s">
        <v>1253</v>
      </c>
      <c r="B204">
        <f>COUNTIF($A$2:$A$499,A204)</f>
        <v>1</v>
      </c>
      <c r="C204" t="s">
        <v>9474</v>
      </c>
      <c r="D204" t="s">
        <v>8454</v>
      </c>
      <c r="E204" t="s">
        <v>8622</v>
      </c>
      <c r="F204">
        <f>COUNTIF($E$2:$E$314,E204)</f>
        <v>1</v>
      </c>
      <c r="G204" t="s">
        <v>1256</v>
      </c>
    </row>
    <row r="205" spans="1:7">
      <c r="A205" t="s">
        <v>3687</v>
      </c>
      <c r="B205">
        <f>COUNTIF($A$2:$A$499,A205)</f>
        <v>1</v>
      </c>
      <c r="C205" t="s">
        <v>9475</v>
      </c>
      <c r="D205" t="s">
        <v>8454</v>
      </c>
      <c r="E205" t="s">
        <v>8726</v>
      </c>
      <c r="F205">
        <f>COUNTIF($E$2:$E$314,E205)</f>
        <v>1</v>
      </c>
      <c r="G205" t="s">
        <v>704</v>
      </c>
    </row>
    <row r="206" spans="1:7">
      <c r="A206" t="s">
        <v>1413</v>
      </c>
      <c r="B206">
        <f>COUNTIF($A$2:$A$499,A206)</f>
        <v>1</v>
      </c>
      <c r="C206" t="s">
        <v>9476</v>
      </c>
      <c r="D206" t="s">
        <v>8454</v>
      </c>
      <c r="E206" t="s">
        <v>8623</v>
      </c>
      <c r="F206">
        <f>COUNTIF($E$2:$E$314,E206)</f>
        <v>1</v>
      </c>
      <c r="G206" t="s">
        <v>75</v>
      </c>
    </row>
    <row r="207" spans="1:7">
      <c r="A207" t="s">
        <v>3164</v>
      </c>
      <c r="B207">
        <f>COUNTIF($A$2:$A$499,A207)</f>
        <v>1</v>
      </c>
      <c r="C207" t="s">
        <v>9477</v>
      </c>
      <c r="D207" t="s">
        <v>8454</v>
      </c>
      <c r="E207" t="s">
        <v>8624</v>
      </c>
      <c r="F207">
        <f>COUNTIF($E$2:$E$314,E207)</f>
        <v>1</v>
      </c>
      <c r="G207" t="s">
        <v>75</v>
      </c>
    </row>
    <row r="208" spans="1:7">
      <c r="A208" t="s">
        <v>2284</v>
      </c>
      <c r="B208">
        <f>COUNTIF($A$2:$A$499,A208)</f>
        <v>1</v>
      </c>
      <c r="C208" t="s">
        <v>9478</v>
      </c>
      <c r="D208" t="s">
        <v>8454</v>
      </c>
      <c r="E208" t="s">
        <v>8727</v>
      </c>
      <c r="F208">
        <f>COUNTIF($E$2:$E$314,E208)</f>
        <v>1</v>
      </c>
      <c r="G208" t="s">
        <v>704</v>
      </c>
    </row>
    <row r="209" spans="1:7">
      <c r="A209" t="s">
        <v>8153</v>
      </c>
      <c r="B209">
        <f>COUNTIF($A$2:$A$499,A209)</f>
        <v>1</v>
      </c>
      <c r="C209" t="s">
        <v>9479</v>
      </c>
      <c r="D209" t="s">
        <v>8454</v>
      </c>
      <c r="E209" t="s">
        <v>8625</v>
      </c>
      <c r="F209">
        <f>COUNTIF($E$2:$E$314,E209)</f>
        <v>1</v>
      </c>
      <c r="G209" t="s">
        <v>704</v>
      </c>
    </row>
    <row r="210" spans="1:7">
      <c r="A210" t="s">
        <v>2074</v>
      </c>
      <c r="B210">
        <f>COUNTIF($A$2:$A$499,A210)</f>
        <v>1</v>
      </c>
      <c r="C210" t="s">
        <v>9480</v>
      </c>
      <c r="D210" t="s">
        <v>8454</v>
      </c>
      <c r="E210" t="s">
        <v>8728</v>
      </c>
      <c r="F210">
        <f>COUNTIF($E$2:$E$314,E210)</f>
        <v>1</v>
      </c>
      <c r="G210" t="s">
        <v>1510</v>
      </c>
    </row>
    <row r="211" spans="1:7">
      <c r="A211" t="s">
        <v>1243</v>
      </c>
      <c r="B211">
        <f>COUNTIF($A$2:$A$499,A211)</f>
        <v>1</v>
      </c>
      <c r="C211" t="s">
        <v>9481</v>
      </c>
      <c r="D211" t="s">
        <v>8454</v>
      </c>
      <c r="E211" t="s">
        <v>8626</v>
      </c>
      <c r="F211">
        <f>COUNTIF($E$2:$E$314,E211)</f>
        <v>1</v>
      </c>
      <c r="G211" t="s">
        <v>704</v>
      </c>
    </row>
    <row r="212" spans="1:7">
      <c r="A212" t="s">
        <v>2367</v>
      </c>
      <c r="B212">
        <f>COUNTIF($A$2:$A$499,A212)</f>
        <v>1</v>
      </c>
      <c r="C212" t="s">
        <v>9482</v>
      </c>
      <c r="D212" t="s">
        <v>8454</v>
      </c>
      <c r="E212" t="s">
        <v>8627</v>
      </c>
      <c r="F212">
        <f>COUNTIF($E$2:$E$314,E212)</f>
        <v>1</v>
      </c>
      <c r="G212" t="s">
        <v>2369</v>
      </c>
    </row>
    <row r="213" spans="1:7">
      <c r="A213" t="s">
        <v>1234</v>
      </c>
      <c r="B213">
        <f>COUNTIF($A$2:$A$499,A213)</f>
        <v>1</v>
      </c>
      <c r="C213" t="s">
        <v>9483</v>
      </c>
      <c r="D213" t="s">
        <v>8454</v>
      </c>
      <c r="E213" t="s">
        <v>8729</v>
      </c>
      <c r="F213">
        <f>COUNTIF($E$2:$E$314,E213)</f>
        <v>1</v>
      </c>
      <c r="G213" t="s">
        <v>1235</v>
      </c>
    </row>
    <row r="214" spans="1:7">
      <c r="A214" t="s">
        <v>3876</v>
      </c>
      <c r="B214">
        <f>COUNTIF($A$2:$A$499,A214)</f>
        <v>1</v>
      </c>
      <c r="C214" t="s">
        <v>9484</v>
      </c>
      <c r="D214" t="s">
        <v>8454</v>
      </c>
      <c r="E214" t="s">
        <v>8730</v>
      </c>
      <c r="F214">
        <f>COUNTIF($E$2:$E$314,E214)</f>
        <v>1</v>
      </c>
      <c r="G214" t="s">
        <v>1235</v>
      </c>
    </row>
    <row r="215" spans="1:7">
      <c r="A215" t="s">
        <v>434</v>
      </c>
      <c r="B215">
        <f>COUNTIF($A$2:$A$499,A215)</f>
        <v>1</v>
      </c>
      <c r="C215" t="s">
        <v>9485</v>
      </c>
      <c r="D215" t="s">
        <v>8454</v>
      </c>
      <c r="E215" t="s">
        <v>8731</v>
      </c>
      <c r="F215">
        <f>COUNTIF($E$2:$E$314,E215)</f>
        <v>1</v>
      </c>
      <c r="G215" t="s">
        <v>269</v>
      </c>
    </row>
    <row r="216" spans="1:7">
      <c r="A216" t="s">
        <v>169</v>
      </c>
      <c r="B216">
        <f>COUNTIF($A$2:$A$499,A216)</f>
        <v>1</v>
      </c>
      <c r="C216" t="s">
        <v>9486</v>
      </c>
      <c r="D216" t="s">
        <v>8454</v>
      </c>
      <c r="E216" t="s">
        <v>8619</v>
      </c>
      <c r="F216">
        <f>COUNTIF($E$2:$E$314,E216)</f>
        <v>1</v>
      </c>
      <c r="G216" t="s">
        <v>14</v>
      </c>
    </row>
    <row r="217" spans="1:7">
      <c r="A217" t="s">
        <v>838</v>
      </c>
      <c r="B217">
        <f>COUNTIF($A$2:$A$499,A217)</f>
        <v>1</v>
      </c>
      <c r="C217" t="s">
        <v>9487</v>
      </c>
      <c r="D217" t="s">
        <v>8454</v>
      </c>
      <c r="E217" t="s">
        <v>8628</v>
      </c>
      <c r="F217">
        <f>COUNTIF($E$2:$E$314,E217)</f>
        <v>1</v>
      </c>
      <c r="G217" t="s">
        <v>75</v>
      </c>
    </row>
    <row r="218" spans="1:7">
      <c r="A218" t="s">
        <v>2590</v>
      </c>
      <c r="B218">
        <f>COUNTIF($A$2:$A$499,A218)</f>
        <v>1</v>
      </c>
      <c r="C218" t="s">
        <v>9488</v>
      </c>
      <c r="D218" t="s">
        <v>8454</v>
      </c>
      <c r="E218" t="s">
        <v>8629</v>
      </c>
      <c r="F218">
        <f>COUNTIF($E$2:$E$314,E218)</f>
        <v>1</v>
      </c>
      <c r="G218" t="s">
        <v>8808</v>
      </c>
    </row>
    <row r="219" spans="1:7">
      <c r="A219" t="s">
        <v>1394</v>
      </c>
      <c r="B219">
        <f>COUNTIF($A$2:$A$499,A219)</f>
        <v>1</v>
      </c>
      <c r="C219" t="s">
        <v>9489</v>
      </c>
      <c r="D219" t="s">
        <v>8454</v>
      </c>
      <c r="E219" t="s">
        <v>8630</v>
      </c>
      <c r="F219">
        <f>COUNTIF($E$2:$E$314,E219)</f>
        <v>1</v>
      </c>
      <c r="G219" t="s">
        <v>8808</v>
      </c>
    </row>
    <row r="220" spans="1:7">
      <c r="A220" t="s">
        <v>596</v>
      </c>
      <c r="B220">
        <f>COUNTIF($A$2:$A$499,A220)</f>
        <v>1</v>
      </c>
      <c r="C220" t="s">
        <v>9490</v>
      </c>
      <c r="D220" t="s">
        <v>8454</v>
      </c>
      <c r="E220" t="s">
        <v>8631</v>
      </c>
      <c r="F220">
        <f>COUNTIF($E$2:$E$314,E220)</f>
        <v>1</v>
      </c>
      <c r="G220" t="s">
        <v>223</v>
      </c>
    </row>
    <row r="221" spans="1:7">
      <c r="A221" t="s">
        <v>991</v>
      </c>
      <c r="B221">
        <f>COUNTIF($A$2:$A$499,A221)</f>
        <v>1</v>
      </c>
      <c r="C221" t="s">
        <v>9491</v>
      </c>
      <c r="D221" t="s">
        <v>8454</v>
      </c>
      <c r="E221" t="s">
        <v>8632</v>
      </c>
      <c r="F221">
        <f>COUNTIF($E$2:$E$314,E221)</f>
        <v>1</v>
      </c>
      <c r="G221" t="s">
        <v>269</v>
      </c>
    </row>
    <row r="222" spans="1:7">
      <c r="A222" t="s">
        <v>4036</v>
      </c>
      <c r="B222">
        <f>COUNTIF($A$2:$A$499,A222)</f>
        <v>1</v>
      </c>
      <c r="C222" t="s">
        <v>9492</v>
      </c>
      <c r="D222" t="s">
        <v>8454</v>
      </c>
      <c r="E222" t="s">
        <v>8633</v>
      </c>
      <c r="F222">
        <f>COUNTIF($E$2:$E$314,E222)</f>
        <v>1</v>
      </c>
      <c r="G222" t="s">
        <v>269</v>
      </c>
    </row>
    <row r="223" spans="1:7">
      <c r="A223" t="s">
        <v>4120</v>
      </c>
      <c r="B223">
        <f>COUNTIF($A$2:$A$499,A223)</f>
        <v>1</v>
      </c>
      <c r="C223" t="s">
        <v>9493</v>
      </c>
      <c r="D223" t="s">
        <v>8454</v>
      </c>
      <c r="E223" t="s">
        <v>8634</v>
      </c>
      <c r="F223">
        <f>COUNTIF($E$2:$E$314,E223)</f>
        <v>1</v>
      </c>
      <c r="G223" t="s">
        <v>269</v>
      </c>
    </row>
    <row r="224" spans="1:7">
      <c r="A224" t="s">
        <v>267</v>
      </c>
      <c r="B224">
        <f>COUNTIF($A$2:$A$499,A224)</f>
        <v>1</v>
      </c>
      <c r="C224" t="s">
        <v>9494</v>
      </c>
      <c r="D224" t="s">
        <v>8454</v>
      </c>
      <c r="E224" t="s">
        <v>8635</v>
      </c>
      <c r="F224">
        <f>COUNTIF($E$2:$E$314,E224)</f>
        <v>1</v>
      </c>
      <c r="G224" t="s">
        <v>269</v>
      </c>
    </row>
    <row r="225" spans="1:7">
      <c r="A225" t="s">
        <v>8749</v>
      </c>
      <c r="B225">
        <f>COUNTIF($A$2:$A$499,A225)</f>
        <v>1</v>
      </c>
      <c r="C225" t="s">
        <v>9495</v>
      </c>
      <c r="D225" t="s">
        <v>8454</v>
      </c>
      <c r="E225" t="s">
        <v>8468</v>
      </c>
      <c r="F225">
        <f>COUNTIF($E$2:$E$314,E225)</f>
        <v>1</v>
      </c>
      <c r="G225" t="s">
        <v>8808</v>
      </c>
    </row>
    <row r="226" spans="1:7">
      <c r="A226" t="s">
        <v>8748</v>
      </c>
      <c r="B226">
        <f>COUNTIF($A$2:$A$499,A226)</f>
        <v>1</v>
      </c>
      <c r="C226" t="s">
        <v>9496</v>
      </c>
      <c r="D226" t="s">
        <v>8454</v>
      </c>
      <c r="E226" t="s">
        <v>8467</v>
      </c>
      <c r="F226">
        <f>COUNTIF($E$2:$E$314,E226)</f>
        <v>1</v>
      </c>
      <c r="G226" t="s">
        <v>8808</v>
      </c>
    </row>
    <row r="227" spans="1:7">
      <c r="A227" t="s">
        <v>8747</v>
      </c>
      <c r="B227">
        <f>COUNTIF($A$2:$A$499,A227)</f>
        <v>1</v>
      </c>
      <c r="C227" t="s">
        <v>9497</v>
      </c>
      <c r="D227" t="s">
        <v>8454</v>
      </c>
      <c r="E227" t="s">
        <v>8466</v>
      </c>
      <c r="F227">
        <f>COUNTIF($E$2:$E$314,E227)</f>
        <v>1</v>
      </c>
      <c r="G227" t="s">
        <v>8808</v>
      </c>
    </row>
    <row r="228" spans="1:7">
      <c r="A228" t="s">
        <v>1182</v>
      </c>
      <c r="B228">
        <f>COUNTIF($A$2:$A$499,A228)</f>
        <v>1</v>
      </c>
      <c r="C228" t="s">
        <v>9498</v>
      </c>
      <c r="D228" t="s">
        <v>8454</v>
      </c>
      <c r="E228" t="s">
        <v>8636</v>
      </c>
      <c r="F228">
        <f>COUNTIF($E$2:$E$314,E228)</f>
        <v>1</v>
      </c>
      <c r="G228" t="s">
        <v>609</v>
      </c>
    </row>
    <row r="229" spans="1:7">
      <c r="A229" t="s">
        <v>3052</v>
      </c>
      <c r="B229">
        <f>COUNTIF($A$2:$A$499,A229)</f>
        <v>1</v>
      </c>
      <c r="C229" t="s">
        <v>9499</v>
      </c>
      <c r="D229" t="s">
        <v>8454</v>
      </c>
      <c r="E229" t="s">
        <v>8637</v>
      </c>
      <c r="F229">
        <f>COUNTIF($E$2:$E$314,E229)</f>
        <v>1</v>
      </c>
      <c r="G229" t="s">
        <v>269</v>
      </c>
    </row>
    <row r="230" spans="1:7">
      <c r="A230" t="s">
        <v>1518</v>
      </c>
      <c r="B230">
        <f>COUNTIF($A$2:$A$499,A230)</f>
        <v>1</v>
      </c>
      <c r="C230" t="s">
        <v>9500</v>
      </c>
      <c r="D230" t="s">
        <v>8454</v>
      </c>
      <c r="E230" t="s">
        <v>8638</v>
      </c>
      <c r="F230">
        <f>COUNTIF($E$2:$E$314,E230)</f>
        <v>1</v>
      </c>
      <c r="G230" t="s">
        <v>1520</v>
      </c>
    </row>
    <row r="231" spans="1:7">
      <c r="A231" t="s">
        <v>5283</v>
      </c>
      <c r="B231">
        <f>COUNTIF($A$2:$A$499,A231)</f>
        <v>1</v>
      </c>
      <c r="C231" t="s">
        <v>9501</v>
      </c>
      <c r="D231" t="s">
        <v>8454</v>
      </c>
      <c r="E231" t="s">
        <v>8639</v>
      </c>
      <c r="F231">
        <f>COUNTIF($E$2:$E$314,E231)</f>
        <v>1</v>
      </c>
      <c r="G231" t="s">
        <v>8808</v>
      </c>
    </row>
    <row r="232" spans="1:7">
      <c r="A232" t="s">
        <v>10631</v>
      </c>
      <c r="B232">
        <f>COUNTIF($A$2:$A$499,A232)</f>
        <v>1</v>
      </c>
      <c r="C232" t="s">
        <v>10739</v>
      </c>
      <c r="E232" t="s">
        <v>10740</v>
      </c>
      <c r="F232">
        <f>COUNTIF($E$2:$E$314,E232)</f>
        <v>1</v>
      </c>
    </row>
    <row r="233" spans="1:7">
      <c r="A233" t="s">
        <v>2321</v>
      </c>
      <c r="B233">
        <f>COUNTIF($A$2:$A$499,A233)</f>
        <v>1</v>
      </c>
      <c r="C233" t="s">
        <v>9502</v>
      </c>
      <c r="D233" t="s">
        <v>8454</v>
      </c>
      <c r="E233" t="s">
        <v>8640</v>
      </c>
      <c r="F233">
        <f>COUNTIF($E$2:$E$314,E233)</f>
        <v>1</v>
      </c>
      <c r="G233" t="s">
        <v>8808</v>
      </c>
    </row>
    <row r="234" spans="1:7">
      <c r="A234" t="s">
        <v>381</v>
      </c>
      <c r="B234">
        <f>COUNTIF($A$2:$A$499,A234)</f>
        <v>1</v>
      </c>
      <c r="C234" t="s">
        <v>9503</v>
      </c>
      <c r="D234" t="s">
        <v>8454</v>
      </c>
      <c r="E234" t="s">
        <v>8641</v>
      </c>
      <c r="F234">
        <f>COUNTIF($E$2:$E$314,E234)</f>
        <v>1</v>
      </c>
      <c r="G234" t="s">
        <v>269</v>
      </c>
    </row>
    <row r="235" spans="1:7">
      <c r="A235" t="s">
        <v>2862</v>
      </c>
      <c r="B235">
        <f>COUNTIF($A$2:$A$499,A235)</f>
        <v>1</v>
      </c>
      <c r="C235" t="s">
        <v>9504</v>
      </c>
      <c r="D235" t="s">
        <v>8454</v>
      </c>
      <c r="E235" t="s">
        <v>8642</v>
      </c>
      <c r="F235">
        <f>COUNTIF($E$2:$E$314,E235)</f>
        <v>1</v>
      </c>
      <c r="G235" t="s">
        <v>269</v>
      </c>
    </row>
    <row r="236" spans="1:7">
      <c r="A236" t="s">
        <v>2276</v>
      </c>
      <c r="B236">
        <f>COUNTIF($A$2:$A$499,A236)</f>
        <v>1</v>
      </c>
      <c r="C236" t="s">
        <v>9505</v>
      </c>
      <c r="D236" t="s">
        <v>8454</v>
      </c>
      <c r="E236" t="s">
        <v>8488</v>
      </c>
      <c r="F236">
        <f>COUNTIF($E$2:$E$314,E236)</f>
        <v>1</v>
      </c>
      <c r="G236" t="s">
        <v>694</v>
      </c>
    </row>
    <row r="237" spans="1:7">
      <c r="A237" t="s">
        <v>554</v>
      </c>
      <c r="B237">
        <f>COUNTIF($A$2:$A$499,A237)</f>
        <v>1</v>
      </c>
      <c r="C237" t="s">
        <v>9506</v>
      </c>
      <c r="D237" t="s">
        <v>8454</v>
      </c>
      <c r="E237" t="s">
        <v>8489</v>
      </c>
      <c r="F237">
        <f>COUNTIF($E$2:$E$314,E237)</f>
        <v>1</v>
      </c>
      <c r="G237" t="s">
        <v>557</v>
      </c>
    </row>
    <row r="238" spans="1:7">
      <c r="A238" t="s">
        <v>114</v>
      </c>
      <c r="B238">
        <f>COUNTIF($A$2:$A$499,A238)</f>
        <v>1</v>
      </c>
      <c r="C238" t="s">
        <v>9507</v>
      </c>
      <c r="D238" t="s">
        <v>8454</v>
      </c>
      <c r="E238" t="s">
        <v>8490</v>
      </c>
      <c r="F238">
        <f>COUNTIF($E$2:$E$314,E238)</f>
        <v>1</v>
      </c>
      <c r="G238" t="s">
        <v>8808</v>
      </c>
    </row>
    <row r="239" spans="1:7">
      <c r="A239" t="s">
        <v>8801</v>
      </c>
      <c r="B239">
        <f>COUNTIF($A$2:$A$499,A239)</f>
        <v>1</v>
      </c>
      <c r="C239" t="s">
        <v>9508</v>
      </c>
      <c r="D239" t="s">
        <v>8454</v>
      </c>
      <c r="E239" t="s">
        <v>8802</v>
      </c>
      <c r="F239">
        <f>COUNTIF($E$2:$E$314,E239)</f>
        <v>1</v>
      </c>
      <c r="G239" t="s">
        <v>2674</v>
      </c>
    </row>
    <row r="240" spans="1:7">
      <c r="A240" t="s">
        <v>2228</v>
      </c>
      <c r="B240">
        <f>COUNTIF($A$2:$A$499,A240)</f>
        <v>1</v>
      </c>
      <c r="C240" t="s">
        <v>9509</v>
      </c>
      <c r="D240" t="s">
        <v>8454</v>
      </c>
      <c r="E240" t="s">
        <v>8643</v>
      </c>
      <c r="F240">
        <f>COUNTIF($E$2:$E$314,E240)</f>
        <v>1</v>
      </c>
      <c r="G240" t="s">
        <v>609</v>
      </c>
    </row>
    <row r="241" spans="1:7">
      <c r="A241" t="s">
        <v>1499</v>
      </c>
      <c r="B241">
        <f>COUNTIF($A$2:$A$499,A241)</f>
        <v>1</v>
      </c>
      <c r="C241" t="s">
        <v>9510</v>
      </c>
      <c r="D241" t="s">
        <v>8454</v>
      </c>
      <c r="E241" t="s">
        <v>8793</v>
      </c>
      <c r="F241">
        <f>COUNTIF($E$2:$E$314,E241)</f>
        <v>1</v>
      </c>
      <c r="G241" t="s">
        <v>704</v>
      </c>
    </row>
    <row r="242" spans="1:7">
      <c r="A242" t="s">
        <v>1080</v>
      </c>
      <c r="B242">
        <f>COUNTIF($A$2:$A$499,A242)</f>
        <v>1</v>
      </c>
      <c r="C242" t="s">
        <v>9511</v>
      </c>
      <c r="D242" t="s">
        <v>8454</v>
      </c>
      <c r="E242" t="s">
        <v>8491</v>
      </c>
      <c r="F242">
        <f>COUNTIF($E$2:$E$314,E242)</f>
        <v>1</v>
      </c>
      <c r="G242" t="s">
        <v>269</v>
      </c>
    </row>
    <row r="243" spans="1:7">
      <c r="A243" t="s">
        <v>5799</v>
      </c>
      <c r="B243">
        <f>COUNTIF($A$2:$A$499,A243)</f>
        <v>1</v>
      </c>
      <c r="C243" t="s">
        <v>9512</v>
      </c>
      <c r="D243" t="s">
        <v>8454</v>
      </c>
      <c r="E243" t="s">
        <v>8492</v>
      </c>
      <c r="F243">
        <f>COUNTIF($E$2:$E$314,E243)</f>
        <v>1</v>
      </c>
      <c r="G243" t="s">
        <v>408</v>
      </c>
    </row>
    <row r="244" spans="1:7">
      <c r="A244" t="s">
        <v>2965</v>
      </c>
      <c r="B244">
        <f>COUNTIF($A$2:$A$499,A244)</f>
        <v>1</v>
      </c>
      <c r="C244" t="s">
        <v>9513</v>
      </c>
      <c r="D244" t="s">
        <v>8454</v>
      </c>
      <c r="E244" t="s">
        <v>8493</v>
      </c>
      <c r="F244">
        <f>COUNTIF($E$2:$E$314,E244)</f>
        <v>1</v>
      </c>
      <c r="G244" t="s">
        <v>269</v>
      </c>
    </row>
    <row r="245" spans="1:7">
      <c r="A245" t="s">
        <v>952</v>
      </c>
      <c r="B245">
        <f>COUNTIF($A$2:$A$499,A245)</f>
        <v>1</v>
      </c>
      <c r="C245" t="s">
        <v>9514</v>
      </c>
      <c r="D245" t="s">
        <v>8454</v>
      </c>
      <c r="E245" t="s">
        <v>8494</v>
      </c>
      <c r="F245">
        <f>COUNTIF($E$2:$E$314,E245)</f>
        <v>1</v>
      </c>
      <c r="G245" t="s">
        <v>8808</v>
      </c>
    </row>
    <row r="246" spans="1:7">
      <c r="A246" t="s">
        <v>2253</v>
      </c>
      <c r="B246">
        <f>COUNTIF($A$2:$A$499,A246)</f>
        <v>1</v>
      </c>
      <c r="C246" t="s">
        <v>9515</v>
      </c>
      <c r="D246" t="s">
        <v>8454</v>
      </c>
      <c r="E246" t="s">
        <v>8495</v>
      </c>
      <c r="F246">
        <f>COUNTIF($E$2:$E$314,E246)</f>
        <v>1</v>
      </c>
      <c r="G246" t="s">
        <v>269</v>
      </c>
    </row>
    <row r="247" spans="1:7">
      <c r="A247" t="s">
        <v>5348</v>
      </c>
      <c r="B247">
        <f>COUNTIF($A$2:$A$499,A247)</f>
        <v>1</v>
      </c>
      <c r="C247" t="s">
        <v>9516</v>
      </c>
      <c r="D247" t="s">
        <v>8454</v>
      </c>
      <c r="E247" t="s">
        <v>8644</v>
      </c>
      <c r="F247">
        <f>COUNTIF($E$2:$E$314,E247)</f>
        <v>1</v>
      </c>
      <c r="G247" t="s">
        <v>8808</v>
      </c>
    </row>
    <row r="248" spans="1:7">
      <c r="A248" t="s">
        <v>4090</v>
      </c>
      <c r="B248">
        <f>COUNTIF($A$2:$A$499,A248)</f>
        <v>1</v>
      </c>
      <c r="C248" t="s">
        <v>9517</v>
      </c>
      <c r="D248" t="s">
        <v>8454</v>
      </c>
      <c r="E248" t="s">
        <v>8732</v>
      </c>
      <c r="F248">
        <f>COUNTIF($E$2:$E$314,E248)</f>
        <v>1</v>
      </c>
      <c r="G248" t="s">
        <v>4093</v>
      </c>
    </row>
    <row r="249" spans="1:7">
      <c r="A249" t="s">
        <v>1271</v>
      </c>
      <c r="B249">
        <f>COUNTIF($A$2:$A$499,A249)</f>
        <v>1</v>
      </c>
      <c r="C249" t="s">
        <v>9518</v>
      </c>
      <c r="D249" t="s">
        <v>8454</v>
      </c>
      <c r="E249" t="s">
        <v>8496</v>
      </c>
      <c r="F249">
        <f>COUNTIF($E$2:$E$314,E249)</f>
        <v>1</v>
      </c>
      <c r="G249" t="s">
        <v>14</v>
      </c>
    </row>
    <row r="250" spans="1:7">
      <c r="A250" t="s">
        <v>8792</v>
      </c>
      <c r="B250">
        <f>COUNTIF($A$2:$A$499,A250)</f>
        <v>1</v>
      </c>
      <c r="C250" t="s">
        <v>9519</v>
      </c>
      <c r="D250" t="s">
        <v>8454</v>
      </c>
      <c r="E250" t="s">
        <v>8794</v>
      </c>
      <c r="F250">
        <f>COUNTIF($E$2:$E$314,E250)</f>
        <v>1</v>
      </c>
      <c r="G250" t="s">
        <v>8808</v>
      </c>
    </row>
    <row r="251" spans="1:7">
      <c r="A251" t="s">
        <v>2571</v>
      </c>
      <c r="B251">
        <f>COUNTIF($A$2:$A$499,A251)</f>
        <v>1</v>
      </c>
      <c r="C251" t="s">
        <v>9520</v>
      </c>
      <c r="D251" t="s">
        <v>8454</v>
      </c>
      <c r="E251" t="s">
        <v>8497</v>
      </c>
      <c r="F251">
        <f>COUNTIF($E$2:$E$314,E251)</f>
        <v>1</v>
      </c>
      <c r="G251" t="s">
        <v>8808</v>
      </c>
    </row>
    <row r="252" spans="1:7">
      <c r="A252" t="s">
        <v>4905</v>
      </c>
      <c r="B252">
        <f>COUNTIF($A$2:$A$499,A252)</f>
        <v>1</v>
      </c>
      <c r="C252" t="s">
        <v>9521</v>
      </c>
      <c r="D252" t="s">
        <v>8454</v>
      </c>
      <c r="E252" t="s">
        <v>8498</v>
      </c>
      <c r="F252">
        <f>COUNTIF($E$2:$E$314,E252)</f>
        <v>1</v>
      </c>
      <c r="G252" t="s">
        <v>8808</v>
      </c>
    </row>
    <row r="253" spans="1:7">
      <c r="A253" t="s">
        <v>22</v>
      </c>
      <c r="B253">
        <f>COUNTIF($A$2:$A$499,A253)</f>
        <v>1</v>
      </c>
      <c r="C253" t="s">
        <v>9522</v>
      </c>
      <c r="D253" t="s">
        <v>8454</v>
      </c>
      <c r="E253" t="s">
        <v>8499</v>
      </c>
      <c r="F253">
        <f>COUNTIF($E$2:$E$314,E253)</f>
        <v>1</v>
      </c>
      <c r="G253" t="s">
        <v>25</v>
      </c>
    </row>
    <row r="254" spans="1:7">
      <c r="A254" t="s">
        <v>3022</v>
      </c>
      <c r="B254">
        <f>COUNTIF($A$2:$A$499,A254)</f>
        <v>1</v>
      </c>
      <c r="C254" t="s">
        <v>9523</v>
      </c>
      <c r="D254" t="s">
        <v>8454</v>
      </c>
      <c r="E254" t="s">
        <v>8500</v>
      </c>
      <c r="F254">
        <f>COUNTIF($E$2:$E$314,E254)</f>
        <v>1</v>
      </c>
      <c r="G254" t="s">
        <v>211</v>
      </c>
    </row>
    <row r="255" spans="1:7">
      <c r="A255" t="s">
        <v>8746</v>
      </c>
      <c r="B255">
        <f>COUNTIF($A$2:$A$499,A255)</f>
        <v>1</v>
      </c>
      <c r="C255" t="s">
        <v>9524</v>
      </c>
      <c r="D255" t="s">
        <v>8454</v>
      </c>
      <c r="E255" t="s">
        <v>8465</v>
      </c>
      <c r="F255">
        <f>COUNTIF($E$2:$E$314,E255)</f>
        <v>1</v>
      </c>
      <c r="G255" t="s">
        <v>694</v>
      </c>
    </row>
    <row r="256" spans="1:7">
      <c r="A256" t="s">
        <v>1262</v>
      </c>
      <c r="B256">
        <f>COUNTIF($A$2:$A$499,A256)</f>
        <v>1</v>
      </c>
      <c r="C256" t="s">
        <v>9525</v>
      </c>
      <c r="D256" t="s">
        <v>8454</v>
      </c>
      <c r="E256" t="s">
        <v>8645</v>
      </c>
      <c r="F256">
        <f>COUNTIF($E$2:$E$314,E256)</f>
        <v>1</v>
      </c>
      <c r="G256" t="s">
        <v>8808</v>
      </c>
    </row>
    <row r="257" spans="1:7">
      <c r="A257" t="s">
        <v>1539</v>
      </c>
      <c r="B257">
        <f>COUNTIF($A$2:$A$499,A257)</f>
        <v>1</v>
      </c>
      <c r="C257" t="s">
        <v>9526</v>
      </c>
      <c r="D257" t="s">
        <v>8454</v>
      </c>
      <c r="E257" t="s">
        <v>8733</v>
      </c>
      <c r="F257">
        <f>COUNTIF($E$2:$E$314,E257)</f>
        <v>1</v>
      </c>
      <c r="G257" t="s">
        <v>8808</v>
      </c>
    </row>
    <row r="258" spans="1:7">
      <c r="A258" t="s">
        <v>2607</v>
      </c>
      <c r="B258">
        <f>COUNTIF($A$2:$A$499,A258)</f>
        <v>1</v>
      </c>
      <c r="C258" t="s">
        <v>9527</v>
      </c>
      <c r="D258" t="s">
        <v>8454</v>
      </c>
      <c r="E258" t="s">
        <v>8483</v>
      </c>
      <c r="F258">
        <f>COUNTIF($E$2:$E$314,E258)</f>
        <v>1</v>
      </c>
      <c r="G258" t="s">
        <v>14</v>
      </c>
    </row>
    <row r="259" spans="1:7">
      <c r="A259" t="s">
        <v>8745</v>
      </c>
      <c r="B259">
        <f>COUNTIF($A$2:$A$499,A259)</f>
        <v>1</v>
      </c>
      <c r="C259" t="s">
        <v>9528</v>
      </c>
      <c r="D259" t="s">
        <v>8454</v>
      </c>
      <c r="E259" t="s">
        <v>8684</v>
      </c>
      <c r="F259">
        <f>COUNTIF($E$2:$E$314,E259)</f>
        <v>1</v>
      </c>
      <c r="G259" t="s">
        <v>14</v>
      </c>
    </row>
    <row r="260" spans="1:7">
      <c r="A260" t="s">
        <v>524</v>
      </c>
      <c r="B260">
        <f>COUNTIF($A$2:$A$499,A260)</f>
        <v>1</v>
      </c>
      <c r="C260" t="s">
        <v>9529</v>
      </c>
      <c r="D260" t="s">
        <v>8454</v>
      </c>
      <c r="E260" t="s">
        <v>8501</v>
      </c>
      <c r="F260">
        <f>COUNTIF($E$2:$E$314,E260)</f>
        <v>1</v>
      </c>
      <c r="G260" t="s">
        <v>14</v>
      </c>
    </row>
    <row r="261" spans="1:7">
      <c r="A261" t="s">
        <v>499</v>
      </c>
      <c r="B261">
        <f>COUNTIF($A$2:$A$499,A261)</f>
        <v>1</v>
      </c>
      <c r="C261" t="s">
        <v>9530</v>
      </c>
      <c r="D261" t="s">
        <v>8454</v>
      </c>
      <c r="E261" t="s">
        <v>8646</v>
      </c>
      <c r="F261">
        <f>COUNTIF($E$2:$E$314,E261)</f>
        <v>1</v>
      </c>
      <c r="G261" t="s">
        <v>8808</v>
      </c>
    </row>
    <row r="262" spans="1:7">
      <c r="A262" t="s">
        <v>3704</v>
      </c>
      <c r="B262">
        <f>COUNTIF($A$2:$A$499,A262)</f>
        <v>1</v>
      </c>
      <c r="C262" t="s">
        <v>9531</v>
      </c>
      <c r="D262" t="s">
        <v>8454</v>
      </c>
      <c r="E262" t="s">
        <v>8742</v>
      </c>
      <c r="F262">
        <f>COUNTIF($E$2:$E$314,E262)</f>
        <v>1</v>
      </c>
      <c r="G262" t="s">
        <v>8808</v>
      </c>
    </row>
    <row r="263" spans="1:7">
      <c r="A263" t="s">
        <v>5801</v>
      </c>
      <c r="B263">
        <f>COUNTIF($A$2:$A$499,A263)</f>
        <v>1</v>
      </c>
      <c r="C263" t="s">
        <v>9532</v>
      </c>
      <c r="D263" t="s">
        <v>8454</v>
      </c>
      <c r="E263" t="s">
        <v>8647</v>
      </c>
      <c r="F263">
        <f>COUNTIF($E$2:$E$314,E263)</f>
        <v>1</v>
      </c>
      <c r="G263" t="s">
        <v>8808</v>
      </c>
    </row>
    <row r="264" spans="1:7">
      <c r="A264" t="s">
        <v>3123</v>
      </c>
      <c r="B264">
        <f>COUNTIF($A$2:$A$499,A264)</f>
        <v>1</v>
      </c>
      <c r="C264" t="s">
        <v>9533</v>
      </c>
      <c r="D264" t="s">
        <v>8454</v>
      </c>
      <c r="E264" t="s">
        <v>8648</v>
      </c>
      <c r="F264">
        <f>COUNTIF($E$2:$E$314,E264)</f>
        <v>1</v>
      </c>
      <c r="G264" t="s">
        <v>269</v>
      </c>
    </row>
    <row r="265" spans="1:7">
      <c r="A265" t="s">
        <v>1294</v>
      </c>
      <c r="B265">
        <f>COUNTIF($A$2:$A$499,A265)</f>
        <v>1</v>
      </c>
      <c r="C265" t="s">
        <v>9534</v>
      </c>
      <c r="D265" t="s">
        <v>8454</v>
      </c>
      <c r="E265" t="s">
        <v>8649</v>
      </c>
      <c r="F265">
        <f>COUNTIF($E$2:$E$314,E265)</f>
        <v>1</v>
      </c>
      <c r="G265" t="s">
        <v>223</v>
      </c>
    </row>
    <row r="266" spans="1:7">
      <c r="A266" t="s">
        <v>3663</v>
      </c>
      <c r="B266">
        <f>COUNTIF($A$2:$A$499,A266)</f>
        <v>1</v>
      </c>
      <c r="C266" t="s">
        <v>9535</v>
      </c>
      <c r="D266" t="s">
        <v>8454</v>
      </c>
      <c r="E266" t="s">
        <v>8650</v>
      </c>
      <c r="F266">
        <f>COUNTIF($E$2:$E$314,E266)</f>
        <v>1</v>
      </c>
      <c r="G266" t="s">
        <v>269</v>
      </c>
    </row>
    <row r="267" spans="1:7">
      <c r="A267" t="s">
        <v>865</v>
      </c>
      <c r="B267">
        <f>COUNTIF($A$2:$A$499,A267)</f>
        <v>1</v>
      </c>
      <c r="C267" t="s">
        <v>9536</v>
      </c>
      <c r="D267" t="s">
        <v>8454</v>
      </c>
      <c r="E267" t="s">
        <v>8651</v>
      </c>
      <c r="F267">
        <f>COUNTIF($E$2:$E$314,E267)</f>
        <v>1</v>
      </c>
      <c r="G267" t="s">
        <v>408</v>
      </c>
    </row>
    <row r="268" spans="1:7">
      <c r="A268" t="s">
        <v>72</v>
      </c>
      <c r="B268">
        <f>COUNTIF($A$2:$A$499,A268)</f>
        <v>1</v>
      </c>
      <c r="C268" t="s">
        <v>9537</v>
      </c>
      <c r="D268" t="s">
        <v>8454</v>
      </c>
      <c r="E268" t="s">
        <v>8652</v>
      </c>
      <c r="F268">
        <f>COUNTIF($E$2:$E$314,E268)</f>
        <v>1</v>
      </c>
      <c r="G268" t="s">
        <v>75</v>
      </c>
    </row>
    <row r="269" spans="1:7">
      <c r="A269" t="s">
        <v>242</v>
      </c>
      <c r="B269">
        <f>COUNTIF($A$2:$A$499,A269)</f>
        <v>1</v>
      </c>
      <c r="C269" t="s">
        <v>9538</v>
      </c>
      <c r="D269" t="s">
        <v>8454</v>
      </c>
      <c r="E269" t="s">
        <v>8685</v>
      </c>
      <c r="F269">
        <f>COUNTIF($E$2:$E$314,E269)</f>
        <v>1</v>
      </c>
      <c r="G269" t="s">
        <v>8808</v>
      </c>
    </row>
    <row r="270" spans="1:7">
      <c r="A270" t="s">
        <v>362</v>
      </c>
      <c r="B270">
        <f>COUNTIF($A$2:$A$499,A270)</f>
        <v>1</v>
      </c>
      <c r="C270" t="s">
        <v>9275</v>
      </c>
      <c r="D270" t="s">
        <v>8454</v>
      </c>
      <c r="E270" t="s">
        <v>8484</v>
      </c>
      <c r="F270">
        <f>COUNTIF($E$2:$E$314,E270)</f>
        <v>1</v>
      </c>
      <c r="G270" t="s">
        <v>14</v>
      </c>
    </row>
    <row r="271" spans="1:7">
      <c r="A271" t="s">
        <v>4777</v>
      </c>
      <c r="B271">
        <f>COUNTIF($A$2:$A$499,A271)</f>
        <v>1</v>
      </c>
      <c r="C271" t="s">
        <v>9539</v>
      </c>
      <c r="D271" t="s">
        <v>8454</v>
      </c>
      <c r="E271" t="s">
        <v>8653</v>
      </c>
      <c r="F271">
        <f>COUNTIF($E$2:$E$314,E271)</f>
        <v>1</v>
      </c>
      <c r="G271" t="s">
        <v>2674</v>
      </c>
    </row>
    <row r="272" spans="1:7">
      <c r="A272" t="s">
        <v>1760</v>
      </c>
      <c r="B272">
        <f>COUNTIF($A$2:$A$499,A272)</f>
        <v>1</v>
      </c>
      <c r="C272" t="s">
        <v>9540</v>
      </c>
      <c r="D272" t="s">
        <v>8454</v>
      </c>
      <c r="E272" t="s">
        <v>8734</v>
      </c>
      <c r="F272">
        <f>COUNTIF($E$2:$E$314,E272)</f>
        <v>1</v>
      </c>
      <c r="G272" t="s">
        <v>1763</v>
      </c>
    </row>
    <row r="273" spans="1:7">
      <c r="A273" t="s">
        <v>2130</v>
      </c>
      <c r="B273">
        <f>COUNTIF($A$2:$A$499,A273)</f>
        <v>1</v>
      </c>
      <c r="C273" t="s">
        <v>9541</v>
      </c>
      <c r="D273" t="s">
        <v>8454</v>
      </c>
      <c r="E273" t="s">
        <v>8654</v>
      </c>
      <c r="F273">
        <f>COUNTIF($E$2:$E$314,E273)</f>
        <v>1</v>
      </c>
      <c r="G273" t="s">
        <v>355</v>
      </c>
    </row>
    <row r="274" spans="1:7">
      <c r="A274" t="s">
        <v>2479</v>
      </c>
      <c r="B274">
        <f>COUNTIF($A$2:$A$499,A274)</f>
        <v>1</v>
      </c>
      <c r="C274" t="s">
        <v>9542</v>
      </c>
      <c r="D274" t="s">
        <v>8454</v>
      </c>
      <c r="E274" t="s">
        <v>8655</v>
      </c>
      <c r="F274">
        <f>COUNTIF($E$2:$E$314,E274)</f>
        <v>1</v>
      </c>
      <c r="G274" t="s">
        <v>14</v>
      </c>
    </row>
    <row r="275" spans="1:7">
      <c r="A275" t="s">
        <v>5803</v>
      </c>
      <c r="B275">
        <f>COUNTIF($A$2:$A$499,A275)</f>
        <v>1</v>
      </c>
      <c r="C275" t="s">
        <v>9543</v>
      </c>
      <c r="D275" t="s">
        <v>8454</v>
      </c>
      <c r="E275" t="s">
        <v>8735</v>
      </c>
      <c r="F275">
        <f>COUNTIF($E$2:$E$314,E275)</f>
        <v>1</v>
      </c>
      <c r="G275" t="s">
        <v>8808</v>
      </c>
    </row>
    <row r="276" spans="1:7">
      <c r="A276" t="s">
        <v>4633</v>
      </c>
      <c r="B276">
        <f>COUNTIF($A$2:$A$499,A276)</f>
        <v>1</v>
      </c>
      <c r="C276" t="s">
        <v>9544</v>
      </c>
      <c r="D276" t="s">
        <v>8454</v>
      </c>
      <c r="E276" t="s">
        <v>8656</v>
      </c>
      <c r="F276">
        <f>COUNTIF($E$2:$E$314,E276)</f>
        <v>1</v>
      </c>
      <c r="G276" t="s">
        <v>269</v>
      </c>
    </row>
    <row r="277" spans="1:7">
      <c r="A277" t="s">
        <v>389</v>
      </c>
      <c r="B277">
        <f>COUNTIF($A$2:$A$499,A277)</f>
        <v>1</v>
      </c>
      <c r="C277" t="s">
        <v>9545</v>
      </c>
      <c r="D277" t="s">
        <v>8454</v>
      </c>
      <c r="E277" t="s">
        <v>8485</v>
      </c>
      <c r="F277">
        <f>COUNTIF($E$2:$E$314,E277)</f>
        <v>1</v>
      </c>
      <c r="G277" t="s">
        <v>14</v>
      </c>
    </row>
    <row r="278" spans="1:7">
      <c r="A278" t="s">
        <v>998</v>
      </c>
      <c r="B278">
        <f>COUNTIF($A$2:$A$499,A278)</f>
        <v>1</v>
      </c>
      <c r="C278" t="s">
        <v>9546</v>
      </c>
      <c r="D278" t="s">
        <v>8454</v>
      </c>
      <c r="E278" t="s">
        <v>8736</v>
      </c>
      <c r="F278">
        <f>COUNTIF($E$2:$E$314,E278)</f>
        <v>1</v>
      </c>
      <c r="G278" t="s">
        <v>848</v>
      </c>
    </row>
    <row r="279" spans="1:7">
      <c r="A279" t="s">
        <v>4289</v>
      </c>
      <c r="B279">
        <f>COUNTIF($A$2:$A$499,A279)</f>
        <v>1</v>
      </c>
      <c r="C279" t="s">
        <v>9547</v>
      </c>
      <c r="D279" t="s">
        <v>8454</v>
      </c>
      <c r="E279" t="s">
        <v>8686</v>
      </c>
      <c r="F279">
        <f>COUNTIF($E$2:$E$314,E279)</f>
        <v>1</v>
      </c>
      <c r="G279" t="s">
        <v>14</v>
      </c>
    </row>
    <row r="280" spans="1:7">
      <c r="A280" t="s">
        <v>1642</v>
      </c>
      <c r="B280">
        <f>COUNTIF($A$2:$A$499,A280)</f>
        <v>1</v>
      </c>
      <c r="C280" t="s">
        <v>9548</v>
      </c>
      <c r="D280" t="s">
        <v>8454</v>
      </c>
      <c r="E280" t="s">
        <v>8737</v>
      </c>
      <c r="F280">
        <f>COUNTIF($E$2:$E$314,E280)</f>
        <v>1</v>
      </c>
      <c r="G280" t="s">
        <v>8808</v>
      </c>
    </row>
    <row r="281" spans="1:7">
      <c r="A281" t="s">
        <v>4404</v>
      </c>
      <c r="B281">
        <f>COUNTIF($A$2:$A$499,A281)</f>
        <v>1</v>
      </c>
      <c r="C281" t="s">
        <v>9549</v>
      </c>
      <c r="D281" t="s">
        <v>8454</v>
      </c>
      <c r="E281" t="s">
        <v>8657</v>
      </c>
      <c r="F281">
        <f>COUNTIF($E$2:$E$314,E281)</f>
        <v>1</v>
      </c>
      <c r="G281" t="s">
        <v>609</v>
      </c>
    </row>
    <row r="282" spans="1:7">
      <c r="A282" t="s">
        <v>780</v>
      </c>
      <c r="B282">
        <f>COUNTIF($A$2:$A$499,A282)</f>
        <v>1</v>
      </c>
      <c r="C282" t="s">
        <v>9550</v>
      </c>
      <c r="D282" t="s">
        <v>8454</v>
      </c>
      <c r="E282" t="s">
        <v>8658</v>
      </c>
      <c r="F282">
        <f>COUNTIF($E$2:$E$314,E282)</f>
        <v>1</v>
      </c>
      <c r="G282" t="s">
        <v>782</v>
      </c>
    </row>
    <row r="283" spans="1:7">
      <c r="A283" t="s">
        <v>3356</v>
      </c>
      <c r="B283">
        <f>COUNTIF($A$2:$A$499,A283)</f>
        <v>1</v>
      </c>
      <c r="C283" t="s">
        <v>9551</v>
      </c>
      <c r="D283" t="s">
        <v>8454</v>
      </c>
      <c r="E283" t="s">
        <v>8786</v>
      </c>
      <c r="F283">
        <f>COUNTIF($E$2:$E$314,E283)</f>
        <v>1</v>
      </c>
      <c r="G283" t="s">
        <v>8808</v>
      </c>
    </row>
    <row r="284" spans="1:7">
      <c r="A284" t="s">
        <v>5390</v>
      </c>
      <c r="B284">
        <f>COUNTIF($A$2:$A$499,A284)</f>
        <v>1</v>
      </c>
      <c r="C284" t="s">
        <v>9552</v>
      </c>
      <c r="D284" t="s">
        <v>8454</v>
      </c>
      <c r="E284" t="s">
        <v>8486</v>
      </c>
      <c r="F284">
        <f>COUNTIF($E$2:$E$314,E284)</f>
        <v>1</v>
      </c>
      <c r="G284" t="s">
        <v>14</v>
      </c>
    </row>
    <row r="285" spans="1:7">
      <c r="A285" t="s">
        <v>1007</v>
      </c>
      <c r="B285">
        <f>COUNTIF($A$2:$A$499,A285)</f>
        <v>1</v>
      </c>
      <c r="C285" t="s">
        <v>9553</v>
      </c>
      <c r="D285" t="s">
        <v>8454</v>
      </c>
      <c r="E285" t="s">
        <v>8659</v>
      </c>
      <c r="F285">
        <f>COUNTIF($E$2:$E$314,E285)</f>
        <v>1</v>
      </c>
      <c r="G285" t="s">
        <v>609</v>
      </c>
    </row>
    <row r="286" spans="1:7">
      <c r="A286" t="s">
        <v>2746</v>
      </c>
      <c r="B286">
        <f>COUNTIF($A$2:$A$499,A286)</f>
        <v>1</v>
      </c>
      <c r="C286" t="s">
        <v>9554</v>
      </c>
      <c r="D286" t="s">
        <v>8454</v>
      </c>
      <c r="E286" t="s">
        <v>8738</v>
      </c>
      <c r="F286">
        <f>COUNTIF($E$2:$E$314,E286)</f>
        <v>1</v>
      </c>
      <c r="G286" t="s">
        <v>609</v>
      </c>
    </row>
    <row r="287" spans="1:7">
      <c r="A287" t="s">
        <v>352</v>
      </c>
      <c r="B287">
        <f>COUNTIF($A$2:$A$499,A287)</f>
        <v>1</v>
      </c>
      <c r="C287" t="s">
        <v>9555</v>
      </c>
      <c r="D287" t="s">
        <v>8454</v>
      </c>
      <c r="E287" t="s">
        <v>8660</v>
      </c>
      <c r="F287">
        <f>COUNTIF($E$2:$E$314,E287)</f>
        <v>1</v>
      </c>
      <c r="G287" t="s">
        <v>355</v>
      </c>
    </row>
    <row r="288" spans="1:7">
      <c r="A288" t="s">
        <v>4929</v>
      </c>
      <c r="B288">
        <f>COUNTIF($A$2:$A$499,A288)</f>
        <v>1</v>
      </c>
      <c r="C288" t="s">
        <v>9556</v>
      </c>
      <c r="D288" t="s">
        <v>8454</v>
      </c>
      <c r="E288" t="s">
        <v>8784</v>
      </c>
      <c r="F288">
        <f>COUNTIF($E$2:$E$314,E288)</f>
        <v>1</v>
      </c>
      <c r="G288" t="s">
        <v>537</v>
      </c>
    </row>
    <row r="289" spans="1:7">
      <c r="A289" t="s">
        <v>875</v>
      </c>
      <c r="B289">
        <f>COUNTIF($A$2:$A$499,A289)</f>
        <v>1</v>
      </c>
      <c r="C289" t="s">
        <v>9557</v>
      </c>
      <c r="D289" t="s">
        <v>8454</v>
      </c>
      <c r="E289" t="s">
        <v>8661</v>
      </c>
      <c r="F289">
        <f>COUNTIF($E$2:$E$314,E289)</f>
        <v>1</v>
      </c>
      <c r="G289" t="s">
        <v>557</v>
      </c>
    </row>
    <row r="290" spans="1:7">
      <c r="A290" t="s">
        <v>5221</v>
      </c>
      <c r="B290">
        <f>COUNTIF($A$2:$A$499,A290)</f>
        <v>1</v>
      </c>
      <c r="C290" t="s">
        <v>9558</v>
      </c>
      <c r="D290" t="s">
        <v>8454</v>
      </c>
      <c r="E290" t="s">
        <v>8662</v>
      </c>
      <c r="F290">
        <f>COUNTIF($E$2:$E$314,E290)</f>
        <v>1</v>
      </c>
      <c r="G290" t="s">
        <v>8808</v>
      </c>
    </row>
    <row r="291" spans="1:7">
      <c r="A291" t="s">
        <v>5162</v>
      </c>
      <c r="B291">
        <f>COUNTIF($A$2:$A$499,A291)</f>
        <v>1</v>
      </c>
      <c r="C291" t="s">
        <v>9559</v>
      </c>
      <c r="D291" t="s">
        <v>8454</v>
      </c>
      <c r="E291" t="s">
        <v>8663</v>
      </c>
      <c r="F291">
        <f>COUNTIF($E$2:$E$314,E291)</f>
        <v>1</v>
      </c>
      <c r="G291" t="s">
        <v>75</v>
      </c>
    </row>
    <row r="292" spans="1:7">
      <c r="A292" t="s">
        <v>691</v>
      </c>
      <c r="B292">
        <f>COUNTIF($A$2:$A$499,A292)</f>
        <v>1</v>
      </c>
      <c r="C292" t="s">
        <v>9560</v>
      </c>
      <c r="D292" t="s">
        <v>8454</v>
      </c>
      <c r="E292" t="s">
        <v>8664</v>
      </c>
      <c r="F292">
        <f>COUNTIF($E$2:$E$314,E292)</f>
        <v>1</v>
      </c>
      <c r="G292" t="s">
        <v>694</v>
      </c>
    </row>
    <row r="293" spans="1:7">
      <c r="A293" t="s">
        <v>8154</v>
      </c>
      <c r="B293">
        <f>COUNTIF($A$2:$A$499,A293)</f>
        <v>1</v>
      </c>
      <c r="C293" t="s">
        <v>9561</v>
      </c>
      <c r="D293" t="s">
        <v>8454</v>
      </c>
      <c r="E293" t="s">
        <v>8665</v>
      </c>
      <c r="F293">
        <f>COUNTIF($E$2:$E$314,E293)</f>
        <v>1</v>
      </c>
      <c r="G293" t="s">
        <v>8808</v>
      </c>
    </row>
    <row r="294" spans="1:7">
      <c r="A294" t="s">
        <v>1154</v>
      </c>
      <c r="B294">
        <f>COUNTIF($A$2:$A$499,A294)</f>
        <v>1</v>
      </c>
      <c r="C294" t="s">
        <v>9562</v>
      </c>
      <c r="D294" t="s">
        <v>8454</v>
      </c>
      <c r="E294" t="s">
        <v>8739</v>
      </c>
      <c r="F294">
        <f>COUNTIF($E$2:$E$314,E294)</f>
        <v>1</v>
      </c>
      <c r="G294" t="s">
        <v>269</v>
      </c>
    </row>
    <row r="295" spans="1:7">
      <c r="A295" t="s">
        <v>3693</v>
      </c>
      <c r="B295">
        <f>COUNTIF($A$2:$A$499,A295)</f>
        <v>1</v>
      </c>
      <c r="C295" t="s">
        <v>9563</v>
      </c>
      <c r="D295" t="s">
        <v>8454</v>
      </c>
      <c r="E295" t="s">
        <v>8666</v>
      </c>
      <c r="F295">
        <f>COUNTIF($E$2:$E$314,E295)</f>
        <v>1</v>
      </c>
      <c r="G295" t="s">
        <v>75</v>
      </c>
    </row>
    <row r="296" spans="1:7">
      <c r="A296" t="s">
        <v>4111</v>
      </c>
      <c r="B296">
        <f>COUNTIF($A$2:$A$499,A296)</f>
        <v>1</v>
      </c>
      <c r="C296" t="s">
        <v>9564</v>
      </c>
      <c r="D296" t="s">
        <v>8454</v>
      </c>
      <c r="E296" t="s">
        <v>8487</v>
      </c>
      <c r="F296">
        <f>COUNTIF($E$2:$E$314,E296)</f>
        <v>1</v>
      </c>
      <c r="G296" t="s">
        <v>14</v>
      </c>
    </row>
    <row r="297" spans="1:7">
      <c r="A297" t="s">
        <v>5802</v>
      </c>
      <c r="B297">
        <f>COUNTIF($A$2:$A$499,A297)</f>
        <v>1</v>
      </c>
      <c r="C297" t="s">
        <v>9565</v>
      </c>
      <c r="D297" t="s">
        <v>8454</v>
      </c>
      <c r="E297" t="s">
        <v>8740</v>
      </c>
      <c r="F297">
        <f>COUNTIF($E$2:$E$314,E297)</f>
        <v>1</v>
      </c>
      <c r="G297" t="s">
        <v>8808</v>
      </c>
    </row>
    <row r="298" spans="1:7">
      <c r="A298" t="s">
        <v>1422</v>
      </c>
      <c r="B298">
        <f>COUNTIF($A$2:$A$499,A298)</f>
        <v>1</v>
      </c>
      <c r="C298" t="s">
        <v>9566</v>
      </c>
      <c r="D298" t="s">
        <v>8454</v>
      </c>
      <c r="E298" t="s">
        <v>8741</v>
      </c>
      <c r="F298">
        <f>COUNTIF($E$2:$E$314,E298)</f>
        <v>1</v>
      </c>
      <c r="G298" t="s">
        <v>14</v>
      </c>
    </row>
    <row r="299" spans="1:7">
      <c r="A299" t="s">
        <v>2564</v>
      </c>
      <c r="B299">
        <f>COUNTIF($A$2:$A$499,A299)</f>
        <v>1</v>
      </c>
      <c r="C299" t="s">
        <v>9567</v>
      </c>
      <c r="D299" t="s">
        <v>8454</v>
      </c>
      <c r="E299" t="s">
        <v>8667</v>
      </c>
      <c r="F299">
        <f>COUNTIF($E$2:$E$314,E299)</f>
        <v>1</v>
      </c>
      <c r="G299" t="s">
        <v>269</v>
      </c>
    </row>
    <row r="300" spans="1:7">
      <c r="A300" t="s">
        <v>3043</v>
      </c>
      <c r="B300">
        <f>COUNTIF($A$2:$A$499,A300)</f>
        <v>1</v>
      </c>
      <c r="C300" t="s">
        <v>9568</v>
      </c>
      <c r="D300" t="s">
        <v>8454</v>
      </c>
      <c r="E300" t="s">
        <v>8779</v>
      </c>
      <c r="F300">
        <f>COUNTIF($E$2:$E$314,E300)</f>
        <v>1</v>
      </c>
      <c r="G300" t="s">
        <v>557</v>
      </c>
    </row>
    <row r="301" spans="1:7">
      <c r="A301" t="s">
        <v>334</v>
      </c>
      <c r="B301">
        <f>COUNTIF($A$2:$A$499,A301)</f>
        <v>1</v>
      </c>
      <c r="C301" t="s">
        <v>9569</v>
      </c>
      <c r="D301" t="s">
        <v>8454</v>
      </c>
      <c r="E301" t="s">
        <v>8668</v>
      </c>
      <c r="F301">
        <f>COUNTIF($E$2:$E$314,E301)</f>
        <v>1</v>
      </c>
      <c r="G301" t="s">
        <v>253</v>
      </c>
    </row>
    <row r="302" spans="1:7">
      <c r="A302" t="s">
        <v>4611</v>
      </c>
      <c r="B302">
        <f>COUNTIF($A$2:$A$499,A302)</f>
        <v>1</v>
      </c>
      <c r="C302" t="s">
        <v>9570</v>
      </c>
      <c r="D302" t="s">
        <v>8454</v>
      </c>
      <c r="E302" t="s">
        <v>8669</v>
      </c>
      <c r="F302">
        <f>COUNTIF($E$2:$E$314,E302)</f>
        <v>1</v>
      </c>
      <c r="G302" t="s">
        <v>557</v>
      </c>
    </row>
    <row r="303" spans="1:7">
      <c r="A303" t="s">
        <v>1287</v>
      </c>
      <c r="B303">
        <f>COUNTIF($A$2:$A$499,A303)</f>
        <v>1</v>
      </c>
      <c r="C303" t="s">
        <v>9571</v>
      </c>
      <c r="D303" t="s">
        <v>8454</v>
      </c>
      <c r="E303" t="s">
        <v>8670</v>
      </c>
      <c r="F303">
        <f>COUNTIF($E$2:$E$314,E303)</f>
        <v>1</v>
      </c>
      <c r="G303" t="s">
        <v>8808</v>
      </c>
    </row>
    <row r="304" spans="1:7">
      <c r="A304" t="s">
        <v>4658</v>
      </c>
      <c r="B304">
        <f>COUNTIF($A$2:$A$499,A304)</f>
        <v>1</v>
      </c>
      <c r="C304" t="s">
        <v>9572</v>
      </c>
      <c r="D304" t="s">
        <v>8454</v>
      </c>
      <c r="E304" t="s">
        <v>8671</v>
      </c>
      <c r="F304">
        <f>COUNTIF($E$2:$E$314,E304)</f>
        <v>1</v>
      </c>
      <c r="G304" t="s">
        <v>427</v>
      </c>
    </row>
    <row r="305" spans="1:7">
      <c r="A305" t="s">
        <v>1105</v>
      </c>
      <c r="B305">
        <f>COUNTIF($A$2:$A$499,A305)</f>
        <v>1</v>
      </c>
      <c r="C305" t="s">
        <v>9573</v>
      </c>
      <c r="D305" t="s">
        <v>8454</v>
      </c>
      <c r="E305" t="s">
        <v>8672</v>
      </c>
      <c r="F305">
        <f>COUNTIF($E$2:$E$314,E305)</f>
        <v>1</v>
      </c>
      <c r="G305" t="s">
        <v>8808</v>
      </c>
    </row>
    <row r="306" spans="1:7">
      <c r="A306" t="s">
        <v>220</v>
      </c>
      <c r="B306">
        <f>COUNTIF($A$2:$A$499,A306)</f>
        <v>1</v>
      </c>
      <c r="C306" t="s">
        <v>9574</v>
      </c>
      <c r="D306" t="s">
        <v>8454</v>
      </c>
      <c r="E306" t="s">
        <v>8673</v>
      </c>
      <c r="F306">
        <f>COUNTIF($E$2:$E$314,E306)</f>
        <v>1</v>
      </c>
      <c r="G306" t="s">
        <v>223</v>
      </c>
    </row>
    <row r="307" spans="1:7">
      <c r="A307" t="s">
        <v>1446</v>
      </c>
      <c r="B307">
        <f>COUNTIF($A$2:$A$499,A307)</f>
        <v>1</v>
      </c>
      <c r="C307" t="s">
        <v>9575</v>
      </c>
      <c r="D307" t="s">
        <v>8454</v>
      </c>
      <c r="E307" t="s">
        <v>8674</v>
      </c>
      <c r="F307">
        <f>COUNTIF($E$2:$E$314,E307)</f>
        <v>1</v>
      </c>
      <c r="G307" t="s">
        <v>211</v>
      </c>
    </row>
    <row r="308" spans="1:7">
      <c r="A308" t="s">
        <v>8791</v>
      </c>
      <c r="B308">
        <f>COUNTIF($A$2:$A$499,A308)</f>
        <v>1</v>
      </c>
      <c r="C308" t="s">
        <v>9576</v>
      </c>
      <c r="D308" t="s">
        <v>8454</v>
      </c>
      <c r="E308" t="s">
        <v>8790</v>
      </c>
      <c r="F308">
        <f>COUNTIF($E$2:$E$314,E308)</f>
        <v>1</v>
      </c>
      <c r="G308" t="s">
        <v>3194</v>
      </c>
    </row>
    <row r="309" spans="1:7">
      <c r="A309" t="s">
        <v>2972</v>
      </c>
      <c r="B309">
        <f>COUNTIF($A$2:$A$499,A309)</f>
        <v>1</v>
      </c>
      <c r="C309" t="s">
        <v>9577</v>
      </c>
      <c r="D309" t="s">
        <v>8454</v>
      </c>
      <c r="E309" t="s">
        <v>8675</v>
      </c>
      <c r="F309">
        <f>COUNTIF($E$2:$E$314,E309)</f>
        <v>1</v>
      </c>
      <c r="G309" t="s">
        <v>8808</v>
      </c>
    </row>
    <row r="310" spans="1:7">
      <c r="A310" t="s">
        <v>8744</v>
      </c>
      <c r="B310">
        <f>COUNTIF($A$2:$A$499,A310)</f>
        <v>1</v>
      </c>
      <c r="C310" t="s">
        <v>9578</v>
      </c>
      <c r="D310" t="s">
        <v>8454</v>
      </c>
      <c r="E310" t="s">
        <v>8463</v>
      </c>
      <c r="F310">
        <f>COUNTIF($E$2:$E$314,E310)</f>
        <v>1</v>
      </c>
      <c r="G310" t="s">
        <v>14</v>
      </c>
    </row>
    <row r="311" spans="1:7">
      <c r="A311" t="s">
        <v>3480</v>
      </c>
      <c r="B311">
        <f>COUNTIF($A$2:$A$499,A311)</f>
        <v>1</v>
      </c>
      <c r="C311" t="s">
        <v>9579</v>
      </c>
      <c r="D311" t="s">
        <v>8454</v>
      </c>
      <c r="E311" t="s">
        <v>8676</v>
      </c>
      <c r="F311">
        <f>COUNTIF($E$2:$E$314,E311)</f>
        <v>1</v>
      </c>
      <c r="G311" t="s">
        <v>8808</v>
      </c>
    </row>
    <row r="312" spans="1:7">
      <c r="A312" t="s">
        <v>3607</v>
      </c>
      <c r="B312">
        <f>COUNTIF($A$2:$A$499,A312)</f>
        <v>1</v>
      </c>
      <c r="C312" t="s">
        <v>9580</v>
      </c>
      <c r="D312" t="s">
        <v>8454</v>
      </c>
      <c r="E312" t="s">
        <v>8677</v>
      </c>
      <c r="F312">
        <f>COUNTIF($E$2:$E$314,E312)</f>
        <v>1</v>
      </c>
      <c r="G312" t="s">
        <v>8808</v>
      </c>
    </row>
    <row r="313" spans="1:7">
      <c r="A313" t="s">
        <v>2415</v>
      </c>
      <c r="B313">
        <f>COUNTIF($A$2:$A$499,A313)</f>
        <v>1</v>
      </c>
      <c r="C313" t="s">
        <v>9581</v>
      </c>
      <c r="D313" t="s">
        <v>8454</v>
      </c>
      <c r="E313" t="s">
        <v>8678</v>
      </c>
      <c r="F313">
        <f>COUNTIF($E$2:$E$314,E313)</f>
        <v>1</v>
      </c>
      <c r="G313" t="s">
        <v>75</v>
      </c>
    </row>
    <row r="314" spans="1:7">
      <c r="A314" t="s">
        <v>4799</v>
      </c>
      <c r="B314">
        <f>COUNTIF($A$2:$A$499,A314)</f>
        <v>1</v>
      </c>
      <c r="C314" t="s">
        <v>9582</v>
      </c>
      <c r="D314" t="s">
        <v>8454</v>
      </c>
      <c r="E314" t="s">
        <v>8679</v>
      </c>
      <c r="F314">
        <f>COUNTIF($E$2:$E$314,E314)</f>
        <v>1</v>
      </c>
      <c r="G314" t="s">
        <v>848</v>
      </c>
    </row>
    <row r="315" spans="1:7">
      <c r="A315" t="s">
        <v>3439</v>
      </c>
      <c r="B315">
        <f>COUNTIF($A$2:$A$499,A315)</f>
        <v>1</v>
      </c>
      <c r="C315" t="s">
        <v>9583</v>
      </c>
      <c r="D315" t="s">
        <v>8454</v>
      </c>
      <c r="E315" t="s">
        <v>8778</v>
      </c>
      <c r="F315">
        <f>COUNTIF($E$2:$E$314,E315)</f>
        <v>0</v>
      </c>
      <c r="G315" t="s">
        <v>557</v>
      </c>
    </row>
    <row r="316" spans="1:7">
      <c r="A316" t="s">
        <v>2431</v>
      </c>
      <c r="B316">
        <f>COUNTIF($A$2:$A$499,A316)</f>
        <v>1</v>
      </c>
      <c r="C316" t="s">
        <v>9584</v>
      </c>
      <c r="D316" t="s">
        <v>8454</v>
      </c>
      <c r="E316" t="s">
        <v>8680</v>
      </c>
      <c r="F316">
        <f>COUNTIF($E$2:$E$314,E316)</f>
        <v>0</v>
      </c>
      <c r="G316" t="s">
        <v>8808</v>
      </c>
    </row>
    <row r="317" spans="1:7">
      <c r="A317" t="s">
        <v>746</v>
      </c>
      <c r="B317">
        <f>COUNTIF($A$2:$A$499,A317)</f>
        <v>1</v>
      </c>
      <c r="C317" t="s">
        <v>9585</v>
      </c>
      <c r="D317" t="s">
        <v>8454</v>
      </c>
      <c r="E317" t="s">
        <v>8681</v>
      </c>
      <c r="F317">
        <f>COUNTIF($E$2:$E$314,E317)</f>
        <v>0</v>
      </c>
      <c r="G317" t="s">
        <v>748</v>
      </c>
    </row>
    <row r="318" spans="1:7">
      <c r="A318" t="s">
        <v>1699</v>
      </c>
      <c r="B318">
        <f>COUNTIF($A$2:$A$499,A318)</f>
        <v>1</v>
      </c>
      <c r="C318" t="s">
        <v>9586</v>
      </c>
      <c r="D318" t="s">
        <v>8454</v>
      </c>
      <c r="E318" t="s">
        <v>8682</v>
      </c>
      <c r="F318">
        <f>COUNTIF($E$2:$E$314,E318)</f>
        <v>0</v>
      </c>
      <c r="G318" t="s">
        <v>1701</v>
      </c>
    </row>
    <row r="319" spans="1:7">
      <c r="A319" t="s">
        <v>128</v>
      </c>
      <c r="B319">
        <f>COUNTIF($A$2:$A$499,A319)</f>
        <v>1</v>
      </c>
      <c r="C319" t="s">
        <v>9587</v>
      </c>
      <c r="D319" t="s">
        <v>8454</v>
      </c>
      <c r="E319" t="s">
        <v>8683</v>
      </c>
      <c r="F319">
        <f>COUNTIF($E$2:$E$314,E319)</f>
        <v>0</v>
      </c>
      <c r="G319" t="s">
        <v>55</v>
      </c>
    </row>
    <row r="320" spans="1:7">
      <c r="A320" t="s">
        <v>8743</v>
      </c>
      <c r="B320">
        <f>COUNTIF($A$2:$A$499,A320)</f>
        <v>1</v>
      </c>
      <c r="C320" t="s">
        <v>9588</v>
      </c>
      <c r="D320" t="s">
        <v>8454</v>
      </c>
      <c r="E320" t="s">
        <v>8464</v>
      </c>
      <c r="F320">
        <f>COUNTIF($E$2:$E$314,E320)</f>
        <v>0</v>
      </c>
      <c r="G320" t="s">
        <v>253</v>
      </c>
    </row>
    <row r="321" spans="2:2">
      <c r="B321">
        <f>COUNTIF($A$2:$A$499,A321)</f>
        <v>0</v>
      </c>
    </row>
    <row r="322" spans="2:2">
      <c r="B322">
        <f>COUNTIF($A$2:$A$499,A322)</f>
        <v>0</v>
      </c>
    </row>
    <row r="323" spans="2:2">
      <c r="B323">
        <f>COUNTIF($A$2:$A$499,A323)</f>
        <v>0</v>
      </c>
    </row>
    <row r="324" spans="2:2">
      <c r="B324">
        <f>COUNTIF($A$2:$A$499,A324)</f>
        <v>0</v>
      </c>
    </row>
    <row r="325" spans="2:2">
      <c r="B325">
        <f>COUNTIF($A$2:$A$499,A325)</f>
        <v>0</v>
      </c>
    </row>
    <row r="326" spans="2:2">
      <c r="B326">
        <f>COUNTIF($A$2:$A$499,A326)</f>
        <v>0</v>
      </c>
    </row>
    <row r="327" spans="2:2">
      <c r="B327">
        <f>COUNTIF($A$2:$A$499,A327)</f>
        <v>0</v>
      </c>
    </row>
    <row r="328" spans="2:2">
      <c r="B328">
        <f>COUNTIF($A$2:$A$499,A328)</f>
        <v>0</v>
      </c>
    </row>
  </sheetData>
  <autoFilter ref="A1:G328" xr:uid="{FDDDAB4C-29C0-442C-A9AD-E83B0D97173E}"/>
  <sortState xmlns:xlrd2="http://schemas.microsoft.com/office/spreadsheetml/2017/richdata2" ref="A2:G330">
    <sortCondition ref="A2:A330"/>
  </sortState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F4946-0C57-4A0B-BB0E-480B7A32C981}">
  <sheetPr>
    <pageSetUpPr fitToPage="1"/>
  </sheetPr>
  <dimension ref="A1:Q1064"/>
  <sheetViews>
    <sheetView tabSelected="1" workbookViewId="0">
      <pane ySplit="1" topLeftCell="A125" activePane="bottomLeft" state="frozen"/>
      <selection pane="bottomLeft" activeCell="C23" sqref="C23"/>
    </sheetView>
  </sheetViews>
  <sheetFormatPr defaultRowHeight="14.4"/>
  <cols>
    <col min="1" max="1" width="11.5546875" bestFit="1" customWidth="1"/>
    <col min="2" max="2" width="70.44140625" bestFit="1" customWidth="1"/>
    <col min="3" max="3" width="13.6640625" bestFit="1" customWidth="1"/>
    <col min="4" max="4" width="10" bestFit="1" customWidth="1"/>
    <col min="5" max="6" width="14.109375" bestFit="1" customWidth="1"/>
    <col min="7" max="7" width="14.109375" customWidth="1"/>
    <col min="8" max="8" width="76" bestFit="1" customWidth="1"/>
    <col min="9" max="9" width="19.6640625" bestFit="1" customWidth="1"/>
    <col min="10" max="10" width="23.44140625" customWidth="1"/>
    <col min="11" max="11" width="12" bestFit="1" customWidth="1"/>
    <col min="12" max="12" width="59.88671875" bestFit="1" customWidth="1"/>
    <col min="13" max="13" width="15" bestFit="1" customWidth="1"/>
    <col min="14" max="14" width="10.44140625" bestFit="1" customWidth="1"/>
  </cols>
  <sheetData>
    <row r="1" spans="1:17">
      <c r="A1" t="s">
        <v>8146</v>
      </c>
      <c r="B1" t="s">
        <v>8145</v>
      </c>
      <c r="C1" t="s">
        <v>8144</v>
      </c>
      <c r="D1" t="s">
        <v>0</v>
      </c>
      <c r="E1" t="s">
        <v>8142</v>
      </c>
      <c r="F1" t="s">
        <v>8141</v>
      </c>
      <c r="G1" s="6" t="s">
        <v>8872</v>
      </c>
      <c r="H1" s="4" t="s">
        <v>1</v>
      </c>
      <c r="I1" t="s">
        <v>2</v>
      </c>
      <c r="J1" t="s">
        <v>8143</v>
      </c>
      <c r="K1" t="s">
        <v>4</v>
      </c>
      <c r="L1" s="4" t="s">
        <v>8140</v>
      </c>
      <c r="M1" s="4" t="s">
        <v>8139</v>
      </c>
      <c r="N1" t="s">
        <v>8138</v>
      </c>
    </row>
    <row r="2" spans="1:17">
      <c r="A2" t="s">
        <v>5808</v>
      </c>
      <c r="B2" t="s">
        <v>5807</v>
      </c>
      <c r="C2" t="s">
        <v>5762</v>
      </c>
      <c r="D2" t="s">
        <v>541</v>
      </c>
      <c r="E2" t="s">
        <v>802</v>
      </c>
      <c r="G2" t="s">
        <v>8942</v>
      </c>
      <c r="H2" t="s">
        <v>545</v>
      </c>
      <c r="I2" t="s">
        <v>253</v>
      </c>
      <c r="K2" t="s">
        <v>5806</v>
      </c>
      <c r="P2" t="str">
        <f>"Update Project Set Organisation = '"&amp;H2&amp;"' where Project_ID = '"&amp;A2&amp;"'; "</f>
        <v xml:space="preserve">Update Project Set Organisation = 'Global Antibiotic Research and Development Partnership (GARDP)' where Project_ID = 'GARDP_01'; </v>
      </c>
      <c r="Q2" t="str">
        <f>"Update Project Set Library_name = '"&amp;L2&amp;"' , COADD_ID = '"&amp;M2&amp;"' where Project_ID = '"&amp;A2&amp;"'; "</f>
        <v xml:space="preserve">Update Project Set Library_name = '' , COADD_ID = '' where Project_ID = 'GARDP_01'; </v>
      </c>
    </row>
    <row r="3" spans="1:17">
      <c r="A3" t="s">
        <v>5811</v>
      </c>
      <c r="B3" t="s">
        <v>5810</v>
      </c>
      <c r="C3" t="s">
        <v>5762</v>
      </c>
      <c r="D3" t="s">
        <v>2449</v>
      </c>
      <c r="E3" t="s">
        <v>2448</v>
      </c>
      <c r="F3" t="s">
        <v>802</v>
      </c>
      <c r="G3" t="s">
        <v>8955</v>
      </c>
      <c r="H3" t="s">
        <v>5739</v>
      </c>
      <c r="I3" t="s">
        <v>557</v>
      </c>
      <c r="K3" t="s">
        <v>5806</v>
      </c>
      <c r="L3" t="s">
        <v>5809</v>
      </c>
      <c r="P3" t="str">
        <f>"Update Project Set Organisation = '"&amp;H3&amp;"' where Project_ID = '"&amp;A3&amp;"'; "</f>
        <v xml:space="preserve">Update Project Set Organisation = 'Helmholtz Institute for Pharmaceutical Research Saarland (HIPS)' where Project_ID = 'HIPS_C01'; </v>
      </c>
      <c r="Q3" t="str">
        <f>"Update Project Set Library_name = '"&amp;L3&amp;"' , COADD_ID = '"&amp;M3&amp;"' where Project_ID = '"&amp;A3&amp;"'; "</f>
        <v xml:space="preserve">Update Project Set Library_name = 'HIPS (Germany) - Natural Products' , COADD_ID = '' where Project_ID = 'HIPS_C01'; </v>
      </c>
    </row>
    <row r="4" spans="1:17">
      <c r="A4" t="s">
        <v>5812</v>
      </c>
      <c r="B4" t="s">
        <v>5810</v>
      </c>
      <c r="C4" t="s">
        <v>5762</v>
      </c>
      <c r="D4" t="s">
        <v>2449</v>
      </c>
      <c r="E4" t="s">
        <v>2448</v>
      </c>
      <c r="F4" t="s">
        <v>802</v>
      </c>
      <c r="G4" t="s">
        <v>8955</v>
      </c>
      <c r="H4" t="s">
        <v>5739</v>
      </c>
      <c r="I4" t="s">
        <v>557</v>
      </c>
      <c r="K4" t="s">
        <v>5806</v>
      </c>
      <c r="L4" t="s">
        <v>5809</v>
      </c>
      <c r="P4" t="str">
        <f>"Update Project Set Organisation = '"&amp;H4&amp;"' where Project_ID = '"&amp;A4&amp;"'; "</f>
        <v xml:space="preserve">Update Project Set Organisation = 'Helmholtz Institute for Pharmaceutical Research Saarland (HIPS)' where Project_ID = 'HIPS_C02'; </v>
      </c>
      <c r="Q4" t="str">
        <f>"Update Project Set Library_name = '"&amp;L4&amp;"' , COADD_ID = '"&amp;M4&amp;"' where Project_ID = '"&amp;A4&amp;"'; "</f>
        <v xml:space="preserve">Update Project Set Library_name = 'HIPS (Germany) - Natural Products' , COADD_ID = '' where Project_ID = 'HIPS_C02'; </v>
      </c>
    </row>
    <row r="5" spans="1:17">
      <c r="A5" t="s">
        <v>5815</v>
      </c>
      <c r="B5" t="s">
        <v>5814</v>
      </c>
      <c r="C5" t="s">
        <v>5762</v>
      </c>
      <c r="D5" t="s">
        <v>2449</v>
      </c>
      <c r="E5" t="s">
        <v>2448</v>
      </c>
      <c r="F5" t="s">
        <v>802</v>
      </c>
      <c r="G5" t="s">
        <v>8955</v>
      </c>
      <c r="H5" t="s">
        <v>5739</v>
      </c>
      <c r="I5" t="s">
        <v>557</v>
      </c>
      <c r="K5" t="s">
        <v>5806</v>
      </c>
      <c r="L5" t="s">
        <v>5813</v>
      </c>
      <c r="P5" t="str">
        <f>"Update Project Set Organisation = '"&amp;H5&amp;"' where Project_ID = '"&amp;A5&amp;"'; "</f>
        <v xml:space="preserve">Update Project Set Organisation = 'Helmholtz Institute for Pharmaceutical Research Saarland (HIPS)' where Project_ID = 'HIPS_E01'; </v>
      </c>
      <c r="Q5" t="str">
        <f>"Update Project Set Library_name = '"&amp;L5&amp;"' , COADD_ID = '"&amp;M5&amp;"' where Project_ID = '"&amp;A5&amp;"'; "</f>
        <v xml:space="preserve">Update Project Set Library_name = 'HIPS (Germany) - Myxobateria Extracts' , COADD_ID = '' where Project_ID = 'HIPS_E01'; </v>
      </c>
    </row>
    <row r="6" spans="1:17">
      <c r="A6" t="s">
        <v>5816</v>
      </c>
      <c r="B6" t="s">
        <v>5814</v>
      </c>
      <c r="C6" t="s">
        <v>5762</v>
      </c>
      <c r="D6" t="s">
        <v>2449</v>
      </c>
      <c r="E6" t="s">
        <v>2448</v>
      </c>
      <c r="F6" t="s">
        <v>802</v>
      </c>
      <c r="G6" t="s">
        <v>8955</v>
      </c>
      <c r="H6" t="s">
        <v>5739</v>
      </c>
      <c r="I6" t="s">
        <v>557</v>
      </c>
      <c r="K6" t="s">
        <v>5806</v>
      </c>
      <c r="L6" t="s">
        <v>5813</v>
      </c>
      <c r="P6" t="str">
        <f>"Update Project Set Organisation = '"&amp;H6&amp;"' where Project_ID = '"&amp;A6&amp;"'; "</f>
        <v xml:space="preserve">Update Project Set Organisation = 'Helmholtz Institute for Pharmaceutical Research Saarland (HIPS)' where Project_ID = 'HIPS_E02'; </v>
      </c>
      <c r="Q6" t="str">
        <f>"Update Project Set Library_name = '"&amp;L6&amp;"' , COADD_ID = '"&amp;M6&amp;"' where Project_ID = '"&amp;A6&amp;"'; "</f>
        <v xml:space="preserve">Update Project Set Library_name = 'HIPS (Germany) - Myxobateria Extracts' , COADD_ID = '' where Project_ID = 'HIPS_E02'; </v>
      </c>
    </row>
    <row r="7" spans="1:17">
      <c r="A7" t="s">
        <v>5821</v>
      </c>
      <c r="B7" t="s">
        <v>5820</v>
      </c>
      <c r="C7" t="s">
        <v>5819</v>
      </c>
      <c r="D7" t="s">
        <v>247</v>
      </c>
      <c r="G7" t="s">
        <v>9011</v>
      </c>
      <c r="H7" t="s">
        <v>250</v>
      </c>
      <c r="I7" t="s">
        <v>253</v>
      </c>
      <c r="K7" t="s">
        <v>5806</v>
      </c>
      <c r="L7" t="s">
        <v>5818</v>
      </c>
      <c r="M7" t="s">
        <v>5817</v>
      </c>
      <c r="P7" t="str">
        <f>"Update Project Set Organisation = '"&amp;H7&amp;"' where Project_ID = '"&amp;A7&amp;"'; "</f>
        <v xml:space="preserve">Update Project Set Organisation = 'Medicines for Malaria Venture (MMV)' where Project_ID = 'MMV2'; </v>
      </c>
      <c r="Q7" t="str">
        <f>"Update Project Set Library_name = '"&amp;L7&amp;"' , COADD_ID = '"&amp;M7&amp;"' where Project_ID = '"&amp;A7&amp;"'; "</f>
        <v xml:space="preserve">Update Project Set Library_name = 'MMV (CH) - Biofocus 1' , COADD_ID = 'CO-ADD:PL0026' where Project_ID = 'MMV2'; </v>
      </c>
    </row>
    <row r="8" spans="1:17">
      <c r="A8" t="s">
        <v>5825</v>
      </c>
      <c r="B8" t="s">
        <v>5824</v>
      </c>
      <c r="C8" t="s">
        <v>5819</v>
      </c>
      <c r="D8" t="s">
        <v>247</v>
      </c>
      <c r="G8" t="s">
        <v>9011</v>
      </c>
      <c r="H8" t="s">
        <v>250</v>
      </c>
      <c r="I8" t="s">
        <v>253</v>
      </c>
      <c r="K8" t="s">
        <v>5806</v>
      </c>
      <c r="L8" t="s">
        <v>5823</v>
      </c>
      <c r="M8" t="s">
        <v>5822</v>
      </c>
      <c r="P8" t="str">
        <f>"Update Project Set Organisation = '"&amp;H8&amp;"' where Project_ID = '"&amp;A8&amp;"'; "</f>
        <v xml:space="preserve">Update Project Set Organisation = 'Medicines for Malaria Venture (MMV)' where Project_ID = 'MMV3'; </v>
      </c>
      <c r="Q8" t="str">
        <f>"Update Project Set Library_name = '"&amp;L8&amp;"' , COADD_ID = '"&amp;M8&amp;"' where Project_ID = '"&amp;A8&amp;"'; "</f>
        <v xml:space="preserve">Update Project Set Library_name = 'MMV (CH) - Biofocus 2' , COADD_ID = 'CO-ADD:PL0027' where Project_ID = 'MMV3'; </v>
      </c>
    </row>
    <row r="9" spans="1:17">
      <c r="A9" t="s">
        <v>5830</v>
      </c>
      <c r="B9" t="s">
        <v>5829</v>
      </c>
      <c r="C9" t="s">
        <v>5819</v>
      </c>
      <c r="D9" t="s">
        <v>247</v>
      </c>
      <c r="E9" t="s">
        <v>1630</v>
      </c>
      <c r="G9" t="s">
        <v>9011</v>
      </c>
      <c r="H9" t="s">
        <v>250</v>
      </c>
      <c r="I9" t="s">
        <v>253</v>
      </c>
      <c r="K9" t="s">
        <v>5828</v>
      </c>
      <c r="L9" t="s">
        <v>5827</v>
      </c>
      <c r="M9" t="s">
        <v>5826</v>
      </c>
      <c r="N9" s="2">
        <v>43770</v>
      </c>
      <c r="P9" t="str">
        <f>"Update Project Set Organisation = '"&amp;H9&amp;"' where Project_ID = '"&amp;A9&amp;"'; "</f>
        <v xml:space="preserve">Update Project Set Organisation = 'Medicines for Malaria Venture (MMV)' where Project_ID = 'MMV4'; </v>
      </c>
      <c r="Q9" t="str">
        <f>"Update Project Set Library_name = '"&amp;L9&amp;"' , COADD_ID = '"&amp;M9&amp;"' where Project_ID = '"&amp;A9&amp;"'; "</f>
        <v xml:space="preserve">Update Project Set Library_name = 'MMV (CH) - Small Polar Library' , COADD_ID = 'CO-ADD:PL0025' where Project_ID = 'MMV4'; </v>
      </c>
    </row>
    <row r="10" spans="1:17">
      <c r="A10" t="s">
        <v>5835</v>
      </c>
      <c r="B10" t="s">
        <v>5834</v>
      </c>
      <c r="C10" t="s">
        <v>5833</v>
      </c>
      <c r="D10" t="s">
        <v>4565</v>
      </c>
      <c r="E10" t="s">
        <v>4739</v>
      </c>
      <c r="G10" t="s">
        <v>8914</v>
      </c>
      <c r="H10" t="s">
        <v>731</v>
      </c>
      <c r="I10" t="s">
        <v>14</v>
      </c>
      <c r="K10" t="s">
        <v>5806</v>
      </c>
      <c r="L10" t="s">
        <v>5832</v>
      </c>
      <c r="M10" t="s">
        <v>5831</v>
      </c>
      <c r="P10" t="str">
        <f>"Update Project Set Organisation = '"&amp;H10&amp;"' where Project_ID = '"&amp;A10&amp;"'; "</f>
        <v xml:space="preserve">Update Project Set Organisation = 'Commonwealth Scientific and Industrial Research (CSIRO)' where Project_ID = 'P0001'; </v>
      </c>
      <c r="Q10" t="str">
        <f>"Update Project Set Library_name = '"&amp;L10&amp;"' , COADD_ID = '"&amp;M10&amp;"' where Project_ID = '"&amp;A10&amp;"'; "</f>
        <v xml:space="preserve">Update Project Set Library_name = 'CSIRO (Australia) - Synthetic  Library I' , COADD_ID = 'CO-ADD:PL0060' where Project_ID = 'P0001'; </v>
      </c>
    </row>
    <row r="11" spans="1:17">
      <c r="A11" t="s">
        <v>5838</v>
      </c>
      <c r="C11" t="s">
        <v>5633</v>
      </c>
      <c r="D11" t="s">
        <v>3117</v>
      </c>
      <c r="E11" t="s">
        <v>4739</v>
      </c>
      <c r="G11" t="s">
        <v>9261</v>
      </c>
      <c r="H11" t="s">
        <v>5500</v>
      </c>
      <c r="I11" t="s">
        <v>14</v>
      </c>
      <c r="K11" t="s">
        <v>5837</v>
      </c>
      <c r="M11" t="s">
        <v>5836</v>
      </c>
      <c r="P11" t="str">
        <f>"Update Project Set Organisation = '"&amp;H11&amp;"' where Project_ID = '"&amp;A11&amp;"'; "</f>
        <v xml:space="preserve">Update Project Set Organisation = 'Walter and Eliza Hall Institute of Medical Research (WEHI)' where Project_ID = 'P0002'; </v>
      </c>
      <c r="Q11" t="str">
        <f>"Update Project Set Library_name = '"&amp;L11&amp;"' , COADD_ID = '"&amp;M11&amp;"' where Project_ID = '"&amp;A11&amp;"'; "</f>
        <v xml:space="preserve">Update Project Set Library_name = '' , COADD_ID = 'CO-ADD:PC0002' where Project_ID = 'P0002'; </v>
      </c>
    </row>
    <row r="12" spans="1:17">
      <c r="A12" t="s">
        <v>5841</v>
      </c>
      <c r="C12" t="s">
        <v>5840</v>
      </c>
      <c r="D12" t="s">
        <v>520</v>
      </c>
      <c r="E12" t="s">
        <v>5409</v>
      </c>
      <c r="G12" t="s">
        <v>9180</v>
      </c>
      <c r="H12" t="s">
        <v>524</v>
      </c>
      <c r="I12" t="s">
        <v>14</v>
      </c>
      <c r="K12" t="s">
        <v>5828</v>
      </c>
      <c r="L12" t="s">
        <v>8155</v>
      </c>
      <c r="M12" t="s">
        <v>5839</v>
      </c>
      <c r="N12" s="2">
        <v>45657</v>
      </c>
      <c r="P12" t="str">
        <f>"Update Project Set Organisation = '"&amp;H12&amp;"' where Project_ID = '"&amp;A12&amp;"'; "</f>
        <v xml:space="preserve">Update Project Set Organisation = 'University of Newcastle' where Project_ID = 'P0003'; </v>
      </c>
      <c r="Q12" t="str">
        <f>"Update Project Set Library_name = '"&amp;L12&amp;"' , COADD_ID = '"&amp;M12&amp;"' where Project_ID = '"&amp;A12&amp;"'; "</f>
        <v xml:space="preserve">Update Project Set Library_name = 'University of Newcastle (Australia)' , COADD_ID = 'CO-ADD:PC0003' where Project_ID = 'P0003'; </v>
      </c>
    </row>
    <row r="13" spans="1:17">
      <c r="A13" t="s">
        <v>5844</v>
      </c>
      <c r="C13" t="s">
        <v>5840</v>
      </c>
      <c r="D13" t="s">
        <v>520</v>
      </c>
      <c r="E13" t="s">
        <v>3570</v>
      </c>
      <c r="G13" t="s">
        <v>9180</v>
      </c>
      <c r="H13" t="s">
        <v>524</v>
      </c>
      <c r="I13" t="s">
        <v>14</v>
      </c>
      <c r="K13" t="s">
        <v>5843</v>
      </c>
      <c r="M13" t="s">
        <v>5842</v>
      </c>
      <c r="P13" t="str">
        <f>"Update Project Set Organisation = '"&amp;H13&amp;"' where Project_ID = '"&amp;A13&amp;"'; "</f>
        <v xml:space="preserve">Update Project Set Organisation = 'University of Newcastle' where Project_ID = 'P0004'; </v>
      </c>
      <c r="Q13" t="str">
        <f>"Update Project Set Library_name = '"&amp;L13&amp;"' , COADD_ID = '"&amp;M13&amp;"' where Project_ID = '"&amp;A13&amp;"'; "</f>
        <v xml:space="preserve">Update Project Set Library_name = '' , COADD_ID = 'CO-ADD:PC0004' where Project_ID = 'P0004'; </v>
      </c>
    </row>
    <row r="14" spans="1:17">
      <c r="A14" t="s">
        <v>5846</v>
      </c>
      <c r="C14" t="s">
        <v>5840</v>
      </c>
      <c r="D14" t="s">
        <v>2136</v>
      </c>
      <c r="E14" t="s">
        <v>2135</v>
      </c>
      <c r="G14" t="s">
        <v>9096</v>
      </c>
      <c r="H14" t="s">
        <v>2138</v>
      </c>
      <c r="I14" t="s">
        <v>14</v>
      </c>
      <c r="K14" t="s">
        <v>5837</v>
      </c>
      <c r="M14" t="s">
        <v>5845</v>
      </c>
      <c r="P14" t="str">
        <f>"Update Project Set Organisation = '"&amp;H14&amp;"' where Project_ID = '"&amp;A14&amp;"'; "</f>
        <v xml:space="preserve">Update Project Set Organisation = 'Univeristy of Adelaide' where Project_ID = 'P0005'; </v>
      </c>
      <c r="Q14" t="str">
        <f>"Update Project Set Library_name = '"&amp;L14&amp;"' , COADD_ID = '"&amp;M14&amp;"' where Project_ID = '"&amp;A14&amp;"'; "</f>
        <v xml:space="preserve">Update Project Set Library_name = '' , COADD_ID = 'CO-ADD:PC0005' where Project_ID = 'P0005'; </v>
      </c>
    </row>
    <row r="15" spans="1:17">
      <c r="A15" t="s">
        <v>5848</v>
      </c>
      <c r="C15" t="s">
        <v>5840</v>
      </c>
      <c r="D15" t="s">
        <v>2678</v>
      </c>
      <c r="E15" t="s">
        <v>3814</v>
      </c>
      <c r="G15" t="s">
        <v>9140</v>
      </c>
      <c r="H15" t="s">
        <v>1030</v>
      </c>
      <c r="I15" t="s">
        <v>117</v>
      </c>
      <c r="K15" t="s">
        <v>5843</v>
      </c>
      <c r="M15" t="s">
        <v>5847</v>
      </c>
      <c r="P15" t="str">
        <f>"Update Project Set Organisation = '"&amp;H15&amp;"' where Project_ID = '"&amp;A15&amp;"'; "</f>
        <v xml:space="preserve">Update Project Set Organisation = 'University of California San Francisco (UCSF)' where Project_ID = 'P0006'; </v>
      </c>
      <c r="Q15" t="str">
        <f>"Update Project Set Library_name = '"&amp;L15&amp;"' , COADD_ID = '"&amp;M15&amp;"' where Project_ID = '"&amp;A15&amp;"'; "</f>
        <v xml:space="preserve">Update Project Set Library_name = '' , COADD_ID = 'CO-ADD:PC0006' where Project_ID = 'P0006'; </v>
      </c>
    </row>
    <row r="16" spans="1:17">
      <c r="A16" t="s">
        <v>5850</v>
      </c>
      <c r="C16" t="s">
        <v>5840</v>
      </c>
      <c r="D16" t="s">
        <v>1333</v>
      </c>
      <c r="E16" t="s">
        <v>1332</v>
      </c>
      <c r="G16" t="s">
        <v>9193</v>
      </c>
      <c r="H16" t="s">
        <v>362</v>
      </c>
      <c r="I16" t="s">
        <v>14</v>
      </c>
      <c r="J16" t="s">
        <v>1440</v>
      </c>
      <c r="K16" t="s">
        <v>5843</v>
      </c>
      <c r="M16" t="s">
        <v>5849</v>
      </c>
      <c r="P16" t="str">
        <f>"Update Project Set Organisation = '"&amp;H16&amp;"' where Project_ID = '"&amp;A16&amp;"'; "</f>
        <v xml:space="preserve">Update Project Set Organisation = 'University of Queensland' where Project_ID = 'P0007'; </v>
      </c>
      <c r="Q16" t="str">
        <f>"Update Project Set Library_name = '"&amp;L16&amp;"' , COADD_ID = '"&amp;M16&amp;"' where Project_ID = '"&amp;A16&amp;"'; "</f>
        <v xml:space="preserve">Update Project Set Library_name = '' , COADD_ID = 'CO-ADD:PC0007' where Project_ID = 'P0007'; </v>
      </c>
    </row>
    <row r="17" spans="1:17">
      <c r="A17" t="s">
        <v>5852</v>
      </c>
      <c r="C17" t="s">
        <v>5840</v>
      </c>
      <c r="D17" t="s">
        <v>5240</v>
      </c>
      <c r="E17" t="s">
        <v>5239</v>
      </c>
      <c r="G17" t="s">
        <v>9165</v>
      </c>
      <c r="H17" t="s">
        <v>1271</v>
      </c>
      <c r="I17" t="s">
        <v>14</v>
      </c>
      <c r="K17" t="s">
        <v>5843</v>
      </c>
      <c r="M17" t="s">
        <v>5851</v>
      </c>
      <c r="P17" t="str">
        <f>"Update Project Set Organisation = '"&amp;H17&amp;"' where Project_ID = '"&amp;A17&amp;"'; "</f>
        <v xml:space="preserve">Update Project Set Organisation = 'University of Melbourne' where Project_ID = 'P0008'; </v>
      </c>
      <c r="Q17" t="str">
        <f>"Update Project Set Library_name = '"&amp;L17&amp;"' , COADD_ID = '"&amp;M17&amp;"' where Project_ID = '"&amp;A17&amp;"'; "</f>
        <v xml:space="preserve">Update Project Set Library_name = '' , COADD_ID = 'CO-ADD:PC0008' where Project_ID = 'P0008'; </v>
      </c>
    </row>
    <row r="18" spans="1:17">
      <c r="A18" t="s">
        <v>5855</v>
      </c>
      <c r="C18" t="s">
        <v>5840</v>
      </c>
      <c r="D18" t="s">
        <v>1027</v>
      </c>
      <c r="E18" t="s">
        <v>4324</v>
      </c>
      <c r="G18" t="s">
        <v>9141</v>
      </c>
      <c r="H18" t="s">
        <v>1030</v>
      </c>
      <c r="I18" t="s">
        <v>117</v>
      </c>
      <c r="J18" t="s">
        <v>5854</v>
      </c>
      <c r="K18" t="s">
        <v>5843</v>
      </c>
      <c r="M18" t="s">
        <v>5853</v>
      </c>
      <c r="P18" t="str">
        <f>"Update Project Set Organisation = '"&amp;H18&amp;"' where Project_ID = '"&amp;A18&amp;"'; "</f>
        <v xml:space="preserve">Update Project Set Organisation = 'University of California San Francisco (UCSF)' where Project_ID = 'P0009'; </v>
      </c>
      <c r="Q18" t="str">
        <f>"Update Project Set Library_name = '"&amp;L18&amp;"' , COADD_ID = '"&amp;M18&amp;"' where Project_ID = '"&amp;A18&amp;"'; "</f>
        <v xml:space="preserve">Update Project Set Library_name = '' , COADD_ID = 'CO-ADD:PC0009' where Project_ID = 'P0009'; </v>
      </c>
    </row>
    <row r="19" spans="1:17">
      <c r="A19" t="s">
        <v>5857</v>
      </c>
      <c r="C19" t="s">
        <v>5840</v>
      </c>
      <c r="D19" t="s">
        <v>4034</v>
      </c>
      <c r="E19" t="s">
        <v>4033</v>
      </c>
      <c r="G19" t="s">
        <v>9136</v>
      </c>
      <c r="H19" t="s">
        <v>4036</v>
      </c>
      <c r="I19" t="s">
        <v>269</v>
      </c>
      <c r="K19" t="s">
        <v>5843</v>
      </c>
      <c r="M19" t="s">
        <v>5856</v>
      </c>
      <c r="P19" t="str">
        <f>"Update Project Set Organisation = '"&amp;H19&amp;"' where Project_ID = '"&amp;A19&amp;"'; "</f>
        <v xml:space="preserve">Update Project Set Organisation = 'University of Birmingham' where Project_ID = 'P0010'; </v>
      </c>
      <c r="Q19" t="str">
        <f>"Update Project Set Library_name = '"&amp;L19&amp;"' , COADD_ID = '"&amp;M19&amp;"' where Project_ID = '"&amp;A19&amp;"'; "</f>
        <v xml:space="preserve">Update Project Set Library_name = '' , COADD_ID = 'CO-ADD:PC0010' where Project_ID = 'P0010'; </v>
      </c>
    </row>
    <row r="20" spans="1:17">
      <c r="A20" t="s">
        <v>5859</v>
      </c>
      <c r="C20" t="s">
        <v>5840</v>
      </c>
      <c r="D20" t="s">
        <v>2194</v>
      </c>
      <c r="E20" t="s">
        <v>2464</v>
      </c>
      <c r="G20" t="s">
        <v>9194</v>
      </c>
      <c r="H20" t="s">
        <v>362</v>
      </c>
      <c r="I20" t="s">
        <v>14</v>
      </c>
      <c r="K20" t="s">
        <v>5843</v>
      </c>
      <c r="M20" t="s">
        <v>5858</v>
      </c>
      <c r="P20" t="str">
        <f>"Update Project Set Organisation = '"&amp;H20&amp;"' where Project_ID = '"&amp;A20&amp;"'; "</f>
        <v xml:space="preserve">Update Project Set Organisation = 'University of Queensland' where Project_ID = 'P0011'; </v>
      </c>
      <c r="Q20" t="str">
        <f>"Update Project Set Library_name = '"&amp;L20&amp;"' , COADD_ID = '"&amp;M20&amp;"' where Project_ID = '"&amp;A20&amp;"'; "</f>
        <v xml:space="preserve">Update Project Set Library_name = '' , COADD_ID = 'CO-ADD:PC0011' where Project_ID = 'P0011'; </v>
      </c>
    </row>
    <row r="21" spans="1:17">
      <c r="A21" t="s">
        <v>5861</v>
      </c>
      <c r="C21" t="s">
        <v>5840</v>
      </c>
      <c r="D21" t="s">
        <v>359</v>
      </c>
      <c r="E21" t="s">
        <v>4309</v>
      </c>
      <c r="G21" t="s">
        <v>9195</v>
      </c>
      <c r="H21" t="s">
        <v>362</v>
      </c>
      <c r="I21" t="s">
        <v>14</v>
      </c>
      <c r="K21" t="s">
        <v>5843</v>
      </c>
      <c r="M21" t="s">
        <v>5860</v>
      </c>
      <c r="P21" t="str">
        <f>"Update Project Set Organisation = '"&amp;H21&amp;"' where Project_ID = '"&amp;A21&amp;"'; "</f>
        <v xml:space="preserve">Update Project Set Organisation = 'University of Queensland' where Project_ID = 'P0012'; </v>
      </c>
      <c r="Q21" t="str">
        <f>"Update Project Set Library_name = '"&amp;L21&amp;"' , COADD_ID = '"&amp;M21&amp;"' where Project_ID = '"&amp;A21&amp;"'; "</f>
        <v xml:space="preserve">Update Project Set Library_name = '' , COADD_ID = 'CO-ADD:PC0012' where Project_ID = 'P0012'; </v>
      </c>
    </row>
    <row r="22" spans="1:17">
      <c r="A22" t="s">
        <v>5863</v>
      </c>
      <c r="C22" t="s">
        <v>5840</v>
      </c>
      <c r="D22" t="s">
        <v>448</v>
      </c>
      <c r="E22" t="s">
        <v>2689</v>
      </c>
      <c r="G22" t="s">
        <v>8900</v>
      </c>
      <c r="H22" t="s">
        <v>362</v>
      </c>
      <c r="I22" t="s">
        <v>14</v>
      </c>
      <c r="K22" t="s">
        <v>5828</v>
      </c>
      <c r="L22" t="s">
        <v>5922</v>
      </c>
      <c r="M22" t="s">
        <v>5862</v>
      </c>
      <c r="N22" s="2">
        <v>45657</v>
      </c>
      <c r="P22" t="str">
        <f>"Update Project Set Organisation = '"&amp;H22&amp;"' where Project_ID = '"&amp;A22&amp;"'; "</f>
        <v xml:space="preserve">Update Project Set Organisation = 'University of Queensland' where Project_ID = 'P0013'; </v>
      </c>
      <c r="Q22" t="str">
        <f>"Update Project Set Library_name = '"&amp;L22&amp;"' , COADD_ID = '"&amp;M22&amp;"' where Project_ID = '"&amp;A22&amp;"'; "</f>
        <v xml:space="preserve">Update Project Set Library_name = 'University of Queensland (Australia)' , COADD_ID = 'CO-ADD:PC0013' where Project_ID = 'P0013'; </v>
      </c>
    </row>
    <row r="23" spans="1:17">
      <c r="A23" t="s">
        <v>5865</v>
      </c>
      <c r="C23" t="s">
        <v>5840</v>
      </c>
      <c r="D23" t="s">
        <v>448</v>
      </c>
      <c r="E23" t="s">
        <v>654</v>
      </c>
      <c r="G23" t="s">
        <v>8900</v>
      </c>
      <c r="H23" t="s">
        <v>362</v>
      </c>
      <c r="I23" t="s">
        <v>14</v>
      </c>
      <c r="K23" t="s">
        <v>5837</v>
      </c>
      <c r="M23" t="s">
        <v>5864</v>
      </c>
      <c r="P23" t="str">
        <f>"Update Project Set Organisation = '"&amp;H23&amp;"' where Project_ID = '"&amp;A23&amp;"'; "</f>
        <v xml:space="preserve">Update Project Set Organisation = 'University of Queensland' where Project_ID = 'P0014'; </v>
      </c>
      <c r="Q23" t="str">
        <f>"Update Project Set Library_name = '"&amp;L23&amp;"' , COADD_ID = '"&amp;M23&amp;"' where Project_ID = '"&amp;A23&amp;"'; "</f>
        <v xml:space="preserve">Update Project Set Library_name = '' , COADD_ID = 'CO-ADD:PC0014' where Project_ID = 'P0014'; </v>
      </c>
    </row>
    <row r="24" spans="1:17">
      <c r="A24" t="s">
        <v>5867</v>
      </c>
      <c r="C24" t="s">
        <v>5840</v>
      </c>
      <c r="D24" t="s">
        <v>3372</v>
      </c>
      <c r="E24" t="s">
        <v>5256</v>
      </c>
      <c r="G24" t="s">
        <v>9242</v>
      </c>
      <c r="H24" t="s">
        <v>1422</v>
      </c>
      <c r="I24" t="s">
        <v>14</v>
      </c>
      <c r="K24" t="s">
        <v>5828</v>
      </c>
      <c r="L24" t="s">
        <v>8156</v>
      </c>
      <c r="M24" t="s">
        <v>5866</v>
      </c>
      <c r="N24" s="2">
        <v>45657</v>
      </c>
      <c r="P24" t="str">
        <f>"Update Project Set Organisation = '"&amp;H24&amp;"' where Project_ID = '"&amp;A24&amp;"'; "</f>
        <v xml:space="preserve">Update Project Set Organisation = 'University of Wollongong' where Project_ID = 'P0015'; </v>
      </c>
      <c r="Q24" t="str">
        <f>"Update Project Set Library_name = '"&amp;L24&amp;"' , COADD_ID = '"&amp;M24&amp;"' where Project_ID = '"&amp;A24&amp;"'; "</f>
        <v xml:space="preserve">Update Project Set Library_name = 'University of Wollongong (Australia)' , COADD_ID = 'CO-ADD:PC0015' where Project_ID = 'P0015'; </v>
      </c>
    </row>
    <row r="25" spans="1:17">
      <c r="A25" t="s">
        <v>5869</v>
      </c>
      <c r="C25" t="s">
        <v>5840</v>
      </c>
      <c r="D25" t="s">
        <v>4189</v>
      </c>
      <c r="E25" t="s">
        <v>4188</v>
      </c>
      <c r="G25" t="s">
        <v>8891</v>
      </c>
      <c r="H25" t="s">
        <v>4192</v>
      </c>
      <c r="I25" t="s">
        <v>211</v>
      </c>
      <c r="K25" t="s">
        <v>5828</v>
      </c>
      <c r="L25" t="s">
        <v>8157</v>
      </c>
      <c r="M25" t="s">
        <v>5868</v>
      </c>
      <c r="N25" s="2">
        <v>45657</v>
      </c>
      <c r="P25" t="str">
        <f>"Update Project Set Organisation = '"&amp;H25&amp;"' where Project_ID = '"&amp;A25&amp;"'; "</f>
        <v xml:space="preserve">Update Project Set Organisation = 'Bangalore University' where Project_ID = 'P0016'; </v>
      </c>
      <c r="Q25" t="str">
        <f>"Update Project Set Library_name = '"&amp;L25&amp;"' , COADD_ID = '"&amp;M25&amp;"' where Project_ID = '"&amp;A25&amp;"'; "</f>
        <v xml:space="preserve">Update Project Set Library_name = 'Bangalore University (India)' , COADD_ID = 'CO-ADD:PC0016' where Project_ID = 'P0016'; </v>
      </c>
    </row>
    <row r="26" spans="1:17">
      <c r="A26" t="s">
        <v>5871</v>
      </c>
      <c r="C26" t="s">
        <v>5840</v>
      </c>
      <c r="D26" t="s">
        <v>520</v>
      </c>
      <c r="E26" t="s">
        <v>3570</v>
      </c>
      <c r="G26" t="s">
        <v>9180</v>
      </c>
      <c r="H26" t="s">
        <v>524</v>
      </c>
      <c r="I26" t="s">
        <v>14</v>
      </c>
      <c r="K26" t="s">
        <v>5837</v>
      </c>
      <c r="M26" t="s">
        <v>5870</v>
      </c>
      <c r="P26" t="str">
        <f>"Update Project Set Organisation = '"&amp;H26&amp;"' where Project_ID = '"&amp;A26&amp;"'; "</f>
        <v xml:space="preserve">Update Project Set Organisation = 'University of Newcastle' where Project_ID = 'P0017'; </v>
      </c>
      <c r="Q26" t="str">
        <f>"Update Project Set Library_name = '"&amp;L26&amp;"' , COADD_ID = '"&amp;M26&amp;"' where Project_ID = '"&amp;A26&amp;"'; "</f>
        <v xml:space="preserve">Update Project Set Library_name = '' , COADD_ID = 'CO-ADD:PC0017' where Project_ID = 'P0017'; </v>
      </c>
    </row>
    <row r="27" spans="1:17">
      <c r="A27" t="s">
        <v>5873</v>
      </c>
      <c r="C27" t="s">
        <v>5840</v>
      </c>
      <c r="D27" t="s">
        <v>488</v>
      </c>
      <c r="E27" t="s">
        <v>4082</v>
      </c>
      <c r="G27" t="s">
        <v>8927</v>
      </c>
      <c r="H27" t="s">
        <v>491</v>
      </c>
      <c r="I27" t="s">
        <v>14</v>
      </c>
      <c r="K27" t="s">
        <v>5843</v>
      </c>
      <c r="M27" t="s">
        <v>5872</v>
      </c>
      <c r="P27" t="str">
        <f>"Update Project Set Organisation = '"&amp;H27&amp;"' where Project_ID = '"&amp;A27&amp;"'; "</f>
        <v xml:space="preserve">Update Project Set Organisation = 'Deakin University' where Project_ID = 'P0018'; </v>
      </c>
      <c r="Q27" t="str">
        <f>"Update Project Set Library_name = '"&amp;L27&amp;"' , COADD_ID = '"&amp;M27&amp;"' where Project_ID = '"&amp;A27&amp;"'; "</f>
        <v xml:space="preserve">Update Project Set Library_name = '' , COADD_ID = 'CO-ADD:PC0018' where Project_ID = 'P0018'; </v>
      </c>
    </row>
    <row r="28" spans="1:17">
      <c r="A28" t="s">
        <v>5875</v>
      </c>
      <c r="C28" t="s">
        <v>5840</v>
      </c>
      <c r="D28" t="s">
        <v>2194</v>
      </c>
      <c r="E28" t="s">
        <v>2464</v>
      </c>
      <c r="G28" t="s">
        <v>9194</v>
      </c>
      <c r="H28" t="s">
        <v>362</v>
      </c>
      <c r="I28" t="s">
        <v>14</v>
      </c>
      <c r="K28" t="s">
        <v>5843</v>
      </c>
      <c r="M28" t="s">
        <v>5874</v>
      </c>
      <c r="P28" t="str">
        <f>"Update Project Set Organisation = '"&amp;H28&amp;"' where Project_ID = '"&amp;A28&amp;"'; "</f>
        <v xml:space="preserve">Update Project Set Organisation = 'University of Queensland' where Project_ID = 'P0019'; </v>
      </c>
      <c r="Q28" t="str">
        <f>"Update Project Set Library_name = '"&amp;L28&amp;"' , COADD_ID = '"&amp;M28&amp;"' where Project_ID = '"&amp;A28&amp;"'; "</f>
        <v xml:space="preserve">Update Project Set Library_name = '' , COADD_ID = 'CO-ADD:PC0019' where Project_ID = 'P0019'; </v>
      </c>
    </row>
    <row r="29" spans="1:17">
      <c r="A29" t="s">
        <v>5877</v>
      </c>
      <c r="C29" t="s">
        <v>5840</v>
      </c>
      <c r="D29" t="s">
        <v>2194</v>
      </c>
      <c r="E29" t="s">
        <v>2464</v>
      </c>
      <c r="G29" t="s">
        <v>9194</v>
      </c>
      <c r="H29" t="s">
        <v>362</v>
      </c>
      <c r="I29" t="s">
        <v>14</v>
      </c>
      <c r="K29" t="s">
        <v>5843</v>
      </c>
      <c r="M29" t="s">
        <v>5876</v>
      </c>
      <c r="P29" t="str">
        <f>"Update Project Set Organisation = '"&amp;H29&amp;"' where Project_ID = '"&amp;A29&amp;"'; "</f>
        <v xml:space="preserve">Update Project Set Organisation = 'University of Queensland' where Project_ID = 'P0020'; </v>
      </c>
      <c r="Q29" t="str">
        <f>"Update Project Set Library_name = '"&amp;L29&amp;"' , COADD_ID = '"&amp;M29&amp;"' where Project_ID = '"&amp;A29&amp;"'; "</f>
        <v xml:space="preserve">Update Project Set Library_name = '' , COADD_ID = 'CO-ADD:PC0020' where Project_ID = 'P0020'; </v>
      </c>
    </row>
    <row r="30" spans="1:17">
      <c r="A30" t="s">
        <v>5879</v>
      </c>
      <c r="C30" t="s">
        <v>5840</v>
      </c>
      <c r="D30" t="s">
        <v>448</v>
      </c>
      <c r="E30" t="s">
        <v>2689</v>
      </c>
      <c r="G30" t="s">
        <v>8900</v>
      </c>
      <c r="H30" t="s">
        <v>362</v>
      </c>
      <c r="I30" t="s">
        <v>14</v>
      </c>
      <c r="K30" t="s">
        <v>5828</v>
      </c>
      <c r="L30" t="s">
        <v>5922</v>
      </c>
      <c r="M30" t="s">
        <v>5878</v>
      </c>
      <c r="N30" s="2">
        <v>45657</v>
      </c>
      <c r="P30" t="str">
        <f>"Update Project Set Organisation = '"&amp;H30&amp;"' where Project_ID = '"&amp;A30&amp;"'; "</f>
        <v xml:space="preserve">Update Project Set Organisation = 'University of Queensland' where Project_ID = 'P0021'; </v>
      </c>
      <c r="Q30" t="str">
        <f>"Update Project Set Library_name = '"&amp;L30&amp;"' , COADD_ID = '"&amp;M30&amp;"' where Project_ID = '"&amp;A30&amp;"'; "</f>
        <v xml:space="preserve">Update Project Set Library_name = 'University of Queensland (Australia)' , COADD_ID = 'CO-ADD:PC0021' where Project_ID = 'P0021'; </v>
      </c>
    </row>
    <row r="31" spans="1:17">
      <c r="A31" t="s">
        <v>5881</v>
      </c>
      <c r="C31" t="s">
        <v>5840</v>
      </c>
      <c r="D31" t="s">
        <v>4796</v>
      </c>
      <c r="E31" t="s">
        <v>4999</v>
      </c>
      <c r="G31" t="s">
        <v>9265</v>
      </c>
      <c r="H31" t="s">
        <v>4799</v>
      </c>
      <c r="I31" t="s">
        <v>848</v>
      </c>
      <c r="K31" t="s">
        <v>5828</v>
      </c>
      <c r="L31" t="s">
        <v>8158</v>
      </c>
      <c r="M31" t="s">
        <v>5880</v>
      </c>
      <c r="N31" s="2">
        <v>45657</v>
      </c>
      <c r="P31" t="str">
        <f>"Update Project Set Organisation = '"&amp;H31&amp;"' where Project_ID = '"&amp;A31&amp;"'; "</f>
        <v xml:space="preserve">Update Project Set Organisation = 'Wroclaw Medical University' where Project_ID = 'P0022'; </v>
      </c>
      <c r="Q31" t="str">
        <f>"Update Project Set Library_name = '"&amp;L31&amp;"' , COADD_ID = '"&amp;M31&amp;"' where Project_ID = '"&amp;A31&amp;"'; "</f>
        <v xml:space="preserve">Update Project Set Library_name = 'Wroclaw Medical University (Poland)' , COADD_ID = 'CO-ADD:PC0022' where Project_ID = 'P0022'; </v>
      </c>
    </row>
    <row r="32" spans="1:17">
      <c r="A32" t="s">
        <v>5883</v>
      </c>
      <c r="C32" t="s">
        <v>5840</v>
      </c>
      <c r="D32" t="s">
        <v>448</v>
      </c>
      <c r="E32" t="s">
        <v>2689</v>
      </c>
      <c r="G32" t="s">
        <v>8900</v>
      </c>
      <c r="H32" t="s">
        <v>362</v>
      </c>
      <c r="I32" t="s">
        <v>14</v>
      </c>
      <c r="K32" t="s">
        <v>5828</v>
      </c>
      <c r="L32" t="s">
        <v>5922</v>
      </c>
      <c r="M32" t="s">
        <v>5882</v>
      </c>
      <c r="N32" s="2">
        <v>45657</v>
      </c>
      <c r="P32" t="str">
        <f>"Update Project Set Organisation = '"&amp;H32&amp;"' where Project_ID = '"&amp;A32&amp;"'; "</f>
        <v xml:space="preserve">Update Project Set Organisation = 'University of Queensland' where Project_ID = 'P0023'; </v>
      </c>
      <c r="Q32" t="str">
        <f>"Update Project Set Library_name = '"&amp;L32&amp;"' , COADD_ID = '"&amp;M32&amp;"' where Project_ID = '"&amp;A32&amp;"'; "</f>
        <v xml:space="preserve">Update Project Set Library_name = 'University of Queensland (Australia)' , COADD_ID = 'CO-ADD:PC0023' where Project_ID = 'P0023'; </v>
      </c>
    </row>
    <row r="33" spans="1:17">
      <c r="A33" t="s">
        <v>5886</v>
      </c>
      <c r="C33" t="s">
        <v>5840</v>
      </c>
      <c r="D33" t="s">
        <v>477</v>
      </c>
      <c r="E33" t="s">
        <v>476</v>
      </c>
      <c r="G33" t="s">
        <v>9101</v>
      </c>
      <c r="H33" t="s">
        <v>480</v>
      </c>
      <c r="I33" t="s">
        <v>481</v>
      </c>
      <c r="J33" t="s">
        <v>5885</v>
      </c>
      <c r="K33" t="s">
        <v>5843</v>
      </c>
      <c r="M33" t="s">
        <v>5884</v>
      </c>
      <c r="P33" t="str">
        <f>"Update Project Set Organisation = '"&amp;H33&amp;"' where Project_ID = '"&amp;A33&amp;"'; "</f>
        <v xml:space="preserve">Update Project Set Organisation = 'Universidad Nacional de Tucuman' where Project_ID = 'P0024'; </v>
      </c>
      <c r="Q33" t="str">
        <f>"Update Project Set Library_name = '"&amp;L33&amp;"' , COADD_ID = '"&amp;M33&amp;"' where Project_ID = '"&amp;A33&amp;"'; "</f>
        <v xml:space="preserve">Update Project Set Library_name = '' , COADD_ID = 'CO-ADD:PC0024' where Project_ID = 'P0024'; </v>
      </c>
    </row>
    <row r="34" spans="1:17">
      <c r="A34" t="s">
        <v>5888</v>
      </c>
      <c r="C34" t="s">
        <v>5840</v>
      </c>
      <c r="D34" t="s">
        <v>5240</v>
      </c>
      <c r="E34" t="s">
        <v>5239</v>
      </c>
      <c r="G34" t="s">
        <v>9165</v>
      </c>
      <c r="H34" t="s">
        <v>1271</v>
      </c>
      <c r="I34" t="s">
        <v>14</v>
      </c>
      <c r="K34" t="s">
        <v>5843</v>
      </c>
      <c r="M34" t="s">
        <v>5887</v>
      </c>
      <c r="P34" t="str">
        <f>"Update Project Set Organisation = '"&amp;H34&amp;"' where Project_ID = '"&amp;A34&amp;"'; "</f>
        <v xml:space="preserve">Update Project Set Organisation = 'University of Melbourne' where Project_ID = 'P0025'; </v>
      </c>
      <c r="Q34" t="str">
        <f>"Update Project Set Library_name = '"&amp;L34&amp;"' , COADD_ID = '"&amp;M34&amp;"' where Project_ID = '"&amp;A34&amp;"'; "</f>
        <v xml:space="preserve">Update Project Set Library_name = '' , COADD_ID = 'CO-ADD:PC0025' where Project_ID = 'P0025'; </v>
      </c>
    </row>
    <row r="35" spans="1:17">
      <c r="A35" t="s">
        <v>5890</v>
      </c>
      <c r="C35" t="s">
        <v>5840</v>
      </c>
      <c r="D35" t="s">
        <v>1617</v>
      </c>
      <c r="E35" t="s">
        <v>2885</v>
      </c>
      <c r="G35" t="s">
        <v>9243</v>
      </c>
      <c r="H35" t="s">
        <v>1422</v>
      </c>
      <c r="I35" t="s">
        <v>14</v>
      </c>
      <c r="K35" t="s">
        <v>5828</v>
      </c>
      <c r="L35" t="s">
        <v>8156</v>
      </c>
      <c r="M35" t="s">
        <v>5889</v>
      </c>
      <c r="N35" s="2">
        <v>45657</v>
      </c>
      <c r="P35" t="str">
        <f>"Update Project Set Organisation = '"&amp;H35&amp;"' where Project_ID = '"&amp;A35&amp;"'; "</f>
        <v xml:space="preserve">Update Project Set Organisation = 'University of Wollongong' where Project_ID = 'P0026'; </v>
      </c>
      <c r="Q35" t="str">
        <f>"Update Project Set Library_name = '"&amp;L35&amp;"' , COADD_ID = '"&amp;M35&amp;"' where Project_ID = '"&amp;A35&amp;"'; "</f>
        <v xml:space="preserve">Update Project Set Library_name = 'University of Wollongong (Australia)' , COADD_ID = 'CO-ADD:PC0026' where Project_ID = 'P0026'; </v>
      </c>
    </row>
    <row r="36" spans="1:17">
      <c r="A36" t="s">
        <v>5892</v>
      </c>
      <c r="C36" t="s">
        <v>5840</v>
      </c>
      <c r="D36" t="s">
        <v>488</v>
      </c>
      <c r="E36" t="s">
        <v>4082</v>
      </c>
      <c r="G36" t="s">
        <v>8927</v>
      </c>
      <c r="H36" t="s">
        <v>491</v>
      </c>
      <c r="I36" t="s">
        <v>14</v>
      </c>
      <c r="K36" t="s">
        <v>5843</v>
      </c>
      <c r="M36" t="s">
        <v>5891</v>
      </c>
      <c r="P36" t="str">
        <f>"Update Project Set Organisation = '"&amp;H36&amp;"' where Project_ID = '"&amp;A36&amp;"'; "</f>
        <v xml:space="preserve">Update Project Set Organisation = 'Deakin University' where Project_ID = 'P0027'; </v>
      </c>
      <c r="Q36" t="str">
        <f>"Update Project Set Library_name = '"&amp;L36&amp;"' , COADD_ID = '"&amp;M36&amp;"' where Project_ID = '"&amp;A36&amp;"'; "</f>
        <v xml:space="preserve">Update Project Set Library_name = '' , COADD_ID = 'CO-ADD:PC0027' where Project_ID = 'P0027'; </v>
      </c>
    </row>
    <row r="37" spans="1:17">
      <c r="A37" t="s">
        <v>5894</v>
      </c>
      <c r="C37" t="s">
        <v>5840</v>
      </c>
      <c r="D37" t="s">
        <v>3372</v>
      </c>
      <c r="E37" t="s">
        <v>2871</v>
      </c>
      <c r="G37" t="s">
        <v>9242</v>
      </c>
      <c r="H37" t="s">
        <v>1422</v>
      </c>
      <c r="I37" t="s">
        <v>14</v>
      </c>
      <c r="K37" t="s">
        <v>5828</v>
      </c>
      <c r="L37" t="s">
        <v>8156</v>
      </c>
      <c r="M37" t="s">
        <v>5893</v>
      </c>
      <c r="N37" s="2">
        <v>45657</v>
      </c>
      <c r="P37" t="str">
        <f>"Update Project Set Organisation = '"&amp;H37&amp;"' where Project_ID = '"&amp;A37&amp;"'; "</f>
        <v xml:space="preserve">Update Project Set Organisation = 'University of Wollongong' where Project_ID = 'P0028'; </v>
      </c>
      <c r="Q37" t="str">
        <f>"Update Project Set Library_name = '"&amp;L37&amp;"' , COADD_ID = '"&amp;M37&amp;"' where Project_ID = '"&amp;A37&amp;"'; "</f>
        <v xml:space="preserve">Update Project Set Library_name = 'University of Wollongong (Australia)' , COADD_ID = 'CO-ADD:PC0028' where Project_ID = 'P0028'; </v>
      </c>
    </row>
    <row r="38" spans="1:17">
      <c r="A38" t="s">
        <v>5896</v>
      </c>
      <c r="C38" t="s">
        <v>5840</v>
      </c>
      <c r="D38" t="s">
        <v>3629</v>
      </c>
      <c r="E38" t="s">
        <v>5071</v>
      </c>
      <c r="G38" t="s">
        <v>9072</v>
      </c>
      <c r="H38" t="s">
        <v>2957</v>
      </c>
      <c r="I38" t="s">
        <v>211</v>
      </c>
      <c r="K38" t="s">
        <v>5843</v>
      </c>
      <c r="M38" t="s">
        <v>5895</v>
      </c>
      <c r="P38" t="str">
        <f>"Update Project Set Organisation = '"&amp;H38&amp;"' where Project_ID = '"&amp;A38&amp;"'; "</f>
        <v xml:space="preserve">Update Project Set Organisation = 'Saurashtra University' where Project_ID = 'P0029'; </v>
      </c>
      <c r="Q38" t="str">
        <f>"Update Project Set Library_name = '"&amp;L38&amp;"' , COADD_ID = '"&amp;M38&amp;"' where Project_ID = '"&amp;A38&amp;"'; "</f>
        <v xml:space="preserve">Update Project Set Library_name = '' , COADD_ID = 'CO-ADD:PC0029' where Project_ID = 'P0029'; </v>
      </c>
    </row>
    <row r="39" spans="1:17">
      <c r="A39" t="s">
        <v>5898</v>
      </c>
      <c r="C39" t="s">
        <v>5840</v>
      </c>
      <c r="D39" t="s">
        <v>448</v>
      </c>
      <c r="E39" t="s">
        <v>4373</v>
      </c>
      <c r="G39" t="s">
        <v>8900</v>
      </c>
      <c r="H39" t="s">
        <v>362</v>
      </c>
      <c r="I39" t="s">
        <v>14</v>
      </c>
      <c r="K39" t="s">
        <v>5828</v>
      </c>
      <c r="L39" t="s">
        <v>5922</v>
      </c>
      <c r="M39" t="s">
        <v>5897</v>
      </c>
      <c r="N39" s="2">
        <v>45657</v>
      </c>
      <c r="P39" t="str">
        <f>"Update Project Set Organisation = '"&amp;H39&amp;"' where Project_ID = '"&amp;A39&amp;"'; "</f>
        <v xml:space="preserve">Update Project Set Organisation = 'University of Queensland' where Project_ID = 'P0030'; </v>
      </c>
      <c r="Q39" t="str">
        <f>"Update Project Set Library_name = '"&amp;L39&amp;"' , COADD_ID = '"&amp;M39&amp;"' where Project_ID = '"&amp;A39&amp;"'; "</f>
        <v xml:space="preserve">Update Project Set Library_name = 'University of Queensland (Australia)' , COADD_ID = 'CO-ADD:PC0030' where Project_ID = 'P0030'; </v>
      </c>
    </row>
    <row r="40" spans="1:17">
      <c r="A40" t="s">
        <v>5900</v>
      </c>
      <c r="C40" t="s">
        <v>5840</v>
      </c>
      <c r="D40" t="s">
        <v>448</v>
      </c>
      <c r="E40" t="s">
        <v>3409</v>
      </c>
      <c r="G40" t="s">
        <v>8900</v>
      </c>
      <c r="H40" t="s">
        <v>362</v>
      </c>
      <c r="I40" t="s">
        <v>14</v>
      </c>
      <c r="K40" t="s">
        <v>5828</v>
      </c>
      <c r="L40" t="s">
        <v>5922</v>
      </c>
      <c r="M40" t="s">
        <v>5899</v>
      </c>
      <c r="N40" s="2">
        <v>45657</v>
      </c>
      <c r="P40" t="str">
        <f>"Update Project Set Organisation = '"&amp;H40&amp;"' where Project_ID = '"&amp;A40&amp;"'; "</f>
        <v xml:space="preserve">Update Project Set Organisation = 'University of Queensland' where Project_ID = 'P0031'; </v>
      </c>
      <c r="Q40" t="str">
        <f>"Update Project Set Library_name = '"&amp;L40&amp;"' , COADD_ID = '"&amp;M40&amp;"' where Project_ID = '"&amp;A40&amp;"'; "</f>
        <v xml:space="preserve">Update Project Set Library_name = 'University of Queensland (Australia)' , COADD_ID = 'CO-ADD:PC0031' where Project_ID = 'P0031'; </v>
      </c>
    </row>
    <row r="41" spans="1:17">
      <c r="A41" t="s">
        <v>5902</v>
      </c>
      <c r="C41" t="s">
        <v>5840</v>
      </c>
      <c r="D41" t="s">
        <v>448</v>
      </c>
      <c r="E41" t="s">
        <v>4500</v>
      </c>
      <c r="G41" t="s">
        <v>8900</v>
      </c>
      <c r="H41" t="s">
        <v>362</v>
      </c>
      <c r="I41" t="s">
        <v>14</v>
      </c>
      <c r="K41" t="s">
        <v>5837</v>
      </c>
      <c r="M41" t="s">
        <v>5901</v>
      </c>
      <c r="P41" t="str">
        <f>"Update Project Set Organisation = '"&amp;H41&amp;"' where Project_ID = '"&amp;A41&amp;"'; "</f>
        <v xml:space="preserve">Update Project Set Organisation = 'University of Queensland' where Project_ID = 'P0032'; </v>
      </c>
      <c r="Q41" t="str">
        <f>"Update Project Set Library_name = '"&amp;L41&amp;"' , COADD_ID = '"&amp;M41&amp;"' where Project_ID = '"&amp;A41&amp;"'; "</f>
        <v xml:space="preserve">Update Project Set Library_name = '' , COADD_ID = 'CO-ADD:PC0032' where Project_ID = 'P0032'; </v>
      </c>
    </row>
    <row r="42" spans="1:17">
      <c r="A42" t="s">
        <v>5904</v>
      </c>
      <c r="C42" t="s">
        <v>5840</v>
      </c>
      <c r="D42" t="s">
        <v>5194</v>
      </c>
      <c r="E42" t="s">
        <v>5193</v>
      </c>
      <c r="G42" t="s">
        <v>9019</v>
      </c>
      <c r="H42" t="s">
        <v>517</v>
      </c>
      <c r="I42" t="s">
        <v>14</v>
      </c>
      <c r="K42" t="s">
        <v>5843</v>
      </c>
      <c r="M42" t="s">
        <v>5903</v>
      </c>
      <c r="P42" t="str">
        <f>"Update Project Set Organisation = '"&amp;H42&amp;"' where Project_ID = '"&amp;A42&amp;"'; "</f>
        <v xml:space="preserve">Update Project Set Organisation = 'Monash University' where Project_ID = 'P0033'; </v>
      </c>
      <c r="Q42" t="str">
        <f>"Update Project Set Library_name = '"&amp;L42&amp;"' , COADD_ID = '"&amp;M42&amp;"' where Project_ID = '"&amp;A42&amp;"'; "</f>
        <v xml:space="preserve">Update Project Set Library_name = '' , COADD_ID = 'CO-ADD:PC0033' where Project_ID = 'P0033'; </v>
      </c>
    </row>
    <row r="43" spans="1:17">
      <c r="A43" t="s">
        <v>5906</v>
      </c>
      <c r="C43" t="s">
        <v>5840</v>
      </c>
      <c r="D43" t="s">
        <v>3613</v>
      </c>
      <c r="E43" t="s">
        <v>3612</v>
      </c>
      <c r="G43" t="s">
        <v>9216</v>
      </c>
      <c r="H43" t="s">
        <v>389</v>
      </c>
      <c r="I43" t="s">
        <v>14</v>
      </c>
      <c r="K43" t="s">
        <v>5843</v>
      </c>
      <c r="M43" t="s">
        <v>5905</v>
      </c>
      <c r="P43" t="str">
        <f>"Update Project Set Organisation = '"&amp;H43&amp;"' where Project_ID = '"&amp;A43&amp;"'; "</f>
        <v xml:space="preserve">Update Project Set Organisation = 'University of Sydney' where Project_ID = 'P0034'; </v>
      </c>
      <c r="Q43" t="str">
        <f>"Update Project Set Library_name = '"&amp;L43&amp;"' , COADD_ID = '"&amp;M43&amp;"' where Project_ID = '"&amp;A43&amp;"'; "</f>
        <v xml:space="preserve">Update Project Set Library_name = '' , COADD_ID = 'CO-ADD:PC0034' where Project_ID = 'P0034'; </v>
      </c>
    </row>
    <row r="44" spans="1:17">
      <c r="A44" t="s">
        <v>5908</v>
      </c>
      <c r="C44" t="s">
        <v>5840</v>
      </c>
      <c r="D44" t="s">
        <v>5194</v>
      </c>
      <c r="E44" t="s">
        <v>5193</v>
      </c>
      <c r="G44" t="s">
        <v>9019</v>
      </c>
      <c r="H44" t="s">
        <v>517</v>
      </c>
      <c r="I44" t="s">
        <v>14</v>
      </c>
      <c r="K44" t="s">
        <v>5843</v>
      </c>
      <c r="M44" t="s">
        <v>5907</v>
      </c>
      <c r="P44" t="str">
        <f>"Update Project Set Organisation = '"&amp;H44&amp;"' where Project_ID = '"&amp;A44&amp;"'; "</f>
        <v xml:space="preserve">Update Project Set Organisation = 'Monash University' where Project_ID = 'P0035'; </v>
      </c>
      <c r="Q44" t="str">
        <f>"Update Project Set Library_name = '"&amp;L44&amp;"' , COADD_ID = '"&amp;M44&amp;"' where Project_ID = '"&amp;A44&amp;"'; "</f>
        <v xml:space="preserve">Update Project Set Library_name = '' , COADD_ID = 'CO-ADD:PC0035' where Project_ID = 'P0035'; </v>
      </c>
    </row>
    <row r="45" spans="1:17">
      <c r="A45" t="s">
        <v>5910</v>
      </c>
      <c r="C45" t="s">
        <v>5840</v>
      </c>
      <c r="D45" t="s">
        <v>359</v>
      </c>
      <c r="E45" t="s">
        <v>962</v>
      </c>
      <c r="G45" t="s">
        <v>9195</v>
      </c>
      <c r="H45" t="s">
        <v>362</v>
      </c>
      <c r="I45" t="s">
        <v>14</v>
      </c>
      <c r="K45" t="s">
        <v>5843</v>
      </c>
      <c r="M45" t="s">
        <v>5909</v>
      </c>
      <c r="P45" t="str">
        <f>"Update Project Set Organisation = '"&amp;H45&amp;"' where Project_ID = '"&amp;A45&amp;"'; "</f>
        <v xml:space="preserve">Update Project Set Organisation = 'University of Queensland' where Project_ID = 'P0036'; </v>
      </c>
      <c r="Q45" t="str">
        <f>"Update Project Set Library_name = '"&amp;L45&amp;"' , COADD_ID = '"&amp;M45&amp;"' where Project_ID = '"&amp;A45&amp;"'; "</f>
        <v xml:space="preserve">Update Project Set Library_name = '' , COADD_ID = 'CO-ADD:PC0036' where Project_ID = 'P0036'; </v>
      </c>
    </row>
    <row r="46" spans="1:17">
      <c r="A46" t="s">
        <v>5912</v>
      </c>
      <c r="C46" t="s">
        <v>5840</v>
      </c>
      <c r="D46" t="s">
        <v>1604</v>
      </c>
      <c r="E46" t="s">
        <v>4789</v>
      </c>
      <c r="G46" t="s">
        <v>9244</v>
      </c>
      <c r="H46" t="s">
        <v>1422</v>
      </c>
      <c r="I46" t="s">
        <v>14</v>
      </c>
      <c r="K46" t="s">
        <v>5843</v>
      </c>
      <c r="M46" t="s">
        <v>5911</v>
      </c>
      <c r="P46" t="str">
        <f>"Update Project Set Organisation = '"&amp;H46&amp;"' where Project_ID = '"&amp;A46&amp;"'; "</f>
        <v xml:space="preserve">Update Project Set Organisation = 'University of Wollongong' where Project_ID = 'P0037'; </v>
      </c>
      <c r="Q46" t="str">
        <f>"Update Project Set Library_name = '"&amp;L46&amp;"' , COADD_ID = '"&amp;M46&amp;"' where Project_ID = '"&amp;A46&amp;"'; "</f>
        <v xml:space="preserve">Update Project Set Library_name = '' , COADD_ID = 'CO-ADD:PC0037' where Project_ID = 'P0037'; </v>
      </c>
    </row>
    <row r="47" spans="1:17">
      <c r="A47" t="s">
        <v>5914</v>
      </c>
      <c r="C47" t="s">
        <v>5840</v>
      </c>
      <c r="D47" t="s">
        <v>3629</v>
      </c>
      <c r="E47" t="s">
        <v>5071</v>
      </c>
      <c r="G47" t="s">
        <v>9072</v>
      </c>
      <c r="H47" t="s">
        <v>2957</v>
      </c>
      <c r="I47" t="s">
        <v>211</v>
      </c>
      <c r="K47" t="s">
        <v>5843</v>
      </c>
      <c r="M47" t="s">
        <v>5913</v>
      </c>
      <c r="P47" t="str">
        <f>"Update Project Set Organisation = '"&amp;H47&amp;"' where Project_ID = '"&amp;A47&amp;"'; "</f>
        <v xml:space="preserve">Update Project Set Organisation = 'Saurashtra University' where Project_ID = 'P0038'; </v>
      </c>
      <c r="Q47" t="str">
        <f>"Update Project Set Library_name = '"&amp;L47&amp;"' , COADD_ID = '"&amp;M47&amp;"' where Project_ID = '"&amp;A47&amp;"'; "</f>
        <v xml:space="preserve">Update Project Set Library_name = '' , COADD_ID = 'CO-ADD:PC0038' where Project_ID = 'P0038'; </v>
      </c>
    </row>
    <row r="48" spans="1:17">
      <c r="A48" t="s">
        <v>5916</v>
      </c>
      <c r="C48" t="s">
        <v>5840</v>
      </c>
      <c r="D48" t="s">
        <v>2954</v>
      </c>
      <c r="E48" t="s">
        <v>2953</v>
      </c>
      <c r="G48" t="s">
        <v>9073</v>
      </c>
      <c r="H48" t="s">
        <v>2957</v>
      </c>
      <c r="I48" t="s">
        <v>211</v>
      </c>
      <c r="K48" t="s">
        <v>5843</v>
      </c>
      <c r="M48" t="s">
        <v>5915</v>
      </c>
      <c r="P48" t="str">
        <f>"Update Project Set Organisation = '"&amp;H48&amp;"' where Project_ID = '"&amp;A48&amp;"'; "</f>
        <v xml:space="preserve">Update Project Set Organisation = 'Saurashtra University' where Project_ID = 'P0039'; </v>
      </c>
      <c r="Q48" t="str">
        <f>"Update Project Set Library_name = '"&amp;L48&amp;"' , COADD_ID = '"&amp;M48&amp;"' where Project_ID = '"&amp;A48&amp;"'; "</f>
        <v xml:space="preserve">Update Project Set Library_name = '' , COADD_ID = 'CO-ADD:PC0039' where Project_ID = 'P0039'; </v>
      </c>
    </row>
    <row r="49" spans="1:17">
      <c r="A49" t="s">
        <v>5918</v>
      </c>
      <c r="C49" t="s">
        <v>5840</v>
      </c>
      <c r="D49" t="s">
        <v>4189</v>
      </c>
      <c r="E49" t="s">
        <v>4188</v>
      </c>
      <c r="G49" t="s">
        <v>8891</v>
      </c>
      <c r="H49" t="s">
        <v>4192</v>
      </c>
      <c r="I49" t="s">
        <v>211</v>
      </c>
      <c r="K49" t="s">
        <v>5843</v>
      </c>
      <c r="M49" t="s">
        <v>5917</v>
      </c>
      <c r="P49" t="str">
        <f>"Update Project Set Organisation = '"&amp;H49&amp;"' where Project_ID = '"&amp;A49&amp;"'; "</f>
        <v xml:space="preserve">Update Project Set Organisation = 'Bangalore University' where Project_ID = 'P0040'; </v>
      </c>
      <c r="Q49" t="str">
        <f>"Update Project Set Library_name = '"&amp;L49&amp;"' , COADD_ID = '"&amp;M49&amp;"' where Project_ID = '"&amp;A49&amp;"'; "</f>
        <v xml:space="preserve">Update Project Set Library_name = '' , COADD_ID = 'CO-ADD:PC0040' where Project_ID = 'P0040'; </v>
      </c>
    </row>
    <row r="50" spans="1:17">
      <c r="A50" t="s">
        <v>5920</v>
      </c>
      <c r="C50" t="s">
        <v>5840</v>
      </c>
      <c r="D50" t="s">
        <v>1452</v>
      </c>
      <c r="E50" t="s">
        <v>1451</v>
      </c>
      <c r="G50" t="s">
        <v>8978</v>
      </c>
      <c r="H50" t="s">
        <v>5805</v>
      </c>
      <c r="I50" t="s">
        <v>14</v>
      </c>
      <c r="K50" t="s">
        <v>5843</v>
      </c>
      <c r="M50" t="s">
        <v>5919</v>
      </c>
      <c r="P50" t="str">
        <f>"Update Project Set Organisation = '"&amp;H50&amp;"' where Project_ID = '"&amp;A50&amp;"'; "</f>
        <v xml:space="preserve">Update Project Set Organisation = 'James Cook University (JCU)' where Project_ID = 'P0041'; </v>
      </c>
      <c r="Q50" t="str">
        <f>"Update Project Set Library_name = '"&amp;L50&amp;"' , COADD_ID = '"&amp;M50&amp;"' where Project_ID = '"&amp;A50&amp;"'; "</f>
        <v xml:space="preserve">Update Project Set Library_name = '' , COADD_ID = 'CO-ADD:PC0041' where Project_ID = 'P0041'; </v>
      </c>
    </row>
    <row r="51" spans="1:17">
      <c r="A51" t="s">
        <v>5923</v>
      </c>
      <c r="C51" t="s">
        <v>5633</v>
      </c>
      <c r="D51" t="s">
        <v>448</v>
      </c>
      <c r="E51" t="s">
        <v>2689</v>
      </c>
      <c r="G51" t="s">
        <v>8900</v>
      </c>
      <c r="H51" t="s">
        <v>362</v>
      </c>
      <c r="I51" t="s">
        <v>14</v>
      </c>
      <c r="K51" t="s">
        <v>5828</v>
      </c>
      <c r="L51" t="s">
        <v>5922</v>
      </c>
      <c r="M51" t="s">
        <v>5921</v>
      </c>
      <c r="N51" s="2">
        <v>43617</v>
      </c>
      <c r="P51" t="str">
        <f>"Update Project Set Organisation = '"&amp;H51&amp;"' where Project_ID = '"&amp;A51&amp;"'; "</f>
        <v xml:space="preserve">Update Project Set Organisation = 'University of Queensland' where Project_ID = 'P0042'; </v>
      </c>
      <c r="Q51" t="str">
        <f>"Update Project Set Library_name = '"&amp;L51&amp;"' , COADD_ID = '"&amp;M51&amp;"' where Project_ID = '"&amp;A51&amp;"'; "</f>
        <v xml:space="preserve">Update Project Set Library_name = 'University of Queensland (Australia)' , COADD_ID = 'CO-ADD:PC0042' where Project_ID = 'P0042'; </v>
      </c>
    </row>
    <row r="52" spans="1:17">
      <c r="A52" t="s">
        <v>5925</v>
      </c>
      <c r="C52" t="s">
        <v>5633</v>
      </c>
      <c r="D52" t="s">
        <v>448</v>
      </c>
      <c r="E52" t="s">
        <v>5469</v>
      </c>
      <c r="G52" t="s">
        <v>8900</v>
      </c>
      <c r="H52" t="s">
        <v>362</v>
      </c>
      <c r="I52" t="s">
        <v>14</v>
      </c>
      <c r="K52" t="s">
        <v>5828</v>
      </c>
      <c r="L52" t="s">
        <v>5922</v>
      </c>
      <c r="M52" t="s">
        <v>5924</v>
      </c>
      <c r="N52" s="2">
        <v>45657</v>
      </c>
      <c r="P52" t="str">
        <f>"Update Project Set Organisation = '"&amp;H52&amp;"' where Project_ID = '"&amp;A52&amp;"'; "</f>
        <v xml:space="preserve">Update Project Set Organisation = 'University of Queensland' where Project_ID = 'P0043'; </v>
      </c>
      <c r="Q52" t="str">
        <f>"Update Project Set Library_name = '"&amp;L52&amp;"' , COADD_ID = '"&amp;M52&amp;"' where Project_ID = '"&amp;A52&amp;"'; "</f>
        <v xml:space="preserve">Update Project Set Library_name = 'University of Queensland (Australia)' , COADD_ID = 'CO-ADD:PC0043' where Project_ID = 'P0043'; </v>
      </c>
    </row>
    <row r="53" spans="1:17">
      <c r="A53" t="s">
        <v>5927</v>
      </c>
      <c r="C53" t="s">
        <v>5633</v>
      </c>
      <c r="D53" t="s">
        <v>903</v>
      </c>
      <c r="E53" t="s">
        <v>3797</v>
      </c>
      <c r="G53" t="s">
        <v>9128</v>
      </c>
      <c r="H53" t="s">
        <v>596</v>
      </c>
      <c r="I53" t="s">
        <v>223</v>
      </c>
      <c r="K53" t="s">
        <v>5843</v>
      </c>
      <c r="M53" t="s">
        <v>5926</v>
      </c>
      <c r="P53" t="str">
        <f>"Update Project Set Organisation = '"&amp;H53&amp;"' where Project_ID = '"&amp;A53&amp;"'; "</f>
        <v xml:space="preserve">Update Project Set Organisation = 'University of Auckland' where Project_ID = 'P0044'; </v>
      </c>
      <c r="Q53" t="str">
        <f>"Update Project Set Library_name = '"&amp;L53&amp;"' , COADD_ID = '"&amp;M53&amp;"' where Project_ID = '"&amp;A53&amp;"'; "</f>
        <v xml:space="preserve">Update Project Set Library_name = '' , COADD_ID = 'CO-ADD:PC0044' where Project_ID = 'P0044'; </v>
      </c>
    </row>
    <row r="54" spans="1:17">
      <c r="A54" t="s">
        <v>5929</v>
      </c>
      <c r="C54" t="s">
        <v>5633</v>
      </c>
      <c r="D54" t="s">
        <v>448</v>
      </c>
      <c r="E54" t="s">
        <v>2689</v>
      </c>
      <c r="G54" t="s">
        <v>8900</v>
      </c>
      <c r="H54" t="s">
        <v>362</v>
      </c>
      <c r="I54" t="s">
        <v>14</v>
      </c>
      <c r="K54" t="s">
        <v>5828</v>
      </c>
      <c r="L54" t="s">
        <v>5922</v>
      </c>
      <c r="M54" t="s">
        <v>5928</v>
      </c>
      <c r="N54" s="2">
        <v>43617</v>
      </c>
      <c r="P54" t="str">
        <f>"Update Project Set Organisation = '"&amp;H54&amp;"' where Project_ID = '"&amp;A54&amp;"'; "</f>
        <v xml:space="preserve">Update Project Set Organisation = 'University of Queensland' where Project_ID = 'P0045'; </v>
      </c>
      <c r="Q54" t="str">
        <f>"Update Project Set Library_name = '"&amp;L54&amp;"' , COADD_ID = '"&amp;M54&amp;"' where Project_ID = '"&amp;A54&amp;"'; "</f>
        <v xml:space="preserve">Update Project Set Library_name = 'University of Queensland (Australia)' , COADD_ID = 'CO-ADD:PC0045' where Project_ID = 'P0045'; </v>
      </c>
    </row>
    <row r="55" spans="1:17">
      <c r="A55" t="s">
        <v>5931</v>
      </c>
      <c r="C55" t="s">
        <v>5633</v>
      </c>
      <c r="D55" t="s">
        <v>2954</v>
      </c>
      <c r="E55" t="s">
        <v>2953</v>
      </c>
      <c r="G55" t="s">
        <v>9073</v>
      </c>
      <c r="H55" t="s">
        <v>2957</v>
      </c>
      <c r="I55" t="s">
        <v>211</v>
      </c>
      <c r="K55" t="s">
        <v>5843</v>
      </c>
      <c r="M55" t="s">
        <v>5930</v>
      </c>
      <c r="P55" t="str">
        <f>"Update Project Set Organisation = '"&amp;H55&amp;"' where Project_ID = '"&amp;A55&amp;"'; "</f>
        <v xml:space="preserve">Update Project Set Organisation = 'Saurashtra University' where Project_ID = 'P0046'; </v>
      </c>
      <c r="Q55" t="str">
        <f>"Update Project Set Library_name = '"&amp;L55&amp;"' , COADD_ID = '"&amp;M55&amp;"' where Project_ID = '"&amp;A55&amp;"'; "</f>
        <v xml:space="preserve">Update Project Set Library_name = '' , COADD_ID = 'CO-ADD:PC0046' where Project_ID = 'P0046'; </v>
      </c>
    </row>
    <row r="56" spans="1:17">
      <c r="A56" t="s">
        <v>5933</v>
      </c>
      <c r="C56" t="s">
        <v>5633</v>
      </c>
      <c r="D56" t="s">
        <v>1268</v>
      </c>
      <c r="E56" t="s">
        <v>1267</v>
      </c>
      <c r="G56" t="s">
        <v>9166</v>
      </c>
      <c r="H56" t="s">
        <v>1271</v>
      </c>
      <c r="I56" t="s">
        <v>14</v>
      </c>
      <c r="K56" t="s">
        <v>5843</v>
      </c>
      <c r="M56" t="s">
        <v>5932</v>
      </c>
      <c r="P56" t="str">
        <f>"Update Project Set Organisation = '"&amp;H56&amp;"' where Project_ID = '"&amp;A56&amp;"'; "</f>
        <v xml:space="preserve">Update Project Set Organisation = 'University of Melbourne' where Project_ID = 'P0047'; </v>
      </c>
      <c r="Q56" t="str">
        <f>"Update Project Set Library_name = '"&amp;L56&amp;"' , COADD_ID = '"&amp;M56&amp;"' where Project_ID = '"&amp;A56&amp;"'; "</f>
        <v xml:space="preserve">Update Project Set Library_name = '' , COADD_ID = 'CO-ADD:PC0047' where Project_ID = 'P0047'; </v>
      </c>
    </row>
    <row r="57" spans="1:17">
      <c r="A57" t="s">
        <v>5935</v>
      </c>
      <c r="C57" t="s">
        <v>5633</v>
      </c>
      <c r="D57" t="s">
        <v>2273</v>
      </c>
      <c r="E57" t="s">
        <v>3034</v>
      </c>
      <c r="G57" t="s">
        <v>9152</v>
      </c>
      <c r="H57" t="s">
        <v>2276</v>
      </c>
      <c r="I57" t="s">
        <v>694</v>
      </c>
      <c r="K57" t="s">
        <v>5828</v>
      </c>
      <c r="L57" t="s">
        <v>8159</v>
      </c>
      <c r="M57" t="s">
        <v>5934</v>
      </c>
      <c r="N57" s="2">
        <v>45657</v>
      </c>
      <c r="P57" t="str">
        <f>"Update Project Set Organisation = '"&amp;H57&amp;"' where Project_ID = '"&amp;A57&amp;"'; "</f>
        <v xml:space="preserve">Update Project Set Organisation = 'University of Graz' where Project_ID = 'P0048'; </v>
      </c>
      <c r="Q57" t="str">
        <f>"Update Project Set Library_name = '"&amp;L57&amp;"' , COADD_ID = '"&amp;M57&amp;"' where Project_ID = '"&amp;A57&amp;"'; "</f>
        <v xml:space="preserve">Update Project Set Library_name = 'University of Graz (Austria)' , COADD_ID = 'CO-ADD:PC0048' where Project_ID = 'P0048'; </v>
      </c>
    </row>
    <row r="58" spans="1:17">
      <c r="A58" t="s">
        <v>5937</v>
      </c>
      <c r="C58" t="s">
        <v>5633</v>
      </c>
      <c r="D58" t="s">
        <v>1943</v>
      </c>
      <c r="E58" t="s">
        <v>2544</v>
      </c>
      <c r="G58" t="s">
        <v>9102</v>
      </c>
      <c r="H58" t="s">
        <v>1946</v>
      </c>
      <c r="I58" t="s">
        <v>234</v>
      </c>
      <c r="K58" t="s">
        <v>5843</v>
      </c>
      <c r="M58" t="s">
        <v>5936</v>
      </c>
      <c r="P58" t="str">
        <f>"Update Project Set Organisation = '"&amp;H58&amp;"' where Project_ID = '"&amp;A58&amp;"'; "</f>
        <v xml:space="preserve">Update Project Set Organisation = 'Universidade Estadual do Norte Fluminense Darcy Ribeiro' where Project_ID = 'P0049'; </v>
      </c>
      <c r="Q58" t="str">
        <f>"Update Project Set Library_name = '"&amp;L58&amp;"' , COADD_ID = '"&amp;M58&amp;"' where Project_ID = '"&amp;A58&amp;"'; "</f>
        <v xml:space="preserve">Update Project Set Library_name = '' , COADD_ID = 'CO-ADD:PC0049' where Project_ID = 'P0049'; </v>
      </c>
    </row>
    <row r="59" spans="1:17">
      <c r="A59" t="s">
        <v>5939</v>
      </c>
      <c r="C59" t="s">
        <v>5633</v>
      </c>
      <c r="D59" t="s">
        <v>4314</v>
      </c>
      <c r="E59" t="s">
        <v>4313</v>
      </c>
      <c r="G59" t="s">
        <v>9217</v>
      </c>
      <c r="H59" t="s">
        <v>389</v>
      </c>
      <c r="I59" t="s">
        <v>14</v>
      </c>
      <c r="K59" t="s">
        <v>5828</v>
      </c>
      <c r="L59" t="s">
        <v>6581</v>
      </c>
      <c r="M59" t="s">
        <v>5938</v>
      </c>
      <c r="N59" s="2">
        <v>45657</v>
      </c>
      <c r="P59" t="str">
        <f>"Update Project Set Organisation = '"&amp;H59&amp;"' where Project_ID = '"&amp;A59&amp;"'; "</f>
        <v xml:space="preserve">Update Project Set Organisation = 'University of Sydney' where Project_ID = 'P0050'; </v>
      </c>
      <c r="Q59" t="str">
        <f>"Update Project Set Library_name = '"&amp;L59&amp;"' , COADD_ID = '"&amp;M59&amp;"' where Project_ID = '"&amp;A59&amp;"'; "</f>
        <v xml:space="preserve">Update Project Set Library_name = 'University of Sydney (Australia)' , COADD_ID = 'CO-ADD:PC0050' where Project_ID = 'P0050'; </v>
      </c>
    </row>
    <row r="60" spans="1:17">
      <c r="A60" t="s">
        <v>5941</v>
      </c>
      <c r="C60" t="s">
        <v>5633</v>
      </c>
      <c r="D60" t="s">
        <v>1085</v>
      </c>
      <c r="E60" t="s">
        <v>2820</v>
      </c>
      <c r="G60" t="s">
        <v>9090</v>
      </c>
      <c r="H60" t="s">
        <v>1088</v>
      </c>
      <c r="I60" t="s">
        <v>1090</v>
      </c>
      <c r="K60" t="s">
        <v>5843</v>
      </c>
      <c r="M60" t="s">
        <v>5940</v>
      </c>
      <c r="P60" t="str">
        <f>"Update Project Set Organisation = '"&amp;H60&amp;"' where Project_ID = '"&amp;A60&amp;"'; "</f>
        <v xml:space="preserve">Update Project Set Organisation = 'Tel Aviv University' where Project_ID = 'P0051'; </v>
      </c>
      <c r="Q60" t="str">
        <f>"Update Project Set Library_name = '"&amp;L60&amp;"' , COADD_ID = '"&amp;M60&amp;"' where Project_ID = '"&amp;A60&amp;"'; "</f>
        <v xml:space="preserve">Update Project Set Library_name = '' , COADD_ID = 'CO-ADD:PC0051' where Project_ID = 'P0051'; </v>
      </c>
    </row>
    <row r="61" spans="1:17">
      <c r="A61" t="s">
        <v>5943</v>
      </c>
      <c r="C61" t="s">
        <v>5633</v>
      </c>
      <c r="D61" t="s">
        <v>448</v>
      </c>
      <c r="E61" t="s">
        <v>2689</v>
      </c>
      <c r="G61" t="s">
        <v>8900</v>
      </c>
      <c r="H61" t="s">
        <v>362</v>
      </c>
      <c r="I61" t="s">
        <v>14</v>
      </c>
      <c r="K61" t="s">
        <v>5828</v>
      </c>
      <c r="L61" t="s">
        <v>5922</v>
      </c>
      <c r="M61" t="s">
        <v>5942</v>
      </c>
      <c r="N61" s="2">
        <v>45657</v>
      </c>
      <c r="P61" t="str">
        <f>"Update Project Set Organisation = '"&amp;H61&amp;"' where Project_ID = '"&amp;A61&amp;"'; "</f>
        <v xml:space="preserve">Update Project Set Organisation = 'University of Queensland' where Project_ID = 'P0052'; </v>
      </c>
      <c r="Q61" t="str">
        <f>"Update Project Set Library_name = '"&amp;L61&amp;"' , COADD_ID = '"&amp;M61&amp;"' where Project_ID = '"&amp;A61&amp;"'; "</f>
        <v xml:space="preserve">Update Project Set Library_name = 'University of Queensland (Australia)' , COADD_ID = 'CO-ADD:PC0052' where Project_ID = 'P0052'; </v>
      </c>
    </row>
    <row r="62" spans="1:17">
      <c r="A62" t="s">
        <v>5945</v>
      </c>
      <c r="C62" t="s">
        <v>5633</v>
      </c>
      <c r="D62" t="s">
        <v>2794</v>
      </c>
      <c r="E62" t="s">
        <v>2793</v>
      </c>
      <c r="G62" t="s">
        <v>8922</v>
      </c>
      <c r="H62" t="s">
        <v>2796</v>
      </c>
      <c r="I62" t="s">
        <v>211</v>
      </c>
      <c r="K62" t="s">
        <v>5843</v>
      </c>
      <c r="M62" t="s">
        <v>5944</v>
      </c>
      <c r="P62" t="str">
        <f>"Update Project Set Organisation = '"&amp;H62&amp;"' where Project_ID = '"&amp;A62&amp;"'; "</f>
        <v xml:space="preserve">Update Project Set Organisation = 'CSIR-Indian Institute of Chemical Technology' where Project_ID = 'P0053'; </v>
      </c>
      <c r="Q62" t="str">
        <f>"Update Project Set Library_name = '"&amp;L62&amp;"' , COADD_ID = '"&amp;M62&amp;"' where Project_ID = '"&amp;A62&amp;"'; "</f>
        <v xml:space="preserve">Update Project Set Library_name = '' , COADD_ID = 'CO-ADD:PC0053' where Project_ID = 'P0053'; </v>
      </c>
    </row>
    <row r="63" spans="1:17">
      <c r="A63" t="s">
        <v>5947</v>
      </c>
      <c r="C63" t="s">
        <v>5633</v>
      </c>
      <c r="D63" t="s">
        <v>488</v>
      </c>
      <c r="E63" t="s">
        <v>4082</v>
      </c>
      <c r="G63" t="s">
        <v>8927</v>
      </c>
      <c r="H63" t="s">
        <v>491</v>
      </c>
      <c r="I63" t="s">
        <v>14</v>
      </c>
      <c r="K63" t="s">
        <v>5828</v>
      </c>
      <c r="L63" t="s">
        <v>8160</v>
      </c>
      <c r="M63" t="s">
        <v>5946</v>
      </c>
      <c r="N63" s="2">
        <v>45657</v>
      </c>
      <c r="P63" t="str">
        <f>"Update Project Set Organisation = '"&amp;H63&amp;"' where Project_ID = '"&amp;A63&amp;"'; "</f>
        <v xml:space="preserve">Update Project Set Organisation = 'Deakin University' where Project_ID = 'P0054'; </v>
      </c>
      <c r="Q63" t="str">
        <f>"Update Project Set Library_name = '"&amp;L63&amp;"' , COADD_ID = '"&amp;M63&amp;"' where Project_ID = '"&amp;A63&amp;"'; "</f>
        <v xml:space="preserve">Update Project Set Library_name = 'Deakin University (Australia)' , COADD_ID = 'CO-ADD:PC0054' where Project_ID = 'P0054'; </v>
      </c>
    </row>
    <row r="64" spans="1:17">
      <c r="A64" t="s">
        <v>5949</v>
      </c>
      <c r="C64" t="s">
        <v>5633</v>
      </c>
      <c r="D64" t="s">
        <v>1325</v>
      </c>
      <c r="E64" t="s">
        <v>4552</v>
      </c>
      <c r="G64" t="s">
        <v>8944</v>
      </c>
      <c r="H64" t="s">
        <v>1327</v>
      </c>
      <c r="I64" t="s">
        <v>14</v>
      </c>
      <c r="K64" t="s">
        <v>5843</v>
      </c>
      <c r="M64" t="s">
        <v>5948</v>
      </c>
      <c r="P64" t="str">
        <f>"Update Project Set Organisation = '"&amp;H64&amp;"' where Project_ID = '"&amp;A64&amp;"'; "</f>
        <v xml:space="preserve">Update Project Set Organisation = 'Griffith University' where Project_ID = 'P0055'; </v>
      </c>
      <c r="Q64" t="str">
        <f>"Update Project Set Library_name = '"&amp;L64&amp;"' , COADD_ID = '"&amp;M64&amp;"' where Project_ID = '"&amp;A64&amp;"'; "</f>
        <v xml:space="preserve">Update Project Set Library_name = '' , COADD_ID = 'CO-ADD:PC0055' where Project_ID = 'P0055'; </v>
      </c>
    </row>
    <row r="65" spans="1:17">
      <c r="A65" t="s">
        <v>5951</v>
      </c>
      <c r="C65" t="s">
        <v>5633</v>
      </c>
      <c r="D65" t="s">
        <v>1566</v>
      </c>
      <c r="E65" t="s">
        <v>1565</v>
      </c>
      <c r="G65" t="s">
        <v>8907</v>
      </c>
      <c r="H65" t="s">
        <v>1569</v>
      </c>
      <c r="I65" t="s">
        <v>704</v>
      </c>
      <c r="K65" t="s">
        <v>5806</v>
      </c>
      <c r="M65" t="s">
        <v>5950</v>
      </c>
      <c r="P65" t="str">
        <f>"Update Project Set Organisation = '"&amp;H65&amp;"' where Project_ID = '"&amp;A65&amp;"'; "</f>
        <v xml:space="preserve">Update Project Set Organisation = 'Centre national de la recherche scientifique (CNRS)' where Project_ID = 'P0056'; </v>
      </c>
      <c r="Q65" t="str">
        <f>"Update Project Set Library_name = '"&amp;L65&amp;"' , COADD_ID = '"&amp;M65&amp;"' where Project_ID = '"&amp;A65&amp;"'; "</f>
        <v xml:space="preserve">Update Project Set Library_name = '' , COADD_ID = 'CO-ADD:PC0056' where Project_ID = 'P0056'; </v>
      </c>
    </row>
    <row r="66" spans="1:17">
      <c r="A66" t="s">
        <v>5953</v>
      </c>
      <c r="C66" t="s">
        <v>5633</v>
      </c>
      <c r="D66" t="s">
        <v>448</v>
      </c>
      <c r="E66" t="s">
        <v>2689</v>
      </c>
      <c r="G66" t="s">
        <v>8900</v>
      </c>
      <c r="H66" t="s">
        <v>362</v>
      </c>
      <c r="I66" t="s">
        <v>14</v>
      </c>
      <c r="K66" t="s">
        <v>5828</v>
      </c>
      <c r="L66" t="s">
        <v>5922</v>
      </c>
      <c r="M66" t="s">
        <v>5952</v>
      </c>
      <c r="N66" s="2">
        <v>43617</v>
      </c>
      <c r="P66" t="str">
        <f>"Update Project Set Organisation = '"&amp;H66&amp;"' where Project_ID = '"&amp;A66&amp;"'; "</f>
        <v xml:space="preserve">Update Project Set Organisation = 'University of Queensland' where Project_ID = 'P0057'; </v>
      </c>
      <c r="Q66" t="str">
        <f>"Update Project Set Library_name = '"&amp;L66&amp;"' , COADD_ID = '"&amp;M66&amp;"' where Project_ID = '"&amp;A66&amp;"'; "</f>
        <v xml:space="preserve">Update Project Set Library_name = 'University of Queensland (Australia)' , COADD_ID = 'CO-ADD:PC0057' where Project_ID = 'P0057'; </v>
      </c>
    </row>
    <row r="67" spans="1:17">
      <c r="A67" t="s">
        <v>5955</v>
      </c>
      <c r="C67" t="s">
        <v>5633</v>
      </c>
      <c r="D67" t="s">
        <v>812</v>
      </c>
      <c r="E67" t="s">
        <v>982</v>
      </c>
      <c r="G67" t="s">
        <v>8958</v>
      </c>
      <c r="H67" t="s">
        <v>815</v>
      </c>
      <c r="I67" t="s">
        <v>269</v>
      </c>
      <c r="K67" t="s">
        <v>5828</v>
      </c>
      <c r="L67" t="s">
        <v>8161</v>
      </c>
      <c r="M67" t="s">
        <v>5954</v>
      </c>
      <c r="N67" s="2">
        <v>45657</v>
      </c>
      <c r="P67" t="str">
        <f>"Update Project Set Organisation = '"&amp;H67&amp;"' where Project_ID = '"&amp;A67&amp;"'; "</f>
        <v xml:space="preserve">Update Project Set Organisation = 'Imperial College London' where Project_ID = 'P0058'; </v>
      </c>
      <c r="Q67" t="str">
        <f>"Update Project Set Library_name = '"&amp;L67&amp;"' , COADD_ID = '"&amp;M67&amp;"' where Project_ID = '"&amp;A67&amp;"'; "</f>
        <v xml:space="preserve">Update Project Set Library_name = 'Imperial College London (United Kingdom)' , COADD_ID = 'CO-ADD:PC0058' where Project_ID = 'P0058'; </v>
      </c>
    </row>
    <row r="68" spans="1:17">
      <c r="A68" t="s">
        <v>5957</v>
      </c>
      <c r="C68" t="s">
        <v>5633</v>
      </c>
      <c r="D68" t="s">
        <v>903</v>
      </c>
      <c r="E68" t="s">
        <v>3797</v>
      </c>
      <c r="G68" t="s">
        <v>9128</v>
      </c>
      <c r="H68" t="s">
        <v>596</v>
      </c>
      <c r="I68" t="s">
        <v>223</v>
      </c>
      <c r="K68" t="s">
        <v>5843</v>
      </c>
      <c r="M68" t="s">
        <v>5956</v>
      </c>
      <c r="P68" t="str">
        <f>"Update Project Set Organisation = '"&amp;H68&amp;"' where Project_ID = '"&amp;A68&amp;"'; "</f>
        <v xml:space="preserve">Update Project Set Organisation = 'University of Auckland' where Project_ID = 'P0059'; </v>
      </c>
      <c r="Q68" t="str">
        <f>"Update Project Set Library_name = '"&amp;L68&amp;"' , COADD_ID = '"&amp;M68&amp;"' where Project_ID = '"&amp;A68&amp;"'; "</f>
        <v xml:space="preserve">Update Project Set Library_name = '' , COADD_ID = 'CO-ADD:PC0059' where Project_ID = 'P0059'; </v>
      </c>
    </row>
    <row r="69" spans="1:17">
      <c r="A69" t="s">
        <v>5959</v>
      </c>
      <c r="C69" t="s">
        <v>5633</v>
      </c>
      <c r="D69" t="s">
        <v>448</v>
      </c>
      <c r="E69" t="s">
        <v>4373</v>
      </c>
      <c r="F69" t="s">
        <v>3098</v>
      </c>
      <c r="G69" t="s">
        <v>8900</v>
      </c>
      <c r="H69" t="s">
        <v>362</v>
      </c>
      <c r="I69" t="s">
        <v>14</v>
      </c>
      <c r="K69" t="s">
        <v>5828</v>
      </c>
      <c r="L69" t="s">
        <v>5922</v>
      </c>
      <c r="M69" t="s">
        <v>5958</v>
      </c>
      <c r="N69" s="2">
        <v>45657</v>
      </c>
      <c r="P69" t="str">
        <f>"Update Project Set Organisation = '"&amp;H69&amp;"' where Project_ID = '"&amp;A69&amp;"'; "</f>
        <v xml:space="preserve">Update Project Set Organisation = 'University of Queensland' where Project_ID = 'P0060'; </v>
      </c>
      <c r="Q69" t="str">
        <f>"Update Project Set Library_name = '"&amp;L69&amp;"' , COADD_ID = '"&amp;M69&amp;"' where Project_ID = '"&amp;A69&amp;"'; "</f>
        <v xml:space="preserve">Update Project Set Library_name = 'University of Queensland (Australia)' , COADD_ID = 'CO-ADD:PC0060' where Project_ID = 'P0060'; </v>
      </c>
    </row>
    <row r="70" spans="1:17">
      <c r="A70" t="s">
        <v>5961</v>
      </c>
      <c r="C70" t="s">
        <v>5633</v>
      </c>
      <c r="D70" t="s">
        <v>3629</v>
      </c>
      <c r="E70" t="s">
        <v>5071</v>
      </c>
      <c r="G70" t="s">
        <v>9072</v>
      </c>
      <c r="H70" t="s">
        <v>2957</v>
      </c>
      <c r="I70" t="s">
        <v>211</v>
      </c>
      <c r="K70" t="s">
        <v>5843</v>
      </c>
      <c r="M70" t="s">
        <v>5960</v>
      </c>
      <c r="P70" t="str">
        <f>"Update Project Set Organisation = '"&amp;H70&amp;"' where Project_ID = '"&amp;A70&amp;"'; "</f>
        <v xml:space="preserve">Update Project Set Organisation = 'Saurashtra University' where Project_ID = 'P0061'; </v>
      </c>
      <c r="Q70" t="str">
        <f>"Update Project Set Library_name = '"&amp;L70&amp;"' , COADD_ID = '"&amp;M70&amp;"' where Project_ID = '"&amp;A70&amp;"'; "</f>
        <v xml:space="preserve">Update Project Set Library_name = '' , COADD_ID = 'CO-ADD:PC0061' where Project_ID = 'P0061'; </v>
      </c>
    </row>
    <row r="71" spans="1:17">
      <c r="A71" t="s">
        <v>5963</v>
      </c>
      <c r="C71" t="s">
        <v>5633</v>
      </c>
      <c r="D71" t="s">
        <v>2173</v>
      </c>
      <c r="E71" t="s">
        <v>2419</v>
      </c>
      <c r="G71" t="s">
        <v>8945</v>
      </c>
      <c r="H71" t="s">
        <v>1327</v>
      </c>
      <c r="I71" t="s">
        <v>14</v>
      </c>
      <c r="K71" t="s">
        <v>5843</v>
      </c>
      <c r="M71" t="s">
        <v>5962</v>
      </c>
      <c r="P71" t="str">
        <f>"Update Project Set Organisation = '"&amp;H71&amp;"' where Project_ID = '"&amp;A71&amp;"'; "</f>
        <v xml:space="preserve">Update Project Set Organisation = 'Griffith University' where Project_ID = 'P0062'; </v>
      </c>
      <c r="Q71" t="str">
        <f>"Update Project Set Library_name = '"&amp;L71&amp;"' , COADD_ID = '"&amp;M71&amp;"' where Project_ID = '"&amp;A71&amp;"'; "</f>
        <v xml:space="preserve">Update Project Set Library_name = '' , COADD_ID = 'CO-ADD:PC0062' where Project_ID = 'P0062'; </v>
      </c>
    </row>
    <row r="72" spans="1:17">
      <c r="A72" t="s">
        <v>5965</v>
      </c>
      <c r="C72" t="s">
        <v>5633</v>
      </c>
      <c r="D72" t="s">
        <v>2173</v>
      </c>
      <c r="E72" t="s">
        <v>2172</v>
      </c>
      <c r="G72" t="s">
        <v>8945</v>
      </c>
      <c r="H72" t="s">
        <v>1327</v>
      </c>
      <c r="I72" t="s">
        <v>14</v>
      </c>
      <c r="K72" t="s">
        <v>5828</v>
      </c>
      <c r="L72" t="s">
        <v>8162</v>
      </c>
      <c r="M72" t="s">
        <v>5964</v>
      </c>
      <c r="N72" s="2">
        <v>45657</v>
      </c>
      <c r="P72" t="str">
        <f>"Update Project Set Organisation = '"&amp;H72&amp;"' where Project_ID = '"&amp;A72&amp;"'; "</f>
        <v xml:space="preserve">Update Project Set Organisation = 'Griffith University' where Project_ID = 'P0063'; </v>
      </c>
      <c r="Q72" t="str">
        <f>"Update Project Set Library_name = '"&amp;L72&amp;"' , COADD_ID = '"&amp;M72&amp;"' where Project_ID = '"&amp;A72&amp;"'; "</f>
        <v xml:space="preserve">Update Project Set Library_name = 'Griffith University (Australia)' , COADD_ID = 'CO-ADD:PC0063' where Project_ID = 'P0063'; </v>
      </c>
    </row>
    <row r="73" spans="1:17">
      <c r="A73" t="s">
        <v>5967</v>
      </c>
      <c r="C73" t="s">
        <v>5633</v>
      </c>
      <c r="D73" t="s">
        <v>2180</v>
      </c>
      <c r="E73" t="s">
        <v>2179</v>
      </c>
      <c r="G73" t="s">
        <v>9041</v>
      </c>
      <c r="H73" t="s">
        <v>1560</v>
      </c>
      <c r="I73" t="s">
        <v>459</v>
      </c>
      <c r="K73" t="s">
        <v>5828</v>
      </c>
      <c r="L73" t="s">
        <v>8163</v>
      </c>
      <c r="M73" t="s">
        <v>5966</v>
      </c>
      <c r="N73" s="2">
        <v>45657</v>
      </c>
      <c r="P73" t="str">
        <f>"Update Project Set Organisation = '"&amp;H73&amp;"' where Project_ID = '"&amp;A73&amp;"'; "</f>
        <v xml:space="preserve">Update Project Set Organisation = 'National University of Singapore (NUS)' where Project_ID = 'P0064'; </v>
      </c>
      <c r="Q73" t="str">
        <f>"Update Project Set Library_name = '"&amp;L73&amp;"' , COADD_ID = '"&amp;M73&amp;"' where Project_ID = '"&amp;A73&amp;"'; "</f>
        <v xml:space="preserve">Update Project Set Library_name = 'National University of Singapore (NUS) (Singapore)' , COADD_ID = 'CO-ADD:PC0064' where Project_ID = 'P0064'; </v>
      </c>
    </row>
    <row r="74" spans="1:17">
      <c r="A74" t="s">
        <v>5969</v>
      </c>
      <c r="C74" t="s">
        <v>5633</v>
      </c>
      <c r="D74" t="s">
        <v>385</v>
      </c>
      <c r="E74" t="s">
        <v>2289</v>
      </c>
      <c r="G74" t="s">
        <v>9218</v>
      </c>
      <c r="H74" t="s">
        <v>389</v>
      </c>
      <c r="I74" t="s">
        <v>14</v>
      </c>
      <c r="K74" t="s">
        <v>5843</v>
      </c>
      <c r="M74" t="s">
        <v>5968</v>
      </c>
      <c r="P74" t="str">
        <f>"Update Project Set Organisation = '"&amp;H74&amp;"' where Project_ID = '"&amp;A74&amp;"'; "</f>
        <v xml:space="preserve">Update Project Set Organisation = 'University of Sydney' where Project_ID = 'P0065'; </v>
      </c>
      <c r="Q74" t="str">
        <f>"Update Project Set Library_name = '"&amp;L74&amp;"' , COADD_ID = '"&amp;M74&amp;"' where Project_ID = '"&amp;A74&amp;"'; "</f>
        <v xml:space="preserve">Update Project Set Library_name = '' , COADD_ID = 'CO-ADD:PC0065' where Project_ID = 'P0065'; </v>
      </c>
    </row>
    <row r="75" spans="1:17">
      <c r="A75" t="s">
        <v>5971</v>
      </c>
      <c r="C75" t="s">
        <v>5633</v>
      </c>
      <c r="D75" t="s">
        <v>4732</v>
      </c>
      <c r="E75" t="s">
        <v>4731</v>
      </c>
      <c r="G75" t="s">
        <v>8905</v>
      </c>
      <c r="H75" t="s">
        <v>4735</v>
      </c>
      <c r="I75" t="s">
        <v>269</v>
      </c>
      <c r="K75" t="s">
        <v>5828</v>
      </c>
      <c r="L75" t="s">
        <v>8164</v>
      </c>
      <c r="M75" t="s">
        <v>5970</v>
      </c>
      <c r="N75" s="2">
        <v>45657</v>
      </c>
      <c r="P75" t="str">
        <f>"Update Project Set Organisation = '"&amp;H75&amp;"' where Project_ID = '"&amp;A75&amp;"'; "</f>
        <v xml:space="preserve">Update Project Set Organisation = 'Cardiff University ' where Project_ID = 'P0066'; </v>
      </c>
      <c r="Q75" t="str">
        <f>"Update Project Set Library_name = '"&amp;L75&amp;"' , COADD_ID = '"&amp;M75&amp;"' where Project_ID = '"&amp;A75&amp;"'; "</f>
        <v xml:space="preserve">Update Project Set Library_name = 'Cardiff University  (United Kingdom)' , COADD_ID = 'CO-ADD:PC0066' where Project_ID = 'P0066'; </v>
      </c>
    </row>
    <row r="76" spans="1:17">
      <c r="A76" t="s">
        <v>5973</v>
      </c>
      <c r="C76" t="s">
        <v>5633</v>
      </c>
      <c r="D76" t="s">
        <v>2364</v>
      </c>
      <c r="E76" t="s">
        <v>3809</v>
      </c>
      <c r="G76" t="s">
        <v>9115</v>
      </c>
      <c r="H76" t="s">
        <v>2367</v>
      </c>
      <c r="I76" t="s">
        <v>2369</v>
      </c>
      <c r="J76" t="s">
        <v>2370</v>
      </c>
      <c r="K76" t="s">
        <v>5806</v>
      </c>
      <c r="M76" t="s">
        <v>5972</v>
      </c>
      <c r="P76" t="str">
        <f>"Update Project Set Organisation = '"&amp;H76&amp;"' where Project_ID = '"&amp;A76&amp;"'; "</f>
        <v xml:space="preserve">Update Project Set Organisation = 'Universiti Putra Malaysia' where Project_ID = 'P0067'; </v>
      </c>
      <c r="Q76" t="str">
        <f>"Update Project Set Library_name = '"&amp;L76&amp;"' , COADD_ID = '"&amp;M76&amp;"' where Project_ID = '"&amp;A76&amp;"'; "</f>
        <v xml:space="preserve">Update Project Set Library_name = '' , COADD_ID = 'CO-ADD:PC0067' where Project_ID = 'P0067'; </v>
      </c>
    </row>
    <row r="77" spans="1:17">
      <c r="A77" t="s">
        <v>5976</v>
      </c>
      <c r="C77" t="s">
        <v>5633</v>
      </c>
      <c r="D77" t="s">
        <v>570</v>
      </c>
      <c r="E77" t="s">
        <v>569</v>
      </c>
      <c r="G77" t="s">
        <v>9062</v>
      </c>
      <c r="H77" t="s">
        <v>573</v>
      </c>
      <c r="I77" t="s">
        <v>211</v>
      </c>
      <c r="K77" t="s">
        <v>5828</v>
      </c>
      <c r="L77" t="s">
        <v>5975</v>
      </c>
      <c r="M77" t="s">
        <v>5974</v>
      </c>
      <c r="N77" s="2">
        <v>43617</v>
      </c>
      <c r="P77" t="str">
        <f>"Update Project Set Organisation = '"&amp;H77&amp;"' where Project_ID = '"&amp;A77&amp;"'; "</f>
        <v xml:space="preserve">Update Project Set Organisation = 'RKDF University' where Project_ID = 'P0068'; </v>
      </c>
      <c r="Q77" t="str">
        <f>"Update Project Set Library_name = '"&amp;L77&amp;"' , COADD_ID = '"&amp;M77&amp;"' where Project_ID = '"&amp;A77&amp;"'; "</f>
        <v xml:space="preserve">Update Project Set Library_name = 'RKDF (India)' , COADD_ID = 'CO-ADD:PC0068' where Project_ID = 'P0068'; </v>
      </c>
    </row>
    <row r="78" spans="1:17">
      <c r="A78" t="s">
        <v>5978</v>
      </c>
      <c r="C78" t="s">
        <v>5633</v>
      </c>
      <c r="D78" t="s">
        <v>2605</v>
      </c>
      <c r="E78" t="s">
        <v>2604</v>
      </c>
      <c r="G78" t="s">
        <v>9177</v>
      </c>
      <c r="H78" t="s">
        <v>2607</v>
      </c>
      <c r="I78" t="s">
        <v>14</v>
      </c>
      <c r="K78" t="s">
        <v>5828</v>
      </c>
      <c r="L78" t="s">
        <v>8165</v>
      </c>
      <c r="M78" t="s">
        <v>5977</v>
      </c>
      <c r="N78" s="2">
        <v>45657</v>
      </c>
      <c r="P78" t="str">
        <f>"Update Project Set Organisation = '"&amp;H78&amp;"' where Project_ID = '"&amp;A78&amp;"'; "</f>
        <v xml:space="preserve">Update Project Set Organisation = 'University of New South Wales' where Project_ID = 'P0069'; </v>
      </c>
      <c r="Q78" t="str">
        <f>"Update Project Set Library_name = '"&amp;L78&amp;"' , COADD_ID = '"&amp;M78&amp;"' where Project_ID = '"&amp;A78&amp;"'; "</f>
        <v xml:space="preserve">Update Project Set Library_name = 'University of New South Wales (Australia)' , COADD_ID = 'CO-ADD:PC0069' where Project_ID = 'P0069'; </v>
      </c>
    </row>
    <row r="79" spans="1:17">
      <c r="A79" t="s">
        <v>5982</v>
      </c>
      <c r="B79" t="s">
        <v>5981</v>
      </c>
      <c r="C79" t="s">
        <v>5633</v>
      </c>
      <c r="D79" t="s">
        <v>1733</v>
      </c>
      <c r="E79" t="s">
        <v>5063</v>
      </c>
      <c r="G79" t="s">
        <v>9034</v>
      </c>
      <c r="H79" t="s">
        <v>4809</v>
      </c>
      <c r="I79" t="s">
        <v>117</v>
      </c>
      <c r="K79" t="s">
        <v>5828</v>
      </c>
      <c r="L79" t="s">
        <v>5980</v>
      </c>
      <c r="M79" t="s">
        <v>5979</v>
      </c>
      <c r="N79" s="2">
        <v>43617</v>
      </c>
      <c r="P79" t="str">
        <f>"Update Project Set Organisation = '"&amp;H79&amp;"' where Project_ID = '"&amp;A79&amp;"'; "</f>
        <v xml:space="preserve">Update Project Set Organisation = 'National Institute of Health (NIH)' where Project_ID = 'P0070'; </v>
      </c>
      <c r="Q79" t="str">
        <f>"Update Project Set Library_name = '"&amp;L79&amp;"' , COADD_ID = '"&amp;M79&amp;"' where Project_ID = '"&amp;A79&amp;"'; "</f>
        <v xml:space="preserve">Update Project Set Library_name = 'NIH/NCI (USA) - Diversity Set V' , COADD_ID = 'CO-ADD:PL0011' where Project_ID = 'P0070'; </v>
      </c>
    </row>
    <row r="80" spans="1:17">
      <c r="A80" t="s">
        <v>5984</v>
      </c>
      <c r="C80" t="s">
        <v>5633</v>
      </c>
      <c r="D80" t="s">
        <v>322</v>
      </c>
      <c r="E80" t="s">
        <v>321</v>
      </c>
      <c r="G80" t="s">
        <v>8881</v>
      </c>
      <c r="H80" t="s">
        <v>324</v>
      </c>
      <c r="I80" t="s">
        <v>117</v>
      </c>
      <c r="K80" t="s">
        <v>5828</v>
      </c>
      <c r="L80" t="s">
        <v>8166</v>
      </c>
      <c r="M80" t="s">
        <v>5983</v>
      </c>
      <c r="N80" s="2">
        <v>45657</v>
      </c>
      <c r="P80" t="str">
        <f>"Update Project Set Organisation = '"&amp;H80&amp;"' where Project_ID = '"&amp;A80&amp;"'; "</f>
        <v xml:space="preserve">Update Project Set Organisation = 'Arkansas State University Jonesboro' where Project_ID = 'P0071'; </v>
      </c>
      <c r="Q80" t="str">
        <f>"Update Project Set Library_name = '"&amp;L80&amp;"' , COADD_ID = '"&amp;M80&amp;"' where Project_ID = '"&amp;A80&amp;"'; "</f>
        <v xml:space="preserve">Update Project Set Library_name = 'Arkansas State University Jonesboro (United States)' , COADD_ID = 'CO-ADD:PC0071' where Project_ID = 'P0071'; </v>
      </c>
    </row>
    <row r="81" spans="1:17">
      <c r="A81" t="s">
        <v>5986</v>
      </c>
      <c r="C81" t="s">
        <v>5633</v>
      </c>
      <c r="D81" t="s">
        <v>4337</v>
      </c>
      <c r="E81" t="s">
        <v>4336</v>
      </c>
      <c r="G81" t="s">
        <v>9129</v>
      </c>
      <c r="H81" t="s">
        <v>596</v>
      </c>
      <c r="I81" t="s">
        <v>223</v>
      </c>
      <c r="K81" t="s">
        <v>5828</v>
      </c>
      <c r="L81" t="s">
        <v>8167</v>
      </c>
      <c r="M81" t="s">
        <v>5985</v>
      </c>
      <c r="N81" s="2">
        <v>45657</v>
      </c>
      <c r="P81" t="str">
        <f>"Update Project Set Organisation = '"&amp;H81&amp;"' where Project_ID = '"&amp;A81&amp;"'; "</f>
        <v xml:space="preserve">Update Project Set Organisation = 'University of Auckland' where Project_ID = 'P0072'; </v>
      </c>
      <c r="Q81" t="str">
        <f>"Update Project Set Library_name = '"&amp;L81&amp;"' , COADD_ID = '"&amp;M81&amp;"' where Project_ID = '"&amp;A81&amp;"'; "</f>
        <v xml:space="preserve">Update Project Set Library_name = 'University of Auckland (New Zealand)' , COADD_ID = 'CO-ADD:PC0072' where Project_ID = 'P0072'; </v>
      </c>
    </row>
    <row r="82" spans="1:17">
      <c r="A82" t="s">
        <v>5988</v>
      </c>
      <c r="C82" t="s">
        <v>5633</v>
      </c>
      <c r="D82" t="s">
        <v>2588</v>
      </c>
      <c r="E82" t="s">
        <v>3501</v>
      </c>
      <c r="G82" t="s">
        <v>9126</v>
      </c>
      <c r="H82" t="s">
        <v>2590</v>
      </c>
      <c r="I82" t="s">
        <v>117</v>
      </c>
      <c r="K82" t="s">
        <v>5828</v>
      </c>
      <c r="L82" t="s">
        <v>8168</v>
      </c>
      <c r="M82" t="s">
        <v>5987</v>
      </c>
      <c r="N82" s="2">
        <v>45657</v>
      </c>
      <c r="P82" t="str">
        <f>"Update Project Set Organisation = '"&amp;H82&amp;"' where Project_ID = '"&amp;A82&amp;"'; "</f>
        <v xml:space="preserve">Update Project Set Organisation = 'University of Arizona' where Project_ID = 'P0073'; </v>
      </c>
      <c r="Q82" t="str">
        <f>"Update Project Set Library_name = '"&amp;L82&amp;"' , COADD_ID = '"&amp;M82&amp;"' where Project_ID = '"&amp;A82&amp;"'; "</f>
        <v xml:space="preserve">Update Project Set Library_name = 'University of Arizona (United States)' , COADD_ID = 'CO-ADD:PC0073' where Project_ID = 'P0073'; </v>
      </c>
    </row>
    <row r="83" spans="1:17">
      <c r="A83" t="s">
        <v>5990</v>
      </c>
      <c r="C83" t="s">
        <v>5633</v>
      </c>
      <c r="D83" t="s">
        <v>2794</v>
      </c>
      <c r="E83" t="s">
        <v>2793</v>
      </c>
      <c r="G83" t="s">
        <v>8922</v>
      </c>
      <c r="H83" t="s">
        <v>2796</v>
      </c>
      <c r="I83" t="s">
        <v>211</v>
      </c>
      <c r="K83" t="s">
        <v>5843</v>
      </c>
      <c r="M83" t="s">
        <v>5989</v>
      </c>
      <c r="P83" t="str">
        <f>"Update Project Set Organisation = '"&amp;H83&amp;"' where Project_ID = '"&amp;A83&amp;"'; "</f>
        <v xml:space="preserve">Update Project Set Organisation = 'CSIR-Indian Institute of Chemical Technology' where Project_ID = 'P0074'; </v>
      </c>
      <c r="Q83" t="str">
        <f>"Update Project Set Library_name = '"&amp;L83&amp;"' , COADD_ID = '"&amp;M83&amp;"' where Project_ID = '"&amp;A83&amp;"'; "</f>
        <v xml:space="preserve">Update Project Set Library_name = '' , COADD_ID = 'CO-ADD:PC0074' where Project_ID = 'P0074'; </v>
      </c>
    </row>
    <row r="84" spans="1:17">
      <c r="A84" t="s">
        <v>5993</v>
      </c>
      <c r="B84" t="s">
        <v>5992</v>
      </c>
      <c r="C84" t="s">
        <v>5633</v>
      </c>
      <c r="D84" t="s">
        <v>968</v>
      </c>
      <c r="E84" t="s">
        <v>2750</v>
      </c>
      <c r="G84" t="s">
        <v>8983</v>
      </c>
      <c r="H84" t="s">
        <v>971</v>
      </c>
      <c r="I84" t="s">
        <v>557</v>
      </c>
      <c r="K84" t="s">
        <v>5828</v>
      </c>
      <c r="L84" t="s">
        <v>8169</v>
      </c>
      <c r="M84" t="s">
        <v>5991</v>
      </c>
      <c r="N84" s="2">
        <v>45657</v>
      </c>
      <c r="P84" t="str">
        <f>"Update Project Set Organisation = '"&amp;H84&amp;"' where Project_ID = '"&amp;A84&amp;"'; "</f>
        <v xml:space="preserve">Update Project Set Organisation = 'Karlsruhe Institute of Technology (KIT)' where Project_ID = 'P0075'; </v>
      </c>
      <c r="Q84" t="str">
        <f>"Update Project Set Library_name = '"&amp;L84&amp;"' , COADD_ID = '"&amp;M84&amp;"' where Project_ID = '"&amp;A84&amp;"'; "</f>
        <v xml:space="preserve">Update Project Set Library_name = 'Karlsruhe Institute of Technology (KIT) (Germany)' , COADD_ID = 'CO-ADD:PC0075' where Project_ID = 'P0075'; </v>
      </c>
    </row>
    <row r="85" spans="1:17">
      <c r="A85" t="s">
        <v>5996</v>
      </c>
      <c r="B85" t="s">
        <v>5992</v>
      </c>
      <c r="C85" t="s">
        <v>5633</v>
      </c>
      <c r="D85" t="s">
        <v>4643</v>
      </c>
      <c r="E85" t="s">
        <v>4642</v>
      </c>
      <c r="G85" t="s">
        <v>9068</v>
      </c>
      <c r="H85" t="s">
        <v>4646</v>
      </c>
      <c r="I85" t="s">
        <v>1600</v>
      </c>
      <c r="K85" t="s">
        <v>5828</v>
      </c>
      <c r="L85" t="s">
        <v>5995</v>
      </c>
      <c r="M85" t="s">
        <v>5994</v>
      </c>
      <c r="N85" s="2">
        <v>43862</v>
      </c>
      <c r="P85" t="str">
        <f>"Update Project Set Organisation = '"&amp;H85&amp;"' where Project_ID = '"&amp;A85&amp;"'; "</f>
        <v xml:space="preserve">Update Project Set Organisation = 'Russian Academy of Science' where Project_ID = 'P0076'; </v>
      </c>
      <c r="Q85" t="str">
        <f>"Update Project Set Library_name = '"&amp;L85&amp;"' , COADD_ID = '"&amp;M85&amp;"' where Project_ID = '"&amp;A85&amp;"'; "</f>
        <v xml:space="preserve">Update Project Set Library_name = 'Russian Academy of Science (Russia)' , COADD_ID = 'CO-ADD:PC0076' where Project_ID = 'P0076'; </v>
      </c>
    </row>
    <row r="86" spans="1:17">
      <c r="A86" t="s">
        <v>5998</v>
      </c>
      <c r="C86" t="s">
        <v>5633</v>
      </c>
      <c r="D86" t="s">
        <v>895</v>
      </c>
      <c r="E86" t="s">
        <v>894</v>
      </c>
      <c r="G86" t="s">
        <v>9087</v>
      </c>
      <c r="H86" t="s">
        <v>898</v>
      </c>
      <c r="I86" t="s">
        <v>694</v>
      </c>
      <c r="K86" t="s">
        <v>5837</v>
      </c>
      <c r="M86" t="s">
        <v>5997</v>
      </c>
      <c r="P86" t="str">
        <f>"Update Project Set Organisation = '"&amp;H86&amp;"' where Project_ID = '"&amp;A86&amp;"'; "</f>
        <v xml:space="preserve">Update Project Set Organisation = 'Technical University of Graz' where Project_ID = 'P0077'; </v>
      </c>
      <c r="Q86" t="str">
        <f>"Update Project Set Library_name = '"&amp;L86&amp;"' , COADD_ID = '"&amp;M86&amp;"' where Project_ID = '"&amp;A86&amp;"'; "</f>
        <v xml:space="preserve">Update Project Set Library_name = '' , COADD_ID = 'CO-ADD:PC0077' where Project_ID = 'P0077'; </v>
      </c>
    </row>
    <row r="87" spans="1:17">
      <c r="A87" t="s">
        <v>6000</v>
      </c>
      <c r="C87" t="s">
        <v>5633</v>
      </c>
      <c r="D87" t="s">
        <v>4608</v>
      </c>
      <c r="E87" t="s">
        <v>4607</v>
      </c>
      <c r="G87" t="s">
        <v>9250</v>
      </c>
      <c r="H87" t="s">
        <v>4611</v>
      </c>
      <c r="I87" t="s">
        <v>557</v>
      </c>
      <c r="K87" t="s">
        <v>5828</v>
      </c>
      <c r="L87" t="s">
        <v>8170</v>
      </c>
      <c r="M87" t="s">
        <v>5999</v>
      </c>
      <c r="N87" s="2">
        <v>45657</v>
      </c>
      <c r="P87" t="str">
        <f>"Update Project Set Organisation = '"&amp;H87&amp;"' where Project_ID = '"&amp;A87&amp;"'; "</f>
        <v xml:space="preserve">Update Project Set Organisation = 'University-Hospital Schleswig-Holstein' where Project_ID = 'P0078'; </v>
      </c>
      <c r="Q87" t="str">
        <f>"Update Project Set Library_name = '"&amp;L87&amp;"' , COADD_ID = '"&amp;M87&amp;"' where Project_ID = '"&amp;A87&amp;"'; "</f>
        <v xml:space="preserve">Update Project Set Library_name = 'University-Hospital Schleswig-Holstein (Germany)' , COADD_ID = 'CO-ADD:PC0078' where Project_ID = 'P0078'; </v>
      </c>
    </row>
    <row r="88" spans="1:17">
      <c r="A88" t="s">
        <v>6003</v>
      </c>
      <c r="C88" t="s">
        <v>5633</v>
      </c>
      <c r="D88" t="s">
        <v>4630</v>
      </c>
      <c r="E88" t="s">
        <v>4629</v>
      </c>
      <c r="G88" t="s">
        <v>9215</v>
      </c>
      <c r="H88" t="s">
        <v>4633</v>
      </c>
      <c r="I88" t="s">
        <v>269</v>
      </c>
      <c r="K88" t="s">
        <v>5828</v>
      </c>
      <c r="L88" t="s">
        <v>6002</v>
      </c>
      <c r="M88" t="s">
        <v>6001</v>
      </c>
      <c r="N88" s="2">
        <v>43617</v>
      </c>
      <c r="P88" t="str">
        <f>"Update Project Set Organisation = '"&amp;H88&amp;"' where Project_ID = '"&amp;A88&amp;"'; "</f>
        <v xml:space="preserve">Update Project Set Organisation = 'University of Strathclyde' where Project_ID = 'P0079'; </v>
      </c>
      <c r="Q88" t="str">
        <f>"Update Project Set Library_name = '"&amp;L88&amp;"' , COADD_ID = '"&amp;M88&amp;"' where Project_ID = '"&amp;A88&amp;"'; "</f>
        <v xml:space="preserve">Update Project Set Library_name = 'University of Strathclyde (UK)' , COADD_ID = 'CO-ADD:PC0079' where Project_ID = 'P0079'; </v>
      </c>
    </row>
    <row r="89" spans="1:17">
      <c r="A89" t="s">
        <v>6005</v>
      </c>
      <c r="C89" t="s">
        <v>5633</v>
      </c>
      <c r="D89" t="s">
        <v>1179</v>
      </c>
      <c r="E89" t="s">
        <v>1178</v>
      </c>
      <c r="G89" t="s">
        <v>9143</v>
      </c>
      <c r="H89" t="s">
        <v>1182</v>
      </c>
      <c r="I89" t="s">
        <v>609</v>
      </c>
      <c r="K89" t="s">
        <v>5828</v>
      </c>
      <c r="L89" t="s">
        <v>8171</v>
      </c>
      <c r="M89" t="s">
        <v>6004</v>
      </c>
      <c r="N89" s="2">
        <v>45657</v>
      </c>
      <c r="P89" t="str">
        <f>"Update Project Set Organisation = '"&amp;H89&amp;"' where Project_ID = '"&amp;A89&amp;"'; "</f>
        <v xml:space="preserve">Update Project Set Organisation = 'University of Capetown' where Project_ID = 'P0080'; </v>
      </c>
      <c r="Q89" t="str">
        <f>"Update Project Set Library_name = '"&amp;L89&amp;"' , COADD_ID = '"&amp;M89&amp;"' where Project_ID = '"&amp;A89&amp;"'; "</f>
        <v xml:space="preserve">Update Project Set Library_name = 'University of Capetown (South Africa)' , COADD_ID = 'CO-ADD:PC0080' where Project_ID = 'P0080'; </v>
      </c>
    </row>
    <row r="90" spans="1:17">
      <c r="A90" t="s">
        <v>6007</v>
      </c>
      <c r="C90" t="s">
        <v>5633</v>
      </c>
      <c r="D90" t="s">
        <v>448</v>
      </c>
      <c r="E90" t="s">
        <v>2689</v>
      </c>
      <c r="G90" t="s">
        <v>8900</v>
      </c>
      <c r="H90" t="s">
        <v>362</v>
      </c>
      <c r="I90" t="s">
        <v>14</v>
      </c>
      <c r="K90" t="s">
        <v>5828</v>
      </c>
      <c r="L90" t="s">
        <v>5922</v>
      </c>
      <c r="M90" t="s">
        <v>6006</v>
      </c>
      <c r="N90" s="2">
        <v>43617</v>
      </c>
      <c r="P90" t="str">
        <f>"Update Project Set Organisation = '"&amp;H90&amp;"' where Project_ID = '"&amp;A90&amp;"'; "</f>
        <v xml:space="preserve">Update Project Set Organisation = 'University of Queensland' where Project_ID = 'P0081'; </v>
      </c>
      <c r="Q90" t="str">
        <f>"Update Project Set Library_name = '"&amp;L90&amp;"' , COADD_ID = '"&amp;M90&amp;"' where Project_ID = '"&amp;A90&amp;"'; "</f>
        <v xml:space="preserve">Update Project Set Library_name = 'University of Queensland (Australia)' , COADD_ID = 'CO-ADD:PC0081' where Project_ID = 'P0081'; </v>
      </c>
    </row>
    <row r="91" spans="1:17">
      <c r="A91" t="s">
        <v>6009</v>
      </c>
      <c r="C91" t="s">
        <v>5633</v>
      </c>
      <c r="D91" t="s">
        <v>5148</v>
      </c>
      <c r="E91" t="s">
        <v>5147</v>
      </c>
      <c r="G91" t="s">
        <v>9196</v>
      </c>
      <c r="H91" t="s">
        <v>362</v>
      </c>
      <c r="I91" t="s">
        <v>14</v>
      </c>
      <c r="K91" t="s">
        <v>5843</v>
      </c>
      <c r="M91" t="s">
        <v>6008</v>
      </c>
      <c r="P91" t="str">
        <f>"Update Project Set Organisation = '"&amp;H91&amp;"' where Project_ID = '"&amp;A91&amp;"'; "</f>
        <v xml:space="preserve">Update Project Set Organisation = 'University of Queensland' where Project_ID = 'P0082'; </v>
      </c>
      <c r="Q91" t="str">
        <f>"Update Project Set Library_name = '"&amp;L91&amp;"' , COADD_ID = '"&amp;M91&amp;"' where Project_ID = '"&amp;A91&amp;"'; "</f>
        <v xml:space="preserve">Update Project Set Library_name = '' , COADD_ID = 'CO-ADD:PC0082' where Project_ID = 'P0082'; </v>
      </c>
    </row>
    <row r="92" spans="1:17">
      <c r="A92" t="s">
        <v>6012</v>
      </c>
      <c r="C92" t="s">
        <v>5633</v>
      </c>
      <c r="D92" t="s">
        <v>5379</v>
      </c>
      <c r="E92" t="s">
        <v>5378</v>
      </c>
      <c r="G92" t="s">
        <v>8995</v>
      </c>
      <c r="H92" t="s">
        <v>1114</v>
      </c>
      <c r="I92" t="s">
        <v>14</v>
      </c>
      <c r="J92" t="s">
        <v>6011</v>
      </c>
      <c r="K92" t="s">
        <v>5843</v>
      </c>
      <c r="M92" t="s">
        <v>6010</v>
      </c>
      <c r="P92" t="str">
        <f>"Update Project Set Organisation = '"&amp;H92&amp;"' where Project_ID = '"&amp;A92&amp;"'; "</f>
        <v xml:space="preserve">Update Project Set Organisation = 'Macquarie University' where Project_ID = 'P0083'; </v>
      </c>
      <c r="Q92" t="str">
        <f>"Update Project Set Library_name = '"&amp;L92&amp;"' , COADD_ID = '"&amp;M92&amp;"' where Project_ID = '"&amp;A92&amp;"'; "</f>
        <v xml:space="preserve">Update Project Set Library_name = '' , COADD_ID = 'CO-ADD:PC0083' where Project_ID = 'P0083'; </v>
      </c>
    </row>
    <row r="93" spans="1:17">
      <c r="A93" t="s">
        <v>6015</v>
      </c>
      <c r="C93" t="s">
        <v>5633</v>
      </c>
      <c r="D93" t="s">
        <v>385</v>
      </c>
      <c r="E93" t="s">
        <v>3623</v>
      </c>
      <c r="G93" t="s">
        <v>9218</v>
      </c>
      <c r="H93" t="s">
        <v>389</v>
      </c>
      <c r="I93" t="s">
        <v>14</v>
      </c>
      <c r="J93" t="s">
        <v>6014</v>
      </c>
      <c r="K93" t="s">
        <v>5843</v>
      </c>
      <c r="M93" t="s">
        <v>6013</v>
      </c>
      <c r="P93" t="str">
        <f>"Update Project Set Organisation = '"&amp;H93&amp;"' where Project_ID = '"&amp;A93&amp;"'; "</f>
        <v xml:space="preserve">Update Project Set Organisation = 'University of Sydney' where Project_ID = 'P0084'; </v>
      </c>
      <c r="Q93" t="str">
        <f>"Update Project Set Library_name = '"&amp;L93&amp;"' , COADD_ID = '"&amp;M93&amp;"' where Project_ID = '"&amp;A93&amp;"'; "</f>
        <v xml:space="preserve">Update Project Set Library_name = '' , COADD_ID = 'CO-ADD:PC0084' where Project_ID = 'P0084'; </v>
      </c>
    </row>
    <row r="94" spans="1:17">
      <c r="A94" t="s">
        <v>6017</v>
      </c>
      <c r="C94" t="s">
        <v>5633</v>
      </c>
      <c r="D94" t="s">
        <v>1943</v>
      </c>
      <c r="E94" t="s">
        <v>2544</v>
      </c>
      <c r="G94" t="s">
        <v>9102</v>
      </c>
      <c r="H94" t="s">
        <v>1946</v>
      </c>
      <c r="I94" t="s">
        <v>234</v>
      </c>
      <c r="K94" t="s">
        <v>5843</v>
      </c>
      <c r="M94" t="s">
        <v>6016</v>
      </c>
      <c r="P94" t="str">
        <f>"Update Project Set Organisation = '"&amp;H94&amp;"' where Project_ID = '"&amp;A94&amp;"'; "</f>
        <v xml:space="preserve">Update Project Set Organisation = 'Universidade Estadual do Norte Fluminense Darcy Ribeiro' where Project_ID = 'P0085'; </v>
      </c>
      <c r="Q94" t="str">
        <f>"Update Project Set Library_name = '"&amp;L94&amp;"' , COADD_ID = '"&amp;M94&amp;"' where Project_ID = '"&amp;A94&amp;"'; "</f>
        <v xml:space="preserve">Update Project Set Library_name = '' , COADD_ID = 'CO-ADD:PC0085' where Project_ID = 'P0085'; </v>
      </c>
    </row>
    <row r="95" spans="1:17">
      <c r="A95" t="s">
        <v>6020</v>
      </c>
      <c r="C95" t="s">
        <v>5633</v>
      </c>
      <c r="D95" t="s">
        <v>3691</v>
      </c>
      <c r="E95" t="s">
        <v>4571</v>
      </c>
      <c r="G95" t="s">
        <v>9239</v>
      </c>
      <c r="H95" t="s">
        <v>3693</v>
      </c>
      <c r="I95" t="s">
        <v>75</v>
      </c>
      <c r="J95" t="s">
        <v>6019</v>
      </c>
      <c r="K95" t="s">
        <v>5843</v>
      </c>
      <c r="M95" t="s">
        <v>6018</v>
      </c>
      <c r="P95" t="str">
        <f>"Update Project Set Organisation = '"&amp;H95&amp;"' where Project_ID = '"&amp;A95&amp;"'; "</f>
        <v xml:space="preserve">Update Project Set Organisation = 'University of Waterloo' where Project_ID = 'P0086'; </v>
      </c>
      <c r="Q95" t="str">
        <f>"Update Project Set Library_name = '"&amp;L95&amp;"' , COADD_ID = '"&amp;M95&amp;"' where Project_ID = '"&amp;A95&amp;"'; "</f>
        <v xml:space="preserve">Update Project Set Library_name = '' , COADD_ID = 'CO-ADD:PC0086' where Project_ID = 'P0086'; </v>
      </c>
    </row>
    <row r="96" spans="1:17">
      <c r="A96" t="s">
        <v>6023</v>
      </c>
      <c r="B96" t="s">
        <v>6022</v>
      </c>
      <c r="C96" t="s">
        <v>5633</v>
      </c>
      <c r="D96" t="s">
        <v>4643</v>
      </c>
      <c r="E96" t="s">
        <v>4642</v>
      </c>
      <c r="G96" t="s">
        <v>9068</v>
      </c>
      <c r="H96" t="s">
        <v>4646</v>
      </c>
      <c r="I96" t="s">
        <v>1600</v>
      </c>
      <c r="K96" t="s">
        <v>5828</v>
      </c>
      <c r="L96" t="s">
        <v>5995</v>
      </c>
      <c r="M96" t="s">
        <v>6021</v>
      </c>
      <c r="N96" s="2">
        <v>43862</v>
      </c>
      <c r="P96" t="str">
        <f>"Update Project Set Organisation = '"&amp;H96&amp;"' where Project_ID = '"&amp;A96&amp;"'; "</f>
        <v xml:space="preserve">Update Project Set Organisation = 'Russian Academy of Science' where Project_ID = 'P0087'; </v>
      </c>
      <c r="Q96" t="str">
        <f>"Update Project Set Library_name = '"&amp;L96&amp;"' , COADD_ID = '"&amp;M96&amp;"' where Project_ID = '"&amp;A96&amp;"'; "</f>
        <v xml:space="preserve">Update Project Set Library_name = 'Russian Academy of Science (Russia)' , COADD_ID = 'CO-ADD:PC0087' where Project_ID = 'P0087'; </v>
      </c>
    </row>
    <row r="97" spans="1:17">
      <c r="A97" t="s">
        <v>6025</v>
      </c>
      <c r="C97" t="s">
        <v>5633</v>
      </c>
      <c r="D97" t="s">
        <v>910</v>
      </c>
      <c r="E97" t="s">
        <v>909</v>
      </c>
      <c r="G97" t="s">
        <v>9092</v>
      </c>
      <c r="H97" t="s">
        <v>913</v>
      </c>
      <c r="I97" t="s">
        <v>117</v>
      </c>
      <c r="K97" t="s">
        <v>5828</v>
      </c>
      <c r="L97" t="s">
        <v>8172</v>
      </c>
      <c r="M97" t="s">
        <v>6024</v>
      </c>
      <c r="N97" s="2">
        <v>45657</v>
      </c>
      <c r="P97" t="str">
        <f>"Update Project Set Organisation = '"&amp;H97&amp;"' where Project_ID = '"&amp;A97&amp;"'; "</f>
        <v xml:space="preserve">Update Project Set Organisation = 'Trinity College' where Project_ID = 'P0088'; </v>
      </c>
      <c r="Q97" t="str">
        <f>"Update Project Set Library_name = '"&amp;L97&amp;"' , COADD_ID = '"&amp;M97&amp;"' where Project_ID = '"&amp;A97&amp;"'; "</f>
        <v xml:space="preserve">Update Project Set Library_name = 'Trinity College (United States)' , COADD_ID = 'CO-ADD:PC0088' where Project_ID = 'P0088'; </v>
      </c>
    </row>
    <row r="98" spans="1:17">
      <c r="A98" t="s">
        <v>6027</v>
      </c>
      <c r="C98" t="s">
        <v>5633</v>
      </c>
      <c r="D98" t="s">
        <v>995</v>
      </c>
      <c r="E98" t="s">
        <v>994</v>
      </c>
      <c r="G98" t="s">
        <v>9221</v>
      </c>
      <c r="H98" t="s">
        <v>998</v>
      </c>
      <c r="I98" t="s">
        <v>848</v>
      </c>
      <c r="K98" t="s">
        <v>5843</v>
      </c>
      <c r="M98" t="s">
        <v>6026</v>
      </c>
      <c r="P98" t="str">
        <f>"Update Project Set Organisation = '"&amp;H98&amp;"' where Project_ID = '"&amp;A98&amp;"'; "</f>
        <v xml:space="preserve">Update Project Set Organisation = 'University of Technology' where Project_ID = 'P0089'; </v>
      </c>
      <c r="Q98" t="str">
        <f>"Update Project Set Library_name = '"&amp;L98&amp;"' , COADD_ID = '"&amp;M98&amp;"' where Project_ID = '"&amp;A98&amp;"'; "</f>
        <v xml:space="preserve">Update Project Set Library_name = '' , COADD_ID = 'CO-ADD:PC0089' where Project_ID = 'P0089'; </v>
      </c>
    </row>
    <row r="99" spans="1:17">
      <c r="A99" t="s">
        <v>6029</v>
      </c>
      <c r="C99" t="s">
        <v>5633</v>
      </c>
      <c r="D99" t="s">
        <v>1482</v>
      </c>
      <c r="E99" t="s">
        <v>1481</v>
      </c>
      <c r="G99" t="s">
        <v>8946</v>
      </c>
      <c r="H99" t="s">
        <v>1327</v>
      </c>
      <c r="I99" t="s">
        <v>14</v>
      </c>
      <c r="K99" t="s">
        <v>5843</v>
      </c>
      <c r="M99" t="s">
        <v>6028</v>
      </c>
      <c r="P99" t="str">
        <f>"Update Project Set Organisation = '"&amp;H99&amp;"' where Project_ID = '"&amp;A99&amp;"'; "</f>
        <v xml:space="preserve">Update Project Set Organisation = 'Griffith University' where Project_ID = 'P0090'; </v>
      </c>
      <c r="Q99" t="str">
        <f>"Update Project Set Library_name = '"&amp;L99&amp;"' , COADD_ID = '"&amp;M99&amp;"' where Project_ID = '"&amp;A99&amp;"'; "</f>
        <v xml:space="preserve">Update Project Set Library_name = '' , COADD_ID = 'CO-ADD:PC0090' where Project_ID = 'P0090'; </v>
      </c>
    </row>
    <row r="100" spans="1:17">
      <c r="A100" t="s">
        <v>6032</v>
      </c>
      <c r="C100" t="s">
        <v>5633</v>
      </c>
      <c r="D100" t="s">
        <v>431</v>
      </c>
      <c r="E100" t="s">
        <v>462</v>
      </c>
      <c r="G100" t="s">
        <v>9122</v>
      </c>
      <c r="H100" t="s">
        <v>434</v>
      </c>
      <c r="I100" t="s">
        <v>269</v>
      </c>
      <c r="J100" t="s">
        <v>6031</v>
      </c>
      <c r="K100" t="s">
        <v>5843</v>
      </c>
      <c r="M100" t="s">
        <v>6030</v>
      </c>
      <c r="P100" t="str">
        <f>"Update Project Set Organisation = '"&amp;H100&amp;"' where Project_ID = '"&amp;A100&amp;"'; "</f>
        <v xml:space="preserve">Update Project Set Organisation = 'University College London' where Project_ID = 'P0091'; </v>
      </c>
      <c r="Q100" t="str">
        <f>"Update Project Set Library_name = '"&amp;L100&amp;"' , COADD_ID = '"&amp;M100&amp;"' where Project_ID = '"&amp;A100&amp;"'; "</f>
        <v xml:space="preserve">Update Project Set Library_name = '' , COADD_ID = 'CO-ADD:PC0091' where Project_ID = 'P0091'; </v>
      </c>
    </row>
    <row r="101" spans="1:17">
      <c r="A101" t="s">
        <v>6034</v>
      </c>
      <c r="C101" t="s">
        <v>5633</v>
      </c>
      <c r="D101" t="s">
        <v>2728</v>
      </c>
      <c r="E101" t="s">
        <v>4368</v>
      </c>
      <c r="G101" t="s">
        <v>9065</v>
      </c>
      <c r="H101" t="s">
        <v>2731</v>
      </c>
      <c r="I101" t="s">
        <v>117</v>
      </c>
      <c r="J101" t="s">
        <v>4011</v>
      </c>
      <c r="K101" t="s">
        <v>5843</v>
      </c>
      <c r="M101" t="s">
        <v>6033</v>
      </c>
      <c r="P101" t="str">
        <f>"Update Project Set Organisation = '"&amp;H101&amp;"' where Project_ID = '"&amp;A101&amp;"'; "</f>
        <v xml:space="preserve">Update Project Set Organisation = 'Rowan University' where Project_ID = 'P0092'; </v>
      </c>
      <c r="Q101" t="str">
        <f>"Update Project Set Library_name = '"&amp;L101&amp;"' , COADD_ID = '"&amp;M101&amp;"' where Project_ID = '"&amp;A101&amp;"'; "</f>
        <v xml:space="preserve">Update Project Set Library_name = '' , COADD_ID = 'CO-ADD:PC0092' where Project_ID = 'P0092'; </v>
      </c>
    </row>
    <row r="102" spans="1:17">
      <c r="A102" t="s">
        <v>6037</v>
      </c>
      <c r="C102" t="s">
        <v>5633</v>
      </c>
      <c r="D102" t="s">
        <v>2715</v>
      </c>
      <c r="E102" t="s">
        <v>2714</v>
      </c>
      <c r="F102" t="s">
        <v>5432</v>
      </c>
      <c r="G102" t="s">
        <v>8947</v>
      </c>
      <c r="H102" t="s">
        <v>1327</v>
      </c>
      <c r="I102" t="s">
        <v>14</v>
      </c>
      <c r="J102" t="s">
        <v>6036</v>
      </c>
      <c r="K102" t="s">
        <v>5843</v>
      </c>
      <c r="M102" t="s">
        <v>6035</v>
      </c>
      <c r="P102" t="str">
        <f>"Update Project Set Organisation = '"&amp;H102&amp;"' where Project_ID = '"&amp;A102&amp;"'; "</f>
        <v xml:space="preserve">Update Project Set Organisation = 'Griffith University' where Project_ID = 'P0093'; </v>
      </c>
      <c r="Q102" t="str">
        <f>"Update Project Set Library_name = '"&amp;L102&amp;"' , COADD_ID = '"&amp;M102&amp;"' where Project_ID = '"&amp;A102&amp;"'; "</f>
        <v xml:space="preserve">Update Project Set Library_name = '' , COADD_ID = 'CO-ADD:PC0093' where Project_ID = 'P0093'; </v>
      </c>
    </row>
    <row r="103" spans="1:17">
      <c r="A103" t="s">
        <v>6040</v>
      </c>
      <c r="C103" t="s">
        <v>5633</v>
      </c>
      <c r="D103" t="s">
        <v>5302</v>
      </c>
      <c r="E103" t="s">
        <v>5301</v>
      </c>
      <c r="G103" t="s">
        <v>9157</v>
      </c>
      <c r="H103" t="s">
        <v>1080</v>
      </c>
      <c r="I103" t="s">
        <v>269</v>
      </c>
      <c r="J103" t="s">
        <v>6039</v>
      </c>
      <c r="K103" t="s">
        <v>5828</v>
      </c>
      <c r="L103" t="s">
        <v>8173</v>
      </c>
      <c r="M103" t="s">
        <v>6038</v>
      </c>
      <c r="N103" s="2">
        <v>45657</v>
      </c>
      <c r="P103" t="str">
        <f>"Update Project Set Organisation = '"&amp;H103&amp;"' where Project_ID = '"&amp;A103&amp;"'; "</f>
        <v xml:space="preserve">Update Project Set Organisation = 'University of Leeds' where Project_ID = 'P0094'; </v>
      </c>
      <c r="Q103" t="str">
        <f>"Update Project Set Library_name = '"&amp;L103&amp;"' , COADD_ID = '"&amp;M103&amp;"' where Project_ID = '"&amp;A103&amp;"'; "</f>
        <v xml:space="preserve">Update Project Set Library_name = 'University of Leeds (United Kingdom)' , COADD_ID = 'CO-ADD:PC0094' where Project_ID = 'P0094'; </v>
      </c>
    </row>
    <row r="104" spans="1:17">
      <c r="A104" t="s">
        <v>6042</v>
      </c>
      <c r="C104" t="s">
        <v>5633</v>
      </c>
      <c r="D104" t="s">
        <v>2555</v>
      </c>
      <c r="E104" t="s">
        <v>2554</v>
      </c>
      <c r="G104" t="s">
        <v>8948</v>
      </c>
      <c r="H104" t="s">
        <v>1327</v>
      </c>
      <c r="I104" t="s">
        <v>14</v>
      </c>
      <c r="K104" t="s">
        <v>5843</v>
      </c>
      <c r="M104" t="s">
        <v>6041</v>
      </c>
      <c r="P104" t="str">
        <f>"Update Project Set Organisation = '"&amp;H104&amp;"' where Project_ID = '"&amp;A104&amp;"'; "</f>
        <v xml:space="preserve">Update Project Set Organisation = 'Griffith University' where Project_ID = 'P0095'; </v>
      </c>
      <c r="Q104" t="str">
        <f>"Update Project Set Library_name = '"&amp;L104&amp;"' , COADD_ID = '"&amp;M104&amp;"' where Project_ID = '"&amp;A104&amp;"'; "</f>
        <v xml:space="preserve">Update Project Set Library_name = '' , COADD_ID = 'CO-ADD:PC0095' where Project_ID = 'P0095'; </v>
      </c>
    </row>
    <row r="105" spans="1:17">
      <c r="A105" t="s">
        <v>6044</v>
      </c>
      <c r="C105" t="s">
        <v>5633</v>
      </c>
      <c r="D105" t="s">
        <v>3444</v>
      </c>
      <c r="E105" t="s">
        <v>3443</v>
      </c>
      <c r="G105" t="s">
        <v>9104</v>
      </c>
      <c r="H105" t="s">
        <v>3447</v>
      </c>
      <c r="I105" t="s">
        <v>355</v>
      </c>
      <c r="K105" t="s">
        <v>5828</v>
      </c>
      <c r="L105" t="s">
        <v>8174</v>
      </c>
      <c r="M105" t="s">
        <v>6043</v>
      </c>
      <c r="N105" s="2">
        <v>45657</v>
      </c>
      <c r="P105" t="str">
        <f>"Update Project Set Organisation = '"&amp;H105&amp;"' where Project_ID = '"&amp;A105&amp;"'; "</f>
        <v xml:space="preserve">Update Project Set Organisation = 'Universita degli Studi di Urbino Carlo Bo' where Project_ID = 'P0096'; </v>
      </c>
      <c r="Q105" t="str">
        <f>"Update Project Set Library_name = '"&amp;L105&amp;"' , COADD_ID = '"&amp;M105&amp;"' where Project_ID = '"&amp;A105&amp;"'; "</f>
        <v xml:space="preserve">Update Project Set Library_name = 'Universita degli Studi di Urbino Carlo Bo (Italy)' , COADD_ID = 'CO-ADD:PC0096' where Project_ID = 'P0096'; </v>
      </c>
    </row>
    <row r="106" spans="1:17">
      <c r="A106" t="s">
        <v>6047</v>
      </c>
      <c r="C106" t="s">
        <v>5633</v>
      </c>
      <c r="D106" t="s">
        <v>4902</v>
      </c>
      <c r="E106" t="s">
        <v>4901</v>
      </c>
      <c r="F106" t="s">
        <v>4909</v>
      </c>
      <c r="G106" t="s">
        <v>9169</v>
      </c>
      <c r="H106" t="s">
        <v>4905</v>
      </c>
      <c r="I106" t="s">
        <v>117</v>
      </c>
      <c r="J106" t="s">
        <v>6046</v>
      </c>
      <c r="K106" t="s">
        <v>5843</v>
      </c>
      <c r="M106" t="s">
        <v>6045</v>
      </c>
      <c r="P106" t="str">
        <f>"Update Project Set Organisation = '"&amp;H106&amp;"' where Project_ID = '"&amp;A106&amp;"'; "</f>
        <v xml:space="preserve">Update Project Set Organisation = 'University of Montana' where Project_ID = 'P0097'; </v>
      </c>
      <c r="Q106" t="str">
        <f>"Update Project Set Library_name = '"&amp;L106&amp;"' , COADD_ID = '"&amp;M106&amp;"' where Project_ID = '"&amp;A106&amp;"'; "</f>
        <v xml:space="preserve">Update Project Set Library_name = '' , COADD_ID = 'CO-ADD:PC0097' where Project_ID = 'P0097'; </v>
      </c>
    </row>
    <row r="107" spans="1:17">
      <c r="A107" t="s">
        <v>6049</v>
      </c>
      <c r="C107" t="s">
        <v>5633</v>
      </c>
      <c r="D107" t="s">
        <v>4852</v>
      </c>
      <c r="E107" t="s">
        <v>4851</v>
      </c>
      <c r="G107" t="s">
        <v>9130</v>
      </c>
      <c r="H107" t="s">
        <v>596</v>
      </c>
      <c r="I107" t="s">
        <v>223</v>
      </c>
      <c r="K107" t="s">
        <v>5843</v>
      </c>
      <c r="M107" t="s">
        <v>6048</v>
      </c>
      <c r="P107" t="str">
        <f>"Update Project Set Organisation = '"&amp;H107&amp;"' where Project_ID = '"&amp;A107&amp;"'; "</f>
        <v xml:space="preserve">Update Project Set Organisation = 'University of Auckland' where Project_ID = 'P0098'; </v>
      </c>
      <c r="Q107" t="str">
        <f>"Update Project Set Library_name = '"&amp;L107&amp;"' , COADD_ID = '"&amp;M107&amp;"' where Project_ID = '"&amp;A107&amp;"'; "</f>
        <v xml:space="preserve">Update Project Set Library_name = '' , COADD_ID = 'CO-ADD:PC0098' where Project_ID = 'P0098'; </v>
      </c>
    </row>
    <row r="108" spans="1:17">
      <c r="A108" t="s">
        <v>6051</v>
      </c>
      <c r="C108" t="s">
        <v>5633</v>
      </c>
      <c r="D108" t="s">
        <v>3121</v>
      </c>
      <c r="E108" t="s">
        <v>3120</v>
      </c>
      <c r="G108" t="s">
        <v>9184</v>
      </c>
      <c r="H108" t="s">
        <v>3123</v>
      </c>
      <c r="I108" t="s">
        <v>269</v>
      </c>
      <c r="K108" t="s">
        <v>5828</v>
      </c>
      <c r="L108" t="s">
        <v>8175</v>
      </c>
      <c r="M108" t="s">
        <v>6050</v>
      </c>
      <c r="N108" s="2">
        <v>45657</v>
      </c>
      <c r="P108" t="str">
        <f>"Update Project Set Organisation = '"&amp;H108&amp;"' where Project_ID = '"&amp;A108&amp;"'; "</f>
        <v xml:space="preserve">Update Project Set Organisation = 'University of Nottingham' where Project_ID = 'P0099'; </v>
      </c>
      <c r="Q108" t="str">
        <f>"Update Project Set Library_name = '"&amp;L108&amp;"' , COADD_ID = '"&amp;M108&amp;"' where Project_ID = '"&amp;A108&amp;"'; "</f>
        <v xml:space="preserve">Update Project Set Library_name = 'University of Nottingham (United Kingdom)' , COADD_ID = 'CO-ADD:PC0099' where Project_ID = 'P0099'; </v>
      </c>
    </row>
    <row r="109" spans="1:17">
      <c r="A109" t="s">
        <v>6053</v>
      </c>
      <c r="C109" t="s">
        <v>5633</v>
      </c>
      <c r="D109" t="s">
        <v>3671</v>
      </c>
      <c r="E109" t="s">
        <v>3856</v>
      </c>
      <c r="G109" t="s">
        <v>9185</v>
      </c>
      <c r="H109" t="s">
        <v>3123</v>
      </c>
      <c r="I109" t="s">
        <v>269</v>
      </c>
      <c r="K109" t="s">
        <v>5843</v>
      </c>
      <c r="M109" t="s">
        <v>6052</v>
      </c>
      <c r="P109" t="str">
        <f>"Update Project Set Organisation = '"&amp;H109&amp;"' where Project_ID = '"&amp;A109&amp;"'; "</f>
        <v xml:space="preserve">Update Project Set Organisation = 'University of Nottingham' where Project_ID = 'P0100'; </v>
      </c>
      <c r="Q109" t="str">
        <f>"Update Project Set Library_name = '"&amp;L109&amp;"' , COADD_ID = '"&amp;M109&amp;"' where Project_ID = '"&amp;A109&amp;"'; "</f>
        <v xml:space="preserve">Update Project Set Library_name = '' , COADD_ID = 'CO-ADD:PC0100' where Project_ID = 'P0100'; </v>
      </c>
    </row>
    <row r="110" spans="1:17">
      <c r="A110" t="s">
        <v>6055</v>
      </c>
      <c r="C110" t="s">
        <v>5633</v>
      </c>
      <c r="D110" t="s">
        <v>4314</v>
      </c>
      <c r="E110" t="s">
        <v>4313</v>
      </c>
      <c r="G110" t="s">
        <v>9217</v>
      </c>
      <c r="H110" t="s">
        <v>389</v>
      </c>
      <c r="I110" t="s">
        <v>14</v>
      </c>
      <c r="K110" t="s">
        <v>5828</v>
      </c>
      <c r="L110" t="s">
        <v>6581</v>
      </c>
      <c r="M110" t="s">
        <v>6054</v>
      </c>
      <c r="N110" s="2">
        <v>45657</v>
      </c>
      <c r="P110" t="str">
        <f>"Update Project Set Organisation = '"&amp;H110&amp;"' where Project_ID = '"&amp;A110&amp;"'; "</f>
        <v xml:space="preserve">Update Project Set Organisation = 'University of Sydney' where Project_ID = 'P0101'; </v>
      </c>
      <c r="Q110" t="str">
        <f>"Update Project Set Library_name = '"&amp;L110&amp;"' , COADD_ID = '"&amp;M110&amp;"' where Project_ID = '"&amp;A110&amp;"'; "</f>
        <v xml:space="preserve">Update Project Set Library_name = 'University of Sydney (Australia)' , COADD_ID = 'CO-ADD:PC0101' where Project_ID = 'P0101'; </v>
      </c>
    </row>
    <row r="111" spans="1:17">
      <c r="A111" t="s">
        <v>6058</v>
      </c>
      <c r="C111" t="s">
        <v>5633</v>
      </c>
      <c r="D111" t="s">
        <v>2251</v>
      </c>
      <c r="E111" t="s">
        <v>2512</v>
      </c>
      <c r="G111" t="s">
        <v>9162</v>
      </c>
      <c r="H111" t="s">
        <v>2253</v>
      </c>
      <c r="I111" t="s">
        <v>269</v>
      </c>
      <c r="K111" t="s">
        <v>5828</v>
      </c>
      <c r="L111" t="s">
        <v>6057</v>
      </c>
      <c r="M111" t="s">
        <v>6056</v>
      </c>
      <c r="N111" s="2">
        <v>43617</v>
      </c>
      <c r="P111" t="str">
        <f>"Update Project Set Organisation = '"&amp;H111&amp;"' where Project_ID = '"&amp;A111&amp;"'; "</f>
        <v xml:space="preserve">Update Project Set Organisation = 'University of Manchester' where Project_ID = 'P0102'; </v>
      </c>
      <c r="Q111" t="str">
        <f>"Update Project Set Library_name = '"&amp;L111&amp;"' , COADD_ID = '"&amp;M111&amp;"' where Project_ID = '"&amp;A111&amp;"'; "</f>
        <v xml:space="preserve">Update Project Set Library_name = 'University of Manchester (UK)' , COADD_ID = 'CO-ADD:PC0102' where Project_ID = 'P0102'; </v>
      </c>
    </row>
    <row r="112" spans="1:17">
      <c r="A112" t="s">
        <v>6060</v>
      </c>
      <c r="C112" t="s">
        <v>5633</v>
      </c>
      <c r="D112" t="s">
        <v>1887</v>
      </c>
      <c r="E112" t="s">
        <v>3245</v>
      </c>
      <c r="F112" t="s">
        <v>1886</v>
      </c>
      <c r="G112" t="s">
        <v>8984</v>
      </c>
      <c r="H112" t="s">
        <v>1890</v>
      </c>
      <c r="I112" t="s">
        <v>1893</v>
      </c>
      <c r="K112" t="s">
        <v>5843</v>
      </c>
      <c r="M112" t="s">
        <v>6059</v>
      </c>
      <c r="P112" t="str">
        <f>"Update Project Set Organisation = '"&amp;H112&amp;"' where Project_ID = '"&amp;A112&amp;"'; "</f>
        <v xml:space="preserve">Update Project Set Organisation = 'Karolinska Institute' where Project_ID = 'P0103'; </v>
      </c>
      <c r="Q112" t="str">
        <f>"Update Project Set Library_name = '"&amp;L112&amp;"' , COADD_ID = '"&amp;M112&amp;"' where Project_ID = '"&amp;A112&amp;"'; "</f>
        <v xml:space="preserve">Update Project Set Library_name = '' , COADD_ID = 'CO-ADD:PC0103' where Project_ID = 'P0103'; </v>
      </c>
    </row>
    <row r="113" spans="1:17">
      <c r="A113" t="s">
        <v>6063</v>
      </c>
      <c r="C113" t="s">
        <v>5633</v>
      </c>
      <c r="D113" t="s">
        <v>769</v>
      </c>
      <c r="E113" t="s">
        <v>2155</v>
      </c>
      <c r="G113" t="s">
        <v>8954</v>
      </c>
      <c r="H113" t="s">
        <v>8151</v>
      </c>
      <c r="I113" t="s">
        <v>704</v>
      </c>
      <c r="J113" t="s">
        <v>6062</v>
      </c>
      <c r="K113" t="s">
        <v>5806</v>
      </c>
      <c r="M113" t="s">
        <v>6061</v>
      </c>
      <c r="P113" t="str">
        <f>"Update Project Set Organisation = '"&amp;H113&amp;"' where Project_ID = '"&amp;A113&amp;"'; "</f>
        <v xml:space="preserve">Update Project Set Organisation = 'Hautes Etudes Ingénieur (HEI)' where Project_ID = 'P0104'; </v>
      </c>
      <c r="Q113" t="str">
        <f>"Update Project Set Library_name = '"&amp;L113&amp;"' , COADD_ID = '"&amp;M113&amp;"' where Project_ID = '"&amp;A113&amp;"'; "</f>
        <v xml:space="preserve">Update Project Set Library_name = '' , COADD_ID = 'CO-ADD:PC0104' where Project_ID = 'P0104'; </v>
      </c>
    </row>
    <row r="114" spans="1:17">
      <c r="A114" t="s">
        <v>6065</v>
      </c>
      <c r="C114" t="s">
        <v>5633</v>
      </c>
      <c r="D114" t="s">
        <v>1172</v>
      </c>
      <c r="E114" t="s">
        <v>1171</v>
      </c>
      <c r="G114" t="s">
        <v>9197</v>
      </c>
      <c r="H114" t="s">
        <v>362</v>
      </c>
      <c r="I114" t="s">
        <v>14</v>
      </c>
      <c r="K114" t="s">
        <v>5843</v>
      </c>
      <c r="M114" t="s">
        <v>6064</v>
      </c>
      <c r="P114" t="str">
        <f>"Update Project Set Organisation = '"&amp;H114&amp;"' where Project_ID = '"&amp;A114&amp;"'; "</f>
        <v xml:space="preserve">Update Project Set Organisation = 'University of Queensland' where Project_ID = 'P0105'; </v>
      </c>
      <c r="Q114" t="str">
        <f>"Update Project Set Library_name = '"&amp;L114&amp;"' , COADD_ID = '"&amp;M114&amp;"' where Project_ID = '"&amp;A114&amp;"'; "</f>
        <v xml:space="preserve">Update Project Set Library_name = '' , COADD_ID = 'CO-ADD:PC0105' where Project_ID = 'P0105'; </v>
      </c>
    </row>
    <row r="115" spans="1:17">
      <c r="A115" t="s">
        <v>6068</v>
      </c>
      <c r="C115" t="s">
        <v>5633</v>
      </c>
      <c r="D115" t="s">
        <v>2143</v>
      </c>
      <c r="E115" t="s">
        <v>2142</v>
      </c>
      <c r="G115" t="s">
        <v>9013</v>
      </c>
      <c r="H115" t="s">
        <v>2146</v>
      </c>
      <c r="I115" t="s">
        <v>75</v>
      </c>
      <c r="J115" t="s">
        <v>6067</v>
      </c>
      <c r="K115" t="s">
        <v>5828</v>
      </c>
      <c r="L115" t="s">
        <v>8176</v>
      </c>
      <c r="M115" t="s">
        <v>6066</v>
      </c>
      <c r="N115" s="2">
        <v>45657</v>
      </c>
      <c r="P115" t="str">
        <f>"Update Project Set Organisation = '"&amp;H115&amp;"' where Project_ID = '"&amp;A115&amp;"'; "</f>
        <v xml:space="preserve">Update Project Set Organisation = 'Memorial University of Newfoundland' where Project_ID = 'P0106'; </v>
      </c>
      <c r="Q115" t="str">
        <f>"Update Project Set Library_name = '"&amp;L115&amp;"' , COADD_ID = '"&amp;M115&amp;"' where Project_ID = '"&amp;A115&amp;"'; "</f>
        <v xml:space="preserve">Update Project Set Library_name = 'Memorial University of Newfoundland (Canada)' , COADD_ID = 'CO-ADD:PC0106' where Project_ID = 'P0106'; </v>
      </c>
    </row>
    <row r="116" spans="1:17">
      <c r="A116" t="s">
        <v>6070</v>
      </c>
      <c r="C116" t="s">
        <v>5633</v>
      </c>
      <c r="D116" t="s">
        <v>48</v>
      </c>
      <c r="E116" t="s">
        <v>47</v>
      </c>
      <c r="G116" t="s">
        <v>8941</v>
      </c>
      <c r="H116" t="s">
        <v>52</v>
      </c>
      <c r="I116" t="s">
        <v>55</v>
      </c>
      <c r="K116" t="s">
        <v>5843</v>
      </c>
      <c r="M116" t="s">
        <v>6069</v>
      </c>
      <c r="P116" t="str">
        <f>"Update Project Set Organisation = '"&amp;H116&amp;"' where Project_ID = '"&amp;A116&amp;"'; "</f>
        <v xml:space="preserve">Update Project Set Organisation = 'German University in Cairo' where Project_ID = 'P0107'; </v>
      </c>
      <c r="Q116" t="str">
        <f>"Update Project Set Library_name = '"&amp;L116&amp;"' , COADD_ID = '"&amp;M116&amp;"' where Project_ID = '"&amp;A116&amp;"'; "</f>
        <v xml:space="preserve">Update Project Set Library_name = '' , COADD_ID = 'CO-ADD:PC0107' where Project_ID = 'P0107'; </v>
      </c>
    </row>
    <row r="117" spans="1:17">
      <c r="A117" t="s">
        <v>6073</v>
      </c>
      <c r="C117" t="s">
        <v>5633</v>
      </c>
      <c r="D117" t="s">
        <v>820</v>
      </c>
      <c r="E117" t="s">
        <v>1070</v>
      </c>
      <c r="G117" t="s">
        <v>8932</v>
      </c>
      <c r="H117" t="s">
        <v>823</v>
      </c>
      <c r="I117" t="s">
        <v>253</v>
      </c>
      <c r="J117" t="s">
        <v>6072</v>
      </c>
      <c r="K117" t="s">
        <v>5828</v>
      </c>
      <c r="L117" t="s">
        <v>8177</v>
      </c>
      <c r="M117" t="s">
        <v>6071</v>
      </c>
      <c r="N117" s="2">
        <v>45657</v>
      </c>
      <c r="P117" t="str">
        <f>"Update Project Set Organisation = '"&amp;H117&amp;"' where Project_ID = '"&amp;A117&amp;"'; "</f>
        <v xml:space="preserve">Update Project Set Organisation = 'ETH Zurich' where Project_ID = 'P0108'; </v>
      </c>
      <c r="Q117" t="str">
        <f>"Update Project Set Library_name = '"&amp;L117&amp;"' , COADD_ID = '"&amp;M117&amp;"' where Project_ID = '"&amp;A117&amp;"'; "</f>
        <v xml:space="preserve">Update Project Set Library_name = 'ETH Zurich (Switzerland)' , COADD_ID = 'CO-ADD:PC0108' where Project_ID = 'P0108'; </v>
      </c>
    </row>
    <row r="118" spans="1:17">
      <c r="A118" t="s">
        <v>6075</v>
      </c>
      <c r="C118" t="s">
        <v>5633</v>
      </c>
      <c r="D118" t="s">
        <v>941</v>
      </c>
      <c r="E118" t="s">
        <v>940</v>
      </c>
      <c r="G118" t="s">
        <v>8898</v>
      </c>
      <c r="H118" t="s">
        <v>943</v>
      </c>
      <c r="I118" t="s">
        <v>117</v>
      </c>
      <c r="K118" t="s">
        <v>5828</v>
      </c>
      <c r="L118" t="s">
        <v>8178</v>
      </c>
      <c r="M118" t="s">
        <v>6074</v>
      </c>
      <c r="N118" s="2">
        <v>45657</v>
      </c>
      <c r="P118" t="str">
        <f>"Update Project Set Organisation = '"&amp;H118&amp;"' where Project_ID = '"&amp;A118&amp;"'; "</f>
        <v xml:space="preserve">Update Project Set Organisation = 'Boston University' where Project_ID = 'P0109'; </v>
      </c>
      <c r="Q118" t="str">
        <f>"Update Project Set Library_name = '"&amp;L118&amp;"' , COADD_ID = '"&amp;M118&amp;"' where Project_ID = '"&amp;A118&amp;"'; "</f>
        <v xml:space="preserve">Update Project Set Library_name = 'Boston University (United States)' , COADD_ID = 'CO-ADD:PC0109' where Project_ID = 'P0109'; </v>
      </c>
    </row>
    <row r="119" spans="1:17">
      <c r="A119" t="s">
        <v>6077</v>
      </c>
      <c r="C119" t="s">
        <v>5633</v>
      </c>
      <c r="D119" t="s">
        <v>853</v>
      </c>
      <c r="E119" t="s">
        <v>852</v>
      </c>
      <c r="G119" t="s">
        <v>9069</v>
      </c>
      <c r="H119" t="s">
        <v>857</v>
      </c>
      <c r="I119" t="s">
        <v>557</v>
      </c>
      <c r="K119" t="s">
        <v>5828</v>
      </c>
      <c r="L119" t="s">
        <v>8179</v>
      </c>
      <c r="M119" t="s">
        <v>6076</v>
      </c>
      <c r="N119" s="2">
        <v>45657</v>
      </c>
      <c r="P119" t="str">
        <f>"Update Project Set Organisation = '"&amp;H119&amp;"' where Project_ID = '"&amp;A119&amp;"'; "</f>
        <v xml:space="preserve">Update Project Set Organisation = 'RWTH Aachen University' where Project_ID = 'P0110'; </v>
      </c>
      <c r="Q119" t="str">
        <f>"Update Project Set Library_name = '"&amp;L119&amp;"' , COADD_ID = '"&amp;M119&amp;"' where Project_ID = '"&amp;A119&amp;"'; "</f>
        <v xml:space="preserve">Update Project Set Library_name = 'RWTH Aachen University (Germany)' , COADD_ID = 'CO-ADD:PC0110' where Project_ID = 'P0110'; </v>
      </c>
    </row>
    <row r="120" spans="1:17">
      <c r="A120" t="s">
        <v>6079</v>
      </c>
      <c r="C120" t="s">
        <v>5633</v>
      </c>
      <c r="D120" t="s">
        <v>2899</v>
      </c>
      <c r="E120" t="s">
        <v>2898</v>
      </c>
      <c r="G120" t="s">
        <v>9198</v>
      </c>
      <c r="H120" t="s">
        <v>362</v>
      </c>
      <c r="I120" t="s">
        <v>14</v>
      </c>
      <c r="K120" t="s">
        <v>5828</v>
      </c>
      <c r="L120" t="s">
        <v>5922</v>
      </c>
      <c r="M120" t="s">
        <v>6078</v>
      </c>
      <c r="N120" s="2">
        <v>45657</v>
      </c>
      <c r="P120" t="str">
        <f>"Update Project Set Organisation = '"&amp;H120&amp;"' where Project_ID = '"&amp;A120&amp;"'; "</f>
        <v xml:space="preserve">Update Project Set Organisation = 'University of Queensland' where Project_ID = 'P0111'; </v>
      </c>
      <c r="Q120" t="str">
        <f>"Update Project Set Library_name = '"&amp;L120&amp;"' , COADD_ID = '"&amp;M120&amp;"' where Project_ID = '"&amp;A120&amp;"'; "</f>
        <v xml:space="preserve">Update Project Set Library_name = 'University of Queensland (Australia)' , COADD_ID = 'CO-ADD:PC0111' where Project_ID = 'P0111'; </v>
      </c>
    </row>
    <row r="121" spans="1:17">
      <c r="A121" t="s">
        <v>6082</v>
      </c>
      <c r="C121" t="s">
        <v>5633</v>
      </c>
      <c r="D121" t="s">
        <v>2127</v>
      </c>
      <c r="E121" t="s">
        <v>2126</v>
      </c>
      <c r="G121" t="s">
        <v>9212</v>
      </c>
      <c r="H121" t="s">
        <v>2130</v>
      </c>
      <c r="I121" t="s">
        <v>355</v>
      </c>
      <c r="J121" t="s">
        <v>6081</v>
      </c>
      <c r="K121" t="s">
        <v>5843</v>
      </c>
      <c r="M121" t="s">
        <v>6080</v>
      </c>
      <c r="P121" t="str">
        <f>"Update Project Set Organisation = '"&amp;H121&amp;"' where Project_ID = '"&amp;A121&amp;"'; "</f>
        <v xml:space="preserve">Update Project Set Organisation = 'University of Siena' where Project_ID = 'P0112'; </v>
      </c>
      <c r="Q121" t="str">
        <f>"Update Project Set Library_name = '"&amp;L121&amp;"' , COADD_ID = '"&amp;M121&amp;"' where Project_ID = '"&amp;A121&amp;"'; "</f>
        <v xml:space="preserve">Update Project Set Library_name = '' , COADD_ID = 'CO-ADD:PC0112' where Project_ID = 'P0112'; </v>
      </c>
    </row>
    <row r="122" spans="1:17">
      <c r="A122" t="s">
        <v>6084</v>
      </c>
      <c r="C122" t="s">
        <v>5633</v>
      </c>
      <c r="D122" t="s">
        <v>3469</v>
      </c>
      <c r="E122" t="s">
        <v>3159</v>
      </c>
      <c r="F122" t="s">
        <v>5125</v>
      </c>
      <c r="G122" t="s">
        <v>9109</v>
      </c>
      <c r="H122" t="s">
        <v>3164</v>
      </c>
      <c r="I122" t="s">
        <v>75</v>
      </c>
      <c r="K122" t="s">
        <v>5806</v>
      </c>
      <c r="M122" t="s">
        <v>6083</v>
      </c>
      <c r="P122" t="str">
        <f>"Update Project Set Organisation = '"&amp;H122&amp;"' where Project_ID = '"&amp;A122&amp;"'; "</f>
        <v xml:space="preserve">Update Project Set Organisation = 'Université de Sherbrooke' where Project_ID = 'P0113'; </v>
      </c>
      <c r="Q122" t="str">
        <f>"Update Project Set Library_name = '"&amp;L122&amp;"' , COADD_ID = '"&amp;M122&amp;"' where Project_ID = '"&amp;A122&amp;"'; "</f>
        <v xml:space="preserve">Update Project Set Library_name = '' , COADD_ID = 'CO-ADD:PC0113' where Project_ID = 'P0113'; </v>
      </c>
    </row>
    <row r="123" spans="1:17">
      <c r="A123" t="s">
        <v>6086</v>
      </c>
      <c r="C123" t="s">
        <v>5633</v>
      </c>
      <c r="D123" t="s">
        <v>3477</v>
      </c>
      <c r="E123" t="s">
        <v>3476</v>
      </c>
      <c r="F123" t="s">
        <v>3782</v>
      </c>
      <c r="G123" t="s">
        <v>9262</v>
      </c>
      <c r="H123" t="s">
        <v>3480</v>
      </c>
      <c r="I123" t="s">
        <v>117</v>
      </c>
      <c r="K123" t="s">
        <v>5806</v>
      </c>
      <c r="M123" t="s">
        <v>6085</v>
      </c>
      <c r="P123" t="str">
        <f>"Update Project Set Organisation = '"&amp;H123&amp;"' where Project_ID = '"&amp;A123&amp;"'; "</f>
        <v xml:space="preserve">Update Project Set Organisation = 'Washington University in Saint Louis' where Project_ID = 'P0114'; </v>
      </c>
      <c r="Q123" t="str">
        <f>"Update Project Set Library_name = '"&amp;L123&amp;"' , COADD_ID = '"&amp;M123&amp;"' where Project_ID = '"&amp;A123&amp;"'; "</f>
        <v xml:space="preserve">Update Project Set Library_name = '' , COADD_ID = 'CO-ADD:PC0114' where Project_ID = 'P0114'; </v>
      </c>
    </row>
    <row r="124" spans="1:17">
      <c r="A124" t="s">
        <v>6088</v>
      </c>
      <c r="C124" t="s">
        <v>5633</v>
      </c>
      <c r="D124" t="s">
        <v>4878</v>
      </c>
      <c r="E124" t="s">
        <v>4877</v>
      </c>
      <c r="G124" t="s">
        <v>9005</v>
      </c>
      <c r="H124" t="s">
        <v>4880</v>
      </c>
      <c r="I124" t="s">
        <v>117</v>
      </c>
      <c r="J124" t="s">
        <v>6081</v>
      </c>
      <c r="K124" t="s">
        <v>5843</v>
      </c>
      <c r="M124" t="s">
        <v>6087</v>
      </c>
      <c r="P124" t="str">
        <f>"Update Project Set Organisation = '"&amp;H124&amp;"' where Project_ID = '"&amp;A124&amp;"'; "</f>
        <v xml:space="preserve">Update Project Set Organisation = 'Marshall B. Ketchum University' where Project_ID = 'P0115'; </v>
      </c>
      <c r="Q124" t="str">
        <f>"Update Project Set Library_name = '"&amp;L124&amp;"' , COADD_ID = '"&amp;M124&amp;"' where Project_ID = '"&amp;A124&amp;"'; "</f>
        <v xml:space="preserve">Update Project Set Library_name = '' , COADD_ID = 'CO-ADD:PC0115' where Project_ID = 'P0115'; </v>
      </c>
    </row>
    <row r="125" spans="1:17">
      <c r="A125" t="s">
        <v>6090</v>
      </c>
      <c r="C125" t="s">
        <v>5633</v>
      </c>
      <c r="D125" t="s">
        <v>4608</v>
      </c>
      <c r="E125" t="s">
        <v>4607</v>
      </c>
      <c r="G125" t="s">
        <v>9250</v>
      </c>
      <c r="H125" t="s">
        <v>4611</v>
      </c>
      <c r="I125" t="s">
        <v>557</v>
      </c>
      <c r="K125" t="s">
        <v>5828</v>
      </c>
      <c r="L125" t="s">
        <v>8170</v>
      </c>
      <c r="M125" t="s">
        <v>6089</v>
      </c>
      <c r="N125" s="2">
        <v>45657</v>
      </c>
      <c r="P125" t="str">
        <f>"Update Project Set Organisation = '"&amp;H125&amp;"' where Project_ID = '"&amp;A125&amp;"'; "</f>
        <v xml:space="preserve">Update Project Set Organisation = 'University-Hospital Schleswig-Holstein' where Project_ID = 'P0116'; </v>
      </c>
      <c r="Q125" t="str">
        <f>"Update Project Set Library_name = '"&amp;L125&amp;"' , COADD_ID = '"&amp;M125&amp;"' where Project_ID = '"&amp;A125&amp;"'; "</f>
        <v xml:space="preserve">Update Project Set Library_name = 'University-Hospital Schleswig-Holstein (Germany)' , COADD_ID = 'CO-ADD:PC0116' where Project_ID = 'P0116'; </v>
      </c>
    </row>
    <row r="126" spans="1:17">
      <c r="A126" t="s">
        <v>6092</v>
      </c>
      <c r="C126" t="s">
        <v>5633</v>
      </c>
      <c r="D126" t="s">
        <v>322</v>
      </c>
      <c r="E126" t="s">
        <v>321</v>
      </c>
      <c r="G126" t="s">
        <v>8881</v>
      </c>
      <c r="H126" t="s">
        <v>324</v>
      </c>
      <c r="I126" t="s">
        <v>117</v>
      </c>
      <c r="K126" t="s">
        <v>5828</v>
      </c>
      <c r="L126" t="s">
        <v>8166</v>
      </c>
      <c r="M126" t="s">
        <v>6091</v>
      </c>
      <c r="N126" s="2">
        <v>45657</v>
      </c>
      <c r="P126" t="str">
        <f>"Update Project Set Organisation = '"&amp;H126&amp;"' where Project_ID = '"&amp;A126&amp;"'; "</f>
        <v xml:space="preserve">Update Project Set Organisation = 'Arkansas State University Jonesboro' where Project_ID = 'P0117'; </v>
      </c>
      <c r="Q126" t="str">
        <f>"Update Project Set Library_name = '"&amp;L126&amp;"' , COADD_ID = '"&amp;M126&amp;"' where Project_ID = '"&amp;A126&amp;"'; "</f>
        <v xml:space="preserve">Update Project Set Library_name = 'Arkansas State University Jonesboro (United States)' , COADD_ID = 'CO-ADD:PC0117' where Project_ID = 'P0117'; </v>
      </c>
    </row>
    <row r="127" spans="1:17">
      <c r="A127" t="s">
        <v>6094</v>
      </c>
      <c r="C127" t="s">
        <v>5633</v>
      </c>
      <c r="D127" t="s">
        <v>1222</v>
      </c>
      <c r="E127" t="s">
        <v>1221</v>
      </c>
      <c r="G127" t="s">
        <v>9178</v>
      </c>
      <c r="H127" t="s">
        <v>1225</v>
      </c>
      <c r="I127" t="s">
        <v>14</v>
      </c>
      <c r="K127" t="s">
        <v>5843</v>
      </c>
      <c r="M127" t="s">
        <v>6093</v>
      </c>
      <c r="P127" t="str">
        <f>"Update Project Set Organisation = '"&amp;H127&amp;"' where Project_ID = '"&amp;A127&amp;"'; "</f>
        <v xml:space="preserve">Update Project Set Organisation = 'University of New South Wales, Australian Defence Force Academy (UNSW/ADFA)' where Project_ID = 'P0118'; </v>
      </c>
      <c r="Q127" t="str">
        <f>"Update Project Set Library_name = '"&amp;L127&amp;"' , COADD_ID = '"&amp;M127&amp;"' where Project_ID = '"&amp;A127&amp;"'; "</f>
        <v xml:space="preserve">Update Project Set Library_name = '' , COADD_ID = 'CO-ADD:PC0118' where Project_ID = 'P0118'; </v>
      </c>
    </row>
    <row r="128" spans="1:17">
      <c r="A128" t="s">
        <v>6096</v>
      </c>
      <c r="C128" t="s">
        <v>5633</v>
      </c>
      <c r="D128" t="s">
        <v>1488</v>
      </c>
      <c r="E128" t="s">
        <v>1221</v>
      </c>
      <c r="G128" t="s">
        <v>9179</v>
      </c>
      <c r="H128" t="s">
        <v>1225</v>
      </c>
      <c r="I128" t="s">
        <v>14</v>
      </c>
      <c r="K128" t="s">
        <v>5843</v>
      </c>
      <c r="M128" t="s">
        <v>6095</v>
      </c>
      <c r="P128" t="str">
        <f>"Update Project Set Organisation = '"&amp;H128&amp;"' where Project_ID = '"&amp;A128&amp;"'; "</f>
        <v xml:space="preserve">Update Project Set Organisation = 'University of New South Wales, Australian Defence Force Academy (UNSW/ADFA)' where Project_ID = 'P0119'; </v>
      </c>
      <c r="Q128" t="str">
        <f>"Update Project Set Library_name = '"&amp;L128&amp;"' , COADD_ID = '"&amp;M128&amp;"' where Project_ID = '"&amp;A128&amp;"'; "</f>
        <v xml:space="preserve">Update Project Set Library_name = '' , COADD_ID = 'CO-ADD:PC0119' where Project_ID = 'P0119'; </v>
      </c>
    </row>
    <row r="129" spans="1:17">
      <c r="A129" t="s">
        <v>6098</v>
      </c>
      <c r="C129" t="s">
        <v>5633</v>
      </c>
      <c r="D129" t="s">
        <v>448</v>
      </c>
      <c r="E129" t="s">
        <v>2398</v>
      </c>
      <c r="G129" t="s">
        <v>8900</v>
      </c>
      <c r="H129" t="s">
        <v>362</v>
      </c>
      <c r="I129" t="s">
        <v>14</v>
      </c>
      <c r="K129" t="s">
        <v>5828</v>
      </c>
      <c r="L129" t="s">
        <v>5922</v>
      </c>
      <c r="M129" t="s">
        <v>6097</v>
      </c>
      <c r="N129" s="2">
        <v>45657</v>
      </c>
      <c r="P129" t="str">
        <f>"Update Project Set Organisation = '"&amp;H129&amp;"' where Project_ID = '"&amp;A129&amp;"'; "</f>
        <v xml:space="preserve">Update Project Set Organisation = 'University of Queensland' where Project_ID = 'P0120'; </v>
      </c>
      <c r="Q129" t="str">
        <f>"Update Project Set Library_name = '"&amp;L129&amp;"' , COADD_ID = '"&amp;M129&amp;"' where Project_ID = '"&amp;A129&amp;"'; "</f>
        <v xml:space="preserve">Update Project Set Library_name = 'University of Queensland (Australia)' , COADD_ID = 'CO-ADD:PC0120' where Project_ID = 'P0120'; </v>
      </c>
    </row>
    <row r="130" spans="1:17">
      <c r="A130" t="s">
        <v>6100</v>
      </c>
      <c r="C130" t="s">
        <v>5633</v>
      </c>
      <c r="D130" t="s">
        <v>2343</v>
      </c>
      <c r="E130" t="s">
        <v>2342</v>
      </c>
      <c r="G130" t="s">
        <v>9044</v>
      </c>
      <c r="H130" t="s">
        <v>2345</v>
      </c>
      <c r="I130" t="s">
        <v>269</v>
      </c>
      <c r="K130" t="s">
        <v>5843</v>
      </c>
      <c r="M130" t="s">
        <v>6099</v>
      </c>
      <c r="P130" t="str">
        <f>"Update Project Set Organisation = '"&amp;H130&amp;"' where Project_ID = '"&amp;A130&amp;"'; "</f>
        <v xml:space="preserve">Update Project Set Organisation = 'Newcastle University' where Project_ID = 'P0121'; </v>
      </c>
      <c r="Q130" t="str">
        <f>"Update Project Set Library_name = '"&amp;L130&amp;"' , COADD_ID = '"&amp;M130&amp;"' where Project_ID = '"&amp;A130&amp;"'; "</f>
        <v xml:space="preserve">Update Project Set Library_name = '' , COADD_ID = 'CO-ADD:PC0121' where Project_ID = 'P0121'; </v>
      </c>
    </row>
    <row r="131" spans="1:17">
      <c r="A131" t="s">
        <v>6102</v>
      </c>
      <c r="C131" t="s">
        <v>5633</v>
      </c>
      <c r="D131" t="s">
        <v>1558</v>
      </c>
      <c r="E131" t="s">
        <v>3697</v>
      </c>
      <c r="F131" t="s">
        <v>3265</v>
      </c>
      <c r="G131" t="s">
        <v>9042</v>
      </c>
      <c r="H131" t="s">
        <v>1560</v>
      </c>
      <c r="I131" t="s">
        <v>459</v>
      </c>
      <c r="K131" t="s">
        <v>5843</v>
      </c>
      <c r="M131" t="s">
        <v>6101</v>
      </c>
      <c r="P131" t="str">
        <f>"Update Project Set Organisation = '"&amp;H131&amp;"' where Project_ID = '"&amp;A131&amp;"'; "</f>
        <v xml:space="preserve">Update Project Set Organisation = 'National University of Singapore (NUS)' where Project_ID = 'P0122'; </v>
      </c>
      <c r="Q131" t="str">
        <f>"Update Project Set Library_name = '"&amp;L131&amp;"' , COADD_ID = '"&amp;M131&amp;"' where Project_ID = '"&amp;A131&amp;"'; "</f>
        <v xml:space="preserve">Update Project Set Library_name = '' , COADD_ID = 'CO-ADD:PC0122' where Project_ID = 'P0122'; </v>
      </c>
    </row>
    <row r="132" spans="1:17">
      <c r="A132" t="s">
        <v>6104</v>
      </c>
      <c r="C132" t="s">
        <v>5633</v>
      </c>
      <c r="D132" t="s">
        <v>3233</v>
      </c>
      <c r="E132" t="s">
        <v>3232</v>
      </c>
      <c r="F132" t="s">
        <v>2892</v>
      </c>
      <c r="G132" t="s">
        <v>9014</v>
      </c>
      <c r="H132" t="s">
        <v>2146</v>
      </c>
      <c r="I132" t="s">
        <v>75</v>
      </c>
      <c r="K132" t="s">
        <v>5828</v>
      </c>
      <c r="L132" t="s">
        <v>8176</v>
      </c>
      <c r="M132" t="s">
        <v>6103</v>
      </c>
      <c r="N132" s="2">
        <v>45657</v>
      </c>
      <c r="P132" t="str">
        <f>"Update Project Set Organisation = '"&amp;H132&amp;"' where Project_ID = '"&amp;A132&amp;"'; "</f>
        <v xml:space="preserve">Update Project Set Organisation = 'Memorial University of Newfoundland' where Project_ID = 'P0123'; </v>
      </c>
      <c r="Q132" t="str">
        <f>"Update Project Set Library_name = '"&amp;L132&amp;"' , COADD_ID = '"&amp;M132&amp;"' where Project_ID = '"&amp;A132&amp;"'; "</f>
        <v xml:space="preserve">Update Project Set Library_name = 'Memorial University of Newfoundland (Canada)' , COADD_ID = 'CO-ADD:PC0123' where Project_ID = 'P0123'; </v>
      </c>
    </row>
    <row r="133" spans="1:17">
      <c r="A133" t="s">
        <v>6107</v>
      </c>
      <c r="C133" t="s">
        <v>5633</v>
      </c>
      <c r="D133" t="s">
        <v>3460</v>
      </c>
      <c r="E133" t="s">
        <v>3459</v>
      </c>
      <c r="G133" t="s">
        <v>8972</v>
      </c>
      <c r="H133" t="s">
        <v>3463</v>
      </c>
      <c r="I133" t="s">
        <v>1256</v>
      </c>
      <c r="J133" t="s">
        <v>6106</v>
      </c>
      <c r="K133" t="s">
        <v>5843</v>
      </c>
      <c r="M133" t="s">
        <v>6105</v>
      </c>
      <c r="P133" t="str">
        <f>"Update Project Set Organisation = '"&amp;H133&amp;"' where Project_ID = '"&amp;A133&amp;"'; "</f>
        <v xml:space="preserve">Update Project Set Organisation = 'Instituto de Química Orgánica General (CSIC)' where Project_ID = 'P0124'; </v>
      </c>
      <c r="Q133" t="str">
        <f>"Update Project Set Library_name = '"&amp;L133&amp;"' , COADD_ID = '"&amp;M133&amp;"' where Project_ID = '"&amp;A133&amp;"'; "</f>
        <v xml:space="preserve">Update Project Set Library_name = '' , COADD_ID = 'CO-ADD:PC0124' where Project_ID = 'P0124'; </v>
      </c>
    </row>
    <row r="134" spans="1:17">
      <c r="A134" t="s">
        <v>6109</v>
      </c>
      <c r="C134" t="s">
        <v>5633</v>
      </c>
      <c r="D134" t="s">
        <v>3524</v>
      </c>
      <c r="E134" t="s">
        <v>3523</v>
      </c>
      <c r="G134" t="s">
        <v>8923</v>
      </c>
      <c r="H134" t="s">
        <v>3526</v>
      </c>
      <c r="I134" t="s">
        <v>14</v>
      </c>
      <c r="K134" t="s">
        <v>5828</v>
      </c>
      <c r="L134" t="s">
        <v>8180</v>
      </c>
      <c r="M134" t="s">
        <v>6108</v>
      </c>
      <c r="N134" s="2">
        <v>45657</v>
      </c>
      <c r="P134" t="str">
        <f>"Update Project Set Organisation = '"&amp;H134&amp;"' where Project_ID = '"&amp;A134&amp;"'; "</f>
        <v xml:space="preserve">Update Project Set Organisation = 'Curtin University' where Project_ID = 'P0125'; </v>
      </c>
      <c r="Q134" t="str">
        <f>"Update Project Set Library_name = '"&amp;L134&amp;"' , COADD_ID = '"&amp;M134&amp;"' where Project_ID = '"&amp;A134&amp;"'; "</f>
        <v xml:space="preserve">Update Project Set Library_name = 'Curtin University (Australia)' , COADD_ID = 'CO-ADD:PC0125' where Project_ID = 'P0125'; </v>
      </c>
    </row>
    <row r="135" spans="1:17">
      <c r="A135" t="s">
        <v>6112</v>
      </c>
      <c r="B135" t="s">
        <v>6111</v>
      </c>
      <c r="C135" t="s">
        <v>5633</v>
      </c>
      <c r="D135" t="s">
        <v>1239</v>
      </c>
      <c r="E135" t="s">
        <v>1238</v>
      </c>
      <c r="G135" t="s">
        <v>9114</v>
      </c>
      <c r="H135" t="s">
        <v>1243</v>
      </c>
      <c r="I135" t="s">
        <v>704</v>
      </c>
      <c r="K135" t="s">
        <v>5828</v>
      </c>
      <c r="L135" t="s">
        <v>8181</v>
      </c>
      <c r="M135" t="s">
        <v>6110</v>
      </c>
      <c r="N135" s="2">
        <v>45657</v>
      </c>
      <c r="P135" t="str">
        <f>"Update Project Set Organisation = '"&amp;H135&amp;"' where Project_ID = '"&amp;A135&amp;"'; "</f>
        <v xml:space="preserve">Update Project Set Organisation = 'Université Lyon 1' where Project_ID = 'P0126'; </v>
      </c>
      <c r="Q135" t="str">
        <f>"Update Project Set Library_name = '"&amp;L135&amp;"' , COADD_ID = '"&amp;M135&amp;"' where Project_ID = '"&amp;A135&amp;"'; "</f>
        <v xml:space="preserve">Update Project Set Library_name = 'Université Lyon 1 (France)' , COADD_ID = 'CO-ADD:PC0126' where Project_ID = 'P0126'; </v>
      </c>
    </row>
    <row r="136" spans="1:17">
      <c r="A136" t="s">
        <v>6115</v>
      </c>
      <c r="B136" t="s">
        <v>6114</v>
      </c>
      <c r="C136" t="s">
        <v>5633</v>
      </c>
      <c r="D136" t="s">
        <v>1239</v>
      </c>
      <c r="E136" t="s">
        <v>1238</v>
      </c>
      <c r="G136" t="s">
        <v>9114</v>
      </c>
      <c r="H136" t="s">
        <v>1243</v>
      </c>
      <c r="I136" t="s">
        <v>704</v>
      </c>
      <c r="K136" t="s">
        <v>5828</v>
      </c>
      <c r="L136" t="s">
        <v>8181</v>
      </c>
      <c r="M136" t="s">
        <v>6113</v>
      </c>
      <c r="N136" s="2">
        <v>45657</v>
      </c>
      <c r="P136" t="str">
        <f>"Update Project Set Organisation = '"&amp;H136&amp;"' where Project_ID = '"&amp;A136&amp;"'; "</f>
        <v xml:space="preserve">Update Project Set Organisation = 'Université Lyon 1' where Project_ID = 'P0127'; </v>
      </c>
      <c r="Q136" t="str">
        <f>"Update Project Set Library_name = '"&amp;L136&amp;"' , COADD_ID = '"&amp;M136&amp;"' where Project_ID = '"&amp;A136&amp;"'; "</f>
        <v xml:space="preserve">Update Project Set Library_name = 'Université Lyon 1 (France)' , COADD_ID = 'CO-ADD:PC0127' where Project_ID = 'P0127'; </v>
      </c>
    </row>
    <row r="137" spans="1:17">
      <c r="A137" t="s">
        <v>6117</v>
      </c>
      <c r="C137" t="s">
        <v>5633</v>
      </c>
      <c r="D137" t="s">
        <v>988</v>
      </c>
      <c r="E137" t="s">
        <v>4890</v>
      </c>
      <c r="G137" t="s">
        <v>9134</v>
      </c>
      <c r="H137" t="s">
        <v>991</v>
      </c>
      <c r="I137" t="s">
        <v>269</v>
      </c>
      <c r="K137" t="s">
        <v>5806</v>
      </c>
      <c r="M137" t="s">
        <v>6116</v>
      </c>
      <c r="P137" t="str">
        <f>"Update Project Set Organisation = '"&amp;H137&amp;"' where Project_ID = '"&amp;A137&amp;"'; "</f>
        <v xml:space="preserve">Update Project Set Organisation = 'University of Bath' where Project_ID = 'P0128'; </v>
      </c>
      <c r="Q137" t="str">
        <f>"Update Project Set Library_name = '"&amp;L137&amp;"' , COADD_ID = '"&amp;M137&amp;"' where Project_ID = '"&amp;A137&amp;"'; "</f>
        <v xml:space="preserve">Update Project Set Library_name = '' , COADD_ID = 'CO-ADD:PC0128' where Project_ID = 'P0128'; </v>
      </c>
    </row>
    <row r="138" spans="1:17">
      <c r="A138" t="s">
        <v>6120</v>
      </c>
      <c r="C138" t="s">
        <v>5633</v>
      </c>
      <c r="D138" t="s">
        <v>3312</v>
      </c>
      <c r="E138" t="s">
        <v>5231</v>
      </c>
      <c r="F138" t="s">
        <v>4964</v>
      </c>
      <c r="G138" t="s">
        <v>9049</v>
      </c>
      <c r="H138" t="s">
        <v>3315</v>
      </c>
      <c r="I138" t="s">
        <v>1600</v>
      </c>
      <c r="J138" t="s">
        <v>6119</v>
      </c>
      <c r="K138" t="s">
        <v>5828</v>
      </c>
      <c r="L138" t="s">
        <v>8182</v>
      </c>
      <c r="M138" t="s">
        <v>6118</v>
      </c>
      <c r="N138" s="2">
        <v>45657</v>
      </c>
      <c r="P138" t="str">
        <f>"Update Project Set Organisation = '"&amp;H138&amp;"' where Project_ID = '"&amp;A138&amp;"'; "</f>
        <v xml:space="preserve">Update Project Set Organisation = 'Novosibirsk Institute of Organic Chemistry' where Project_ID = 'P0129'; </v>
      </c>
      <c r="Q138" t="str">
        <f>"Update Project Set Library_name = '"&amp;L138&amp;"' , COADD_ID = '"&amp;M138&amp;"' where Project_ID = '"&amp;A138&amp;"'; "</f>
        <v xml:space="preserve">Update Project Set Library_name = 'Novosibirsk Institute of Organic Chemistry (Russia)' , COADD_ID = 'CO-ADD:PC0129' where Project_ID = 'P0129'; </v>
      </c>
    </row>
    <row r="139" spans="1:17">
      <c r="A139" t="s">
        <v>6122</v>
      </c>
      <c r="C139" t="s">
        <v>5633</v>
      </c>
      <c r="D139" t="s">
        <v>3085</v>
      </c>
      <c r="E139" t="s">
        <v>3084</v>
      </c>
      <c r="F139" t="s">
        <v>3678</v>
      </c>
      <c r="G139" t="s">
        <v>9050</v>
      </c>
      <c r="H139" t="s">
        <v>3088</v>
      </c>
      <c r="I139" t="s">
        <v>211</v>
      </c>
      <c r="K139" t="s">
        <v>5828</v>
      </c>
      <c r="L139" t="s">
        <v>8183</v>
      </c>
      <c r="M139" t="s">
        <v>6121</v>
      </c>
      <c r="N139" s="2">
        <v>45657</v>
      </c>
      <c r="P139" t="str">
        <f>"Update Project Set Organisation = '"&amp;H139&amp;"' where Project_ID = '"&amp;A139&amp;"'; "</f>
        <v xml:space="preserve">Update Project Set Organisation = 'NSHM College of Pharmaceutical Technology' where Project_ID = 'P0130'; </v>
      </c>
      <c r="Q139" t="str">
        <f>"Update Project Set Library_name = '"&amp;L139&amp;"' , COADD_ID = '"&amp;M139&amp;"' where Project_ID = '"&amp;A139&amp;"'; "</f>
        <v xml:space="preserve">Update Project Set Library_name = 'NSHM College of Pharmaceutical Technology (India)' , COADD_ID = 'CO-ADD:PC0130' where Project_ID = 'P0130'; </v>
      </c>
    </row>
    <row r="140" spans="1:17">
      <c r="A140" t="s">
        <v>6125</v>
      </c>
      <c r="C140" t="s">
        <v>5633</v>
      </c>
      <c r="D140" t="s">
        <v>1276</v>
      </c>
      <c r="E140" t="s">
        <v>1275</v>
      </c>
      <c r="G140" t="s">
        <v>8993</v>
      </c>
      <c r="H140" t="s">
        <v>1279</v>
      </c>
      <c r="I140" t="s">
        <v>269</v>
      </c>
      <c r="K140" t="s">
        <v>5828</v>
      </c>
      <c r="L140" t="s">
        <v>6124</v>
      </c>
      <c r="M140" t="s">
        <v>6123</v>
      </c>
      <c r="N140" s="2">
        <v>43617</v>
      </c>
      <c r="P140" t="str">
        <f>"Update Project Set Organisation = '"&amp;H140&amp;"' where Project_ID = '"&amp;A140&amp;"'; "</f>
        <v xml:space="preserve">Update Project Set Organisation = 'Lancaster University' where Project_ID = 'P0131'; </v>
      </c>
      <c r="Q140" t="str">
        <f>"Update Project Set Library_name = '"&amp;L140&amp;"' , COADD_ID = '"&amp;M140&amp;"' where Project_ID = '"&amp;A140&amp;"'; "</f>
        <v xml:space="preserve">Update Project Set Library_name = 'Lancaster University (UK)' , COADD_ID = 'CO-ADD:PC0131' where Project_ID = 'P0131'; </v>
      </c>
    </row>
    <row r="141" spans="1:17">
      <c r="A141" t="s">
        <v>6127</v>
      </c>
      <c r="C141" t="s">
        <v>5633</v>
      </c>
      <c r="D141" t="s">
        <v>4177</v>
      </c>
      <c r="E141" t="s">
        <v>4934</v>
      </c>
      <c r="G141" t="s">
        <v>9135</v>
      </c>
      <c r="H141" t="s">
        <v>991</v>
      </c>
      <c r="I141" t="s">
        <v>269</v>
      </c>
      <c r="K141" t="s">
        <v>5843</v>
      </c>
      <c r="M141" t="s">
        <v>6126</v>
      </c>
      <c r="P141" t="str">
        <f>"Update Project Set Organisation = '"&amp;H141&amp;"' where Project_ID = '"&amp;A141&amp;"'; "</f>
        <v xml:space="preserve">Update Project Set Organisation = 'University of Bath' where Project_ID = 'P0132'; </v>
      </c>
      <c r="Q141" t="str">
        <f>"Update Project Set Library_name = '"&amp;L141&amp;"' , COADD_ID = '"&amp;M141&amp;"' where Project_ID = '"&amp;A141&amp;"'; "</f>
        <v xml:space="preserve">Update Project Set Library_name = '' , COADD_ID = 'CO-ADD:PC0132' where Project_ID = 'P0132'; </v>
      </c>
    </row>
    <row r="142" spans="1:17">
      <c r="A142" t="s">
        <v>6129</v>
      </c>
      <c r="C142" t="s">
        <v>5633</v>
      </c>
      <c r="D142" t="s">
        <v>4782</v>
      </c>
      <c r="E142" t="s">
        <v>4872</v>
      </c>
      <c r="F142" t="s">
        <v>4781</v>
      </c>
      <c r="G142" t="s">
        <v>8940</v>
      </c>
      <c r="H142" t="s">
        <v>4784</v>
      </c>
      <c r="I142" t="s">
        <v>117</v>
      </c>
      <c r="K142" t="s">
        <v>5843</v>
      </c>
      <c r="M142" t="s">
        <v>6128</v>
      </c>
      <c r="P142" t="str">
        <f>"Update Project Set Organisation = '"&amp;H142&amp;"' where Project_ID = '"&amp;A142&amp;"'; "</f>
        <v xml:space="preserve">Update Project Set Organisation = 'Georgia Institute of Technology' where Project_ID = 'P0133'; </v>
      </c>
      <c r="Q142" t="str">
        <f>"Update Project Set Library_name = '"&amp;L142&amp;"' , COADD_ID = '"&amp;M142&amp;"' where Project_ID = '"&amp;A142&amp;"'; "</f>
        <v xml:space="preserve">Update Project Set Library_name = '' , COADD_ID = 'CO-ADD:PC0133' where Project_ID = 'P0133'; </v>
      </c>
    </row>
    <row r="143" spans="1:17">
      <c r="A143" t="s">
        <v>6131</v>
      </c>
      <c r="C143" t="s">
        <v>5633</v>
      </c>
      <c r="D143" t="s">
        <v>812</v>
      </c>
      <c r="E143" t="s">
        <v>1128</v>
      </c>
      <c r="F143" t="s">
        <v>1128</v>
      </c>
      <c r="G143" t="s">
        <v>8958</v>
      </c>
      <c r="H143" t="s">
        <v>815</v>
      </c>
      <c r="I143" t="s">
        <v>269</v>
      </c>
      <c r="K143" t="s">
        <v>5828</v>
      </c>
      <c r="L143" t="s">
        <v>8161</v>
      </c>
      <c r="M143" t="s">
        <v>6130</v>
      </c>
      <c r="N143" s="2">
        <v>45657</v>
      </c>
      <c r="P143" t="str">
        <f>"Update Project Set Organisation = '"&amp;H143&amp;"' where Project_ID = '"&amp;A143&amp;"'; "</f>
        <v xml:space="preserve">Update Project Set Organisation = 'Imperial College London' where Project_ID = 'P0134'; </v>
      </c>
      <c r="Q143" t="str">
        <f>"Update Project Set Library_name = '"&amp;L143&amp;"' , COADD_ID = '"&amp;M143&amp;"' where Project_ID = '"&amp;A143&amp;"'; "</f>
        <v xml:space="preserve">Update Project Set Library_name = 'Imperial College London (United Kingdom)' , COADD_ID = 'CO-ADD:PC0134' where Project_ID = 'P0134'; </v>
      </c>
    </row>
    <row r="144" spans="1:17">
      <c r="A144" t="s">
        <v>6133</v>
      </c>
      <c r="C144" t="s">
        <v>5633</v>
      </c>
      <c r="D144" t="s">
        <v>1725</v>
      </c>
      <c r="E144" t="s">
        <v>1896</v>
      </c>
      <c r="G144" t="s">
        <v>8965</v>
      </c>
      <c r="H144" t="s">
        <v>8152</v>
      </c>
      <c r="I144" t="s">
        <v>1256</v>
      </c>
      <c r="K144" t="s">
        <v>5828</v>
      </c>
      <c r="L144" t="s">
        <v>8184</v>
      </c>
      <c r="M144" t="s">
        <v>6132</v>
      </c>
      <c r="N144" s="2">
        <v>45657</v>
      </c>
      <c r="P144" t="str">
        <f>"Update Project Set Organisation = '"&amp;H144&amp;"' where Project_ID = '"&amp;A144&amp;"'; "</f>
        <v xml:space="preserve">Update Project Set Organisation = 'Institut Català Investigació Química (ICIQ)' where Project_ID = 'P0135'; </v>
      </c>
      <c r="Q144" t="str">
        <f>"Update Project Set Library_name = '"&amp;L144&amp;"' , COADD_ID = '"&amp;M144&amp;"' where Project_ID = '"&amp;A144&amp;"'; "</f>
        <v xml:space="preserve">Update Project Set Library_name = 'Institut Català Investigació Química (ICIQ) (Spain)' , COADD_ID = 'CO-ADD:PC0135' where Project_ID = 'P0135'; </v>
      </c>
    </row>
    <row r="145" spans="1:17">
      <c r="A145" t="s">
        <v>6135</v>
      </c>
      <c r="C145" t="s">
        <v>5633</v>
      </c>
      <c r="D145" t="s">
        <v>4295</v>
      </c>
      <c r="E145" t="s">
        <v>4294</v>
      </c>
      <c r="G145" t="s">
        <v>8902</v>
      </c>
      <c r="H145" t="s">
        <v>4297</v>
      </c>
      <c r="I145" t="s">
        <v>211</v>
      </c>
      <c r="K145" t="s">
        <v>5837</v>
      </c>
      <c r="M145" t="s">
        <v>6134</v>
      </c>
      <c r="P145" t="str">
        <f>"Update Project Set Organisation = '"&amp;H145&amp;"' where Project_ID = '"&amp;A145&amp;"'; "</f>
        <v xml:space="preserve">Update Project Set Organisation = 'C.E.S College of Pharmacy' where Project_ID = 'P0136'; </v>
      </c>
      <c r="Q145" t="str">
        <f>"Update Project Set Library_name = '"&amp;L145&amp;"' , COADD_ID = '"&amp;M145&amp;"' where Project_ID = '"&amp;A145&amp;"'; "</f>
        <v xml:space="preserve">Update Project Set Library_name = '' , COADD_ID = 'CO-ADD:PC0136' where Project_ID = 'P0136'; </v>
      </c>
    </row>
    <row r="146" spans="1:17">
      <c r="A146" t="s">
        <v>6137</v>
      </c>
      <c r="C146" t="s">
        <v>5633</v>
      </c>
      <c r="D146" t="s">
        <v>3873</v>
      </c>
      <c r="E146" t="s">
        <v>5014</v>
      </c>
      <c r="F146" t="s">
        <v>3872</v>
      </c>
      <c r="G146" t="s">
        <v>9121</v>
      </c>
      <c r="H146" t="s">
        <v>3876</v>
      </c>
      <c r="I146" t="s">
        <v>1235</v>
      </c>
      <c r="K146" t="s">
        <v>5828</v>
      </c>
      <c r="L146" t="s">
        <v>8185</v>
      </c>
      <c r="M146" t="s">
        <v>6136</v>
      </c>
      <c r="N146" s="2">
        <v>45657</v>
      </c>
      <c r="P146" t="str">
        <f>"Update Project Set Organisation = '"&amp;H146&amp;"' where Project_ID = '"&amp;A146&amp;"'; "</f>
        <v xml:space="preserve">Update Project Set Organisation = 'University College Dublin' where Project_ID = 'P0137'; </v>
      </c>
      <c r="Q146" t="str">
        <f>"Update Project Set Library_name = '"&amp;L146&amp;"' , COADD_ID = '"&amp;M146&amp;"' where Project_ID = '"&amp;A146&amp;"'; "</f>
        <v xml:space="preserve">Update Project Set Library_name = 'University College Dublin (Ireland)' , COADD_ID = 'CO-ADD:PC0137' where Project_ID = 'P0137'; </v>
      </c>
    </row>
    <row r="147" spans="1:17">
      <c r="A147" t="s">
        <v>6139</v>
      </c>
      <c r="C147" t="s">
        <v>5633</v>
      </c>
      <c r="D147" t="s">
        <v>2961</v>
      </c>
      <c r="E147" t="s">
        <v>2960</v>
      </c>
      <c r="G147" t="s">
        <v>9160</v>
      </c>
      <c r="H147" t="s">
        <v>2965</v>
      </c>
      <c r="I147" t="s">
        <v>269</v>
      </c>
      <c r="K147" t="s">
        <v>5837</v>
      </c>
      <c r="M147" t="s">
        <v>6138</v>
      </c>
      <c r="P147" t="str">
        <f>"Update Project Set Organisation = '"&amp;H147&amp;"' where Project_ID = '"&amp;A147&amp;"'; "</f>
        <v xml:space="preserve">Update Project Set Organisation = 'University of Loughborough' where Project_ID = 'P0138'; </v>
      </c>
      <c r="Q147" t="str">
        <f>"Update Project Set Library_name = '"&amp;L147&amp;"' , COADD_ID = '"&amp;M147&amp;"' where Project_ID = '"&amp;A147&amp;"'; "</f>
        <v xml:space="preserve">Update Project Set Library_name = '' , COADD_ID = 'CO-ADD:PC0138' where Project_ID = 'P0138'; </v>
      </c>
    </row>
    <row r="148" spans="1:17">
      <c r="A148" t="s">
        <v>6142</v>
      </c>
      <c r="C148" t="s">
        <v>5633</v>
      </c>
      <c r="D148" t="s">
        <v>68</v>
      </c>
      <c r="E148" t="s">
        <v>256</v>
      </c>
      <c r="G148" t="s">
        <v>9191</v>
      </c>
      <c r="H148" t="s">
        <v>72</v>
      </c>
      <c r="I148" t="s">
        <v>75</v>
      </c>
      <c r="J148" t="s">
        <v>6141</v>
      </c>
      <c r="K148" t="s">
        <v>5837</v>
      </c>
      <c r="M148" t="s">
        <v>6140</v>
      </c>
      <c r="P148" t="str">
        <f>"Update Project Set Organisation = '"&amp;H148&amp;"' where Project_ID = '"&amp;A148&amp;"'; "</f>
        <v xml:space="preserve">Update Project Set Organisation = 'University of Prince Edward Island' where Project_ID = 'P0139'; </v>
      </c>
      <c r="Q148" t="str">
        <f>"Update Project Set Library_name = '"&amp;L148&amp;"' , COADD_ID = '"&amp;M148&amp;"' where Project_ID = '"&amp;A148&amp;"'; "</f>
        <v xml:space="preserve">Update Project Set Library_name = '' , COADD_ID = 'CO-ADD:PC0139' where Project_ID = 'P0139'; </v>
      </c>
    </row>
    <row r="149" spans="1:17">
      <c r="A149" t="s">
        <v>6144</v>
      </c>
      <c r="C149" t="s">
        <v>5633</v>
      </c>
      <c r="D149" t="s">
        <v>2872</v>
      </c>
      <c r="E149" t="s">
        <v>5020</v>
      </c>
      <c r="G149" t="s">
        <v>9245</v>
      </c>
      <c r="H149" t="s">
        <v>1422</v>
      </c>
      <c r="I149" t="s">
        <v>14</v>
      </c>
      <c r="K149" t="s">
        <v>5806</v>
      </c>
      <c r="M149" t="s">
        <v>6143</v>
      </c>
      <c r="P149" t="str">
        <f>"Update Project Set Organisation = '"&amp;H149&amp;"' where Project_ID = '"&amp;A149&amp;"'; "</f>
        <v xml:space="preserve">Update Project Set Organisation = 'University of Wollongong' where Project_ID = 'P0140'; </v>
      </c>
      <c r="Q149" t="str">
        <f>"Update Project Set Library_name = '"&amp;L149&amp;"' , COADD_ID = '"&amp;M149&amp;"' where Project_ID = '"&amp;A149&amp;"'; "</f>
        <v xml:space="preserve">Update Project Set Library_name = '' , COADD_ID = 'CO-ADD:PC0140' where Project_ID = 'P0140'; </v>
      </c>
    </row>
    <row r="150" spans="1:17">
      <c r="A150" t="s">
        <v>6146</v>
      </c>
      <c r="C150" t="s">
        <v>5633</v>
      </c>
      <c r="D150" t="s">
        <v>2794</v>
      </c>
      <c r="E150" t="s">
        <v>2793</v>
      </c>
      <c r="G150" t="s">
        <v>8922</v>
      </c>
      <c r="H150" t="s">
        <v>2796</v>
      </c>
      <c r="I150" t="s">
        <v>211</v>
      </c>
      <c r="K150" t="s">
        <v>5843</v>
      </c>
      <c r="M150" t="s">
        <v>6145</v>
      </c>
      <c r="P150" t="str">
        <f>"Update Project Set Organisation = '"&amp;H150&amp;"' where Project_ID = '"&amp;A150&amp;"'; "</f>
        <v xml:space="preserve">Update Project Set Organisation = 'CSIR-Indian Institute of Chemical Technology' where Project_ID = 'P0141'; </v>
      </c>
      <c r="Q150" t="str">
        <f>"Update Project Set Library_name = '"&amp;L150&amp;"' , COADD_ID = '"&amp;M150&amp;"' where Project_ID = '"&amp;A150&amp;"'; "</f>
        <v xml:space="preserve">Update Project Set Library_name = '' , COADD_ID = 'CO-ADD:PC0141' where Project_ID = 'P0141'; </v>
      </c>
    </row>
    <row r="151" spans="1:17">
      <c r="A151" t="s">
        <v>6148</v>
      </c>
      <c r="C151" t="s">
        <v>5633</v>
      </c>
      <c r="D151" t="s">
        <v>3293</v>
      </c>
      <c r="E151" t="s">
        <v>5400</v>
      </c>
      <c r="G151" t="s">
        <v>9054</v>
      </c>
      <c r="H151" t="s">
        <v>3296</v>
      </c>
      <c r="I151" t="s">
        <v>748</v>
      </c>
      <c r="K151" t="s">
        <v>5843</v>
      </c>
      <c r="M151" t="s">
        <v>6147</v>
      </c>
      <c r="P151" t="str">
        <f>"Update Project Set Organisation = '"&amp;H151&amp;"' where Project_ID = '"&amp;A151&amp;"'; "</f>
        <v xml:space="preserve">Update Project Set Organisation = 'Peking University' where Project_ID = 'P0142'; </v>
      </c>
      <c r="Q151" t="str">
        <f>"Update Project Set Library_name = '"&amp;L151&amp;"' , COADD_ID = '"&amp;M151&amp;"' where Project_ID = '"&amp;A151&amp;"'; "</f>
        <v xml:space="preserve">Update Project Set Library_name = '' , COADD_ID = 'CO-ADD:PC0142' where Project_ID = 'P0142'; </v>
      </c>
    </row>
    <row r="152" spans="1:17">
      <c r="A152" t="s">
        <v>6150</v>
      </c>
      <c r="C152" t="s">
        <v>5633</v>
      </c>
      <c r="D152" t="s">
        <v>1749</v>
      </c>
      <c r="E152" t="s">
        <v>1748</v>
      </c>
      <c r="G152" t="s">
        <v>9037</v>
      </c>
      <c r="H152" t="s">
        <v>1752</v>
      </c>
      <c r="I152" t="s">
        <v>55</v>
      </c>
      <c r="K152" t="s">
        <v>5837</v>
      </c>
      <c r="M152" t="s">
        <v>6149</v>
      </c>
      <c r="P152" t="str">
        <f>"Update Project Set Organisation = '"&amp;H152&amp;"' where Project_ID = '"&amp;A152&amp;"'; "</f>
        <v xml:space="preserve">Update Project Set Organisation = 'National Research Centre' where Project_ID = 'P0143'; </v>
      </c>
      <c r="Q152" t="str">
        <f>"Update Project Set Library_name = '"&amp;L152&amp;"' , COADD_ID = '"&amp;M152&amp;"' where Project_ID = '"&amp;A152&amp;"'; "</f>
        <v xml:space="preserve">Update Project Set Library_name = '' , COADD_ID = 'CO-ADD:PC0143' where Project_ID = 'P0143'; </v>
      </c>
    </row>
    <row r="153" spans="1:17">
      <c r="A153" t="s">
        <v>6153</v>
      </c>
      <c r="C153" t="s">
        <v>5633</v>
      </c>
      <c r="D153" t="s">
        <v>2202</v>
      </c>
      <c r="E153" t="s">
        <v>2201</v>
      </c>
      <c r="F153" t="s">
        <v>4060</v>
      </c>
      <c r="G153" t="s">
        <v>8918</v>
      </c>
      <c r="H153" t="s">
        <v>2206</v>
      </c>
      <c r="I153" t="s">
        <v>1256</v>
      </c>
      <c r="K153" t="s">
        <v>5828</v>
      </c>
      <c r="L153" t="s">
        <v>6152</v>
      </c>
      <c r="M153" t="s">
        <v>6151</v>
      </c>
      <c r="N153" s="2">
        <v>43617</v>
      </c>
      <c r="P153" t="str">
        <f>"Update Project Set Organisation = '"&amp;H153&amp;"' where Project_ID = '"&amp;A153&amp;"'; "</f>
        <v xml:space="preserve">Update Project Set Organisation = 'Consejo Superior de Investigaciones Científicas' where Project_ID = 'P0144'; </v>
      </c>
      <c r="Q153" t="str">
        <f>"Update Project Set Library_name = '"&amp;L153&amp;"' , COADD_ID = '"&amp;M153&amp;"' where Project_ID = '"&amp;A153&amp;"'; "</f>
        <v xml:space="preserve">Update Project Set Library_name = 'CSIC (Spain)' , COADD_ID = 'CO-ADD:PC0144' where Project_ID = 'P0144'; </v>
      </c>
    </row>
    <row r="154" spans="1:17">
      <c r="A154" t="s">
        <v>6156</v>
      </c>
      <c r="B154" t="s">
        <v>6155</v>
      </c>
      <c r="C154" t="s">
        <v>5633</v>
      </c>
      <c r="D154" t="s">
        <v>4643</v>
      </c>
      <c r="E154" t="s">
        <v>4642</v>
      </c>
      <c r="G154" t="s">
        <v>9068</v>
      </c>
      <c r="H154" t="s">
        <v>4646</v>
      </c>
      <c r="I154" t="s">
        <v>1600</v>
      </c>
      <c r="J154" t="s">
        <v>6119</v>
      </c>
      <c r="K154" t="s">
        <v>5828</v>
      </c>
      <c r="L154" t="s">
        <v>5995</v>
      </c>
      <c r="M154" t="s">
        <v>6154</v>
      </c>
      <c r="N154" s="2">
        <v>43862</v>
      </c>
      <c r="P154" t="str">
        <f>"Update Project Set Organisation = '"&amp;H154&amp;"' where Project_ID = '"&amp;A154&amp;"'; "</f>
        <v xml:space="preserve">Update Project Set Organisation = 'Russian Academy of Science' where Project_ID = 'P0145'; </v>
      </c>
      <c r="Q154" t="str">
        <f>"Update Project Set Library_name = '"&amp;L154&amp;"' , COADD_ID = '"&amp;M154&amp;"' where Project_ID = '"&amp;A154&amp;"'; "</f>
        <v xml:space="preserve">Update Project Set Library_name = 'Russian Academy of Science (Russia)' , COADD_ID = 'CO-ADD:PC0145' where Project_ID = 'P0145'; </v>
      </c>
    </row>
    <row r="155" spans="1:17">
      <c r="A155" t="s">
        <v>6160</v>
      </c>
      <c r="C155" t="s">
        <v>5633</v>
      </c>
      <c r="D155" t="s">
        <v>3460</v>
      </c>
      <c r="E155" t="s">
        <v>3459</v>
      </c>
      <c r="G155" t="s">
        <v>8972</v>
      </c>
      <c r="H155" t="s">
        <v>3463</v>
      </c>
      <c r="I155" t="s">
        <v>1256</v>
      </c>
      <c r="J155" t="s">
        <v>6159</v>
      </c>
      <c r="K155" t="s">
        <v>5828</v>
      </c>
      <c r="L155" t="s">
        <v>6158</v>
      </c>
      <c r="M155" t="s">
        <v>6157</v>
      </c>
      <c r="N155" s="2">
        <v>43617</v>
      </c>
      <c r="P155" t="str">
        <f>"Update Project Set Organisation = '"&amp;H155&amp;"' where Project_ID = '"&amp;A155&amp;"'; "</f>
        <v xml:space="preserve">Update Project Set Organisation = 'Instituto de Química Orgánica General (CSIC)' where Project_ID = 'P0146'; </v>
      </c>
      <c r="Q155" t="str">
        <f>"Update Project Set Library_name = '"&amp;L155&amp;"' , COADD_ID = '"&amp;M155&amp;"' where Project_ID = '"&amp;A155&amp;"'; "</f>
        <v xml:space="preserve">Update Project Set Library_name = 'IQOG CSIS (Spain)' , COADD_ID = 'CO-ADD:PC0146' where Project_ID = 'P0146'; </v>
      </c>
    </row>
    <row r="156" spans="1:17">
      <c r="A156" t="s">
        <v>6163</v>
      </c>
      <c r="C156" t="s">
        <v>5633</v>
      </c>
      <c r="D156" t="s">
        <v>17</v>
      </c>
      <c r="E156" t="s">
        <v>5245</v>
      </c>
      <c r="G156" t="s">
        <v>9170</v>
      </c>
      <c r="H156" t="s">
        <v>22</v>
      </c>
      <c r="I156" t="s">
        <v>25</v>
      </c>
      <c r="K156" t="s">
        <v>5828</v>
      </c>
      <c r="L156" t="s">
        <v>6162</v>
      </c>
      <c r="M156" t="s">
        <v>6161</v>
      </c>
      <c r="N156" s="2">
        <v>43617</v>
      </c>
      <c r="P156" t="str">
        <f>"Update Project Set Organisation = '"&amp;H156&amp;"' where Project_ID = '"&amp;A156&amp;"'; "</f>
        <v xml:space="preserve">Update Project Set Organisation = 'University of Mosul' where Project_ID = 'P0147'; </v>
      </c>
      <c r="Q156" t="str">
        <f>"Update Project Set Library_name = '"&amp;L156&amp;"' , COADD_ID = '"&amp;M156&amp;"' where Project_ID = '"&amp;A156&amp;"'; "</f>
        <v xml:space="preserve">Update Project Set Library_name = 'University of Mosul (Iraq)' , COADD_ID = 'CO-ADD:PC0147' where Project_ID = 'P0147'; </v>
      </c>
    </row>
    <row r="157" spans="1:17">
      <c r="A157" t="s">
        <v>6165</v>
      </c>
      <c r="C157" t="s">
        <v>5633</v>
      </c>
      <c r="D157" t="s">
        <v>2947</v>
      </c>
      <c r="E157" t="s">
        <v>3968</v>
      </c>
      <c r="G157" t="s">
        <v>9066</v>
      </c>
      <c r="H157" t="s">
        <v>2949</v>
      </c>
      <c r="I157" t="s">
        <v>211</v>
      </c>
      <c r="K157" t="s">
        <v>5837</v>
      </c>
      <c r="M157" t="s">
        <v>6164</v>
      </c>
      <c r="P157" t="str">
        <f>"Update Project Set Organisation = '"&amp;H157&amp;"' where Project_ID = '"&amp;A157&amp;"'; "</f>
        <v xml:space="preserve">Update Project Set Organisation = 'RTM Nagpur University' where Project_ID = 'P0148'; </v>
      </c>
      <c r="Q157" t="str">
        <f>"Update Project Set Library_name = '"&amp;L157&amp;"' , COADD_ID = '"&amp;M157&amp;"' where Project_ID = '"&amp;A157&amp;"'; "</f>
        <v xml:space="preserve">Update Project Set Library_name = '' , COADD_ID = 'CO-ADD:PC0148' where Project_ID = 'P0148'; </v>
      </c>
    </row>
    <row r="158" spans="1:17">
      <c r="A158" t="s">
        <v>6167</v>
      </c>
      <c r="C158" t="s">
        <v>5633</v>
      </c>
      <c r="D158" t="s">
        <v>660</v>
      </c>
      <c r="E158" t="s">
        <v>659</v>
      </c>
      <c r="G158" t="s">
        <v>9236</v>
      </c>
      <c r="H158" t="s">
        <v>8154</v>
      </c>
      <c r="I158" t="s">
        <v>117</v>
      </c>
      <c r="K158" t="s">
        <v>5828</v>
      </c>
      <c r="L158" t="s">
        <v>8186</v>
      </c>
      <c r="M158" t="s">
        <v>6166</v>
      </c>
      <c r="N158" s="2">
        <v>45657</v>
      </c>
      <c r="P158" t="str">
        <f>"Update Project Set Organisation = '"&amp;H158&amp;"' where Project_ID = '"&amp;A158&amp;"'; "</f>
        <v xml:space="preserve">Update Project Set Organisation = 'University of Virginia College at Wise' where Project_ID = 'P0149'; </v>
      </c>
      <c r="Q158" t="str">
        <f>"Update Project Set Library_name = '"&amp;L158&amp;"' , COADD_ID = '"&amp;M158&amp;"' where Project_ID = '"&amp;A158&amp;"'; "</f>
        <v xml:space="preserve">Update Project Set Library_name = 'University of Virginia College at Wise (United States)' , COADD_ID = 'CO-ADD:PC0149' where Project_ID = 'P0149'; </v>
      </c>
    </row>
    <row r="159" spans="1:17">
      <c r="A159" t="s">
        <v>6169</v>
      </c>
      <c r="C159" t="s">
        <v>5633</v>
      </c>
      <c r="D159" t="s">
        <v>4172</v>
      </c>
      <c r="E159" t="s">
        <v>940</v>
      </c>
      <c r="G159" t="s">
        <v>8899</v>
      </c>
      <c r="H159" t="s">
        <v>943</v>
      </c>
      <c r="I159" t="s">
        <v>117</v>
      </c>
      <c r="K159" t="s">
        <v>5828</v>
      </c>
      <c r="L159" t="s">
        <v>8178</v>
      </c>
      <c r="M159" t="s">
        <v>6168</v>
      </c>
      <c r="N159" s="2">
        <v>45657</v>
      </c>
      <c r="P159" t="str">
        <f>"Update Project Set Organisation = '"&amp;H159&amp;"' where Project_ID = '"&amp;A159&amp;"'; "</f>
        <v xml:space="preserve">Update Project Set Organisation = 'Boston University' where Project_ID = 'P0150'; </v>
      </c>
      <c r="Q159" t="str">
        <f>"Update Project Set Library_name = '"&amp;L159&amp;"' , COADD_ID = '"&amp;M159&amp;"' where Project_ID = '"&amp;A159&amp;"'; "</f>
        <v xml:space="preserve">Update Project Set Library_name = 'Boston University (United States)' , COADD_ID = 'CO-ADD:PC0150' where Project_ID = 'P0150'; </v>
      </c>
    </row>
    <row r="160" spans="1:17">
      <c r="A160" t="s">
        <v>6171</v>
      </c>
      <c r="C160" t="s">
        <v>5633</v>
      </c>
      <c r="D160" t="s">
        <v>2405</v>
      </c>
      <c r="E160" t="s">
        <v>2404</v>
      </c>
      <c r="G160" t="s">
        <v>9253</v>
      </c>
      <c r="H160" t="s">
        <v>1105</v>
      </c>
      <c r="I160" t="s">
        <v>117</v>
      </c>
      <c r="K160" t="s">
        <v>5828</v>
      </c>
      <c r="L160" t="s">
        <v>8187</v>
      </c>
      <c r="M160" t="s">
        <v>6170</v>
      </c>
      <c r="N160" s="2">
        <v>45657</v>
      </c>
      <c r="P160" t="str">
        <f>"Update Project Set Organisation = '"&amp;H160&amp;"' where Project_ID = '"&amp;A160&amp;"'; "</f>
        <v xml:space="preserve">Update Project Set Organisation = 'Vanderbilt University' where Project_ID = 'P0151'; </v>
      </c>
      <c r="Q160" t="str">
        <f>"Update Project Set Library_name = '"&amp;L160&amp;"' , COADD_ID = '"&amp;M160&amp;"' where Project_ID = '"&amp;A160&amp;"'; "</f>
        <v xml:space="preserve">Update Project Set Library_name = 'Vanderbilt University (United States)' , COADD_ID = 'CO-ADD:PC0151' where Project_ID = 'P0151'; </v>
      </c>
    </row>
    <row r="161" spans="1:17">
      <c r="A161" t="s">
        <v>6173</v>
      </c>
      <c r="C161" t="s">
        <v>5633</v>
      </c>
      <c r="D161" t="s">
        <v>468</v>
      </c>
      <c r="E161" t="s">
        <v>5187</v>
      </c>
      <c r="G161" t="s">
        <v>9035</v>
      </c>
      <c r="H161" t="s">
        <v>472</v>
      </c>
      <c r="I161" t="s">
        <v>211</v>
      </c>
      <c r="K161" t="s">
        <v>5843</v>
      </c>
      <c r="M161" t="s">
        <v>6172</v>
      </c>
      <c r="P161" t="str">
        <f>"Update Project Set Organisation = '"&amp;H161&amp;"' where Project_ID = '"&amp;A161&amp;"'; "</f>
        <v xml:space="preserve">Update Project Set Organisation = 'National Institute of Technology (NIT) Warangal' where Project_ID = 'P0152'; </v>
      </c>
      <c r="Q161" t="str">
        <f>"Update Project Set Library_name = '"&amp;L161&amp;"' , COADD_ID = '"&amp;M161&amp;"' where Project_ID = '"&amp;A161&amp;"'; "</f>
        <v xml:space="preserve">Update Project Set Library_name = '' , COADD_ID = 'CO-ADD:PC0152' where Project_ID = 'P0152'; </v>
      </c>
    </row>
    <row r="162" spans="1:17">
      <c r="A162" t="s">
        <v>6175</v>
      </c>
      <c r="C162" t="s">
        <v>5633</v>
      </c>
      <c r="D162" t="s">
        <v>1917</v>
      </c>
      <c r="E162" t="s">
        <v>1916</v>
      </c>
      <c r="G162" t="s">
        <v>8960</v>
      </c>
      <c r="H162" t="s">
        <v>1920</v>
      </c>
      <c r="I162" t="s">
        <v>211</v>
      </c>
      <c r="K162" t="s">
        <v>5843</v>
      </c>
      <c r="M162" t="s">
        <v>6174</v>
      </c>
      <c r="P162" t="str">
        <f>"Update Project Set Organisation = '"&amp;H162&amp;"' where Project_ID = '"&amp;A162&amp;"'; "</f>
        <v xml:space="preserve">Update Project Set Organisation = 'Independent Researcher' where Project_ID = 'P0153'; </v>
      </c>
      <c r="Q162" t="str">
        <f>"Update Project Set Library_name = '"&amp;L162&amp;"' , COADD_ID = '"&amp;M162&amp;"' where Project_ID = '"&amp;A162&amp;"'; "</f>
        <v xml:space="preserve">Update Project Set Library_name = '' , COADD_ID = 'CO-ADD:PC0153' where Project_ID = 'P0153'; </v>
      </c>
    </row>
    <row r="163" spans="1:17">
      <c r="A163" t="s">
        <v>6177</v>
      </c>
      <c r="C163" t="s">
        <v>5633</v>
      </c>
      <c r="D163" t="s">
        <v>4630</v>
      </c>
      <c r="E163" t="s">
        <v>4629</v>
      </c>
      <c r="G163" t="s">
        <v>9215</v>
      </c>
      <c r="H163" t="s">
        <v>4633</v>
      </c>
      <c r="I163" t="s">
        <v>269</v>
      </c>
      <c r="K163" t="s">
        <v>5828</v>
      </c>
      <c r="L163" t="s">
        <v>6002</v>
      </c>
      <c r="M163" t="s">
        <v>6176</v>
      </c>
      <c r="N163" s="2">
        <v>43617</v>
      </c>
      <c r="P163" t="str">
        <f>"Update Project Set Organisation = '"&amp;H163&amp;"' where Project_ID = '"&amp;A163&amp;"'; "</f>
        <v xml:space="preserve">Update Project Set Organisation = 'University of Strathclyde' where Project_ID = 'P0154'; </v>
      </c>
      <c r="Q163" t="str">
        <f>"Update Project Set Library_name = '"&amp;L163&amp;"' , COADD_ID = '"&amp;M163&amp;"' where Project_ID = '"&amp;A163&amp;"'; "</f>
        <v xml:space="preserve">Update Project Set Library_name = 'University of Strathclyde (UK)' , COADD_ID = 'CO-ADD:PC0154' where Project_ID = 'P0154'; </v>
      </c>
    </row>
    <row r="164" spans="1:17">
      <c r="A164" t="s">
        <v>6179</v>
      </c>
      <c r="B164" t="s">
        <v>6022</v>
      </c>
      <c r="C164" t="s">
        <v>5633</v>
      </c>
      <c r="D164" t="s">
        <v>968</v>
      </c>
      <c r="E164" t="s">
        <v>2750</v>
      </c>
      <c r="G164" t="s">
        <v>8983</v>
      </c>
      <c r="H164" t="s">
        <v>971</v>
      </c>
      <c r="I164" t="s">
        <v>557</v>
      </c>
      <c r="K164" t="s">
        <v>5843</v>
      </c>
      <c r="M164" t="s">
        <v>6178</v>
      </c>
      <c r="P164" t="str">
        <f>"Update Project Set Organisation = '"&amp;H164&amp;"' where Project_ID = '"&amp;A164&amp;"'; "</f>
        <v xml:space="preserve">Update Project Set Organisation = 'Karlsruhe Institute of Technology (KIT)' where Project_ID = 'P0155'; </v>
      </c>
      <c r="Q164" t="str">
        <f>"Update Project Set Library_name = '"&amp;L164&amp;"' , COADD_ID = '"&amp;M164&amp;"' where Project_ID = '"&amp;A164&amp;"'; "</f>
        <v xml:space="preserve">Update Project Set Library_name = '' , COADD_ID = 'CO-ADD:PC0155' where Project_ID = 'P0155'; </v>
      </c>
    </row>
    <row r="165" spans="1:17">
      <c r="A165" t="s">
        <v>6181</v>
      </c>
      <c r="C165" t="s">
        <v>5633</v>
      </c>
      <c r="D165" t="s">
        <v>448</v>
      </c>
      <c r="E165" t="s">
        <v>2398</v>
      </c>
      <c r="G165" t="s">
        <v>8900</v>
      </c>
      <c r="H165" t="s">
        <v>362</v>
      </c>
      <c r="I165" t="s">
        <v>14</v>
      </c>
      <c r="K165" t="s">
        <v>5828</v>
      </c>
      <c r="L165" t="s">
        <v>5922</v>
      </c>
      <c r="M165" t="s">
        <v>6180</v>
      </c>
      <c r="N165" s="2">
        <v>45657</v>
      </c>
      <c r="P165" t="str">
        <f>"Update Project Set Organisation = '"&amp;H165&amp;"' where Project_ID = '"&amp;A165&amp;"'; "</f>
        <v xml:space="preserve">Update Project Set Organisation = 'University of Queensland' where Project_ID = 'P0156'; </v>
      </c>
      <c r="Q165" t="str">
        <f>"Update Project Set Library_name = '"&amp;L165&amp;"' , COADD_ID = '"&amp;M165&amp;"' where Project_ID = '"&amp;A165&amp;"'; "</f>
        <v xml:space="preserve">Update Project Set Library_name = 'University of Queensland (Australia)' , COADD_ID = 'CO-ADD:PC0156' where Project_ID = 'P0156'; </v>
      </c>
    </row>
    <row r="166" spans="1:17">
      <c r="A166" t="s">
        <v>6183</v>
      </c>
      <c r="C166" t="s">
        <v>5633</v>
      </c>
      <c r="D166" t="s">
        <v>1260</v>
      </c>
      <c r="E166" t="s">
        <v>1259</v>
      </c>
      <c r="F166" t="s">
        <v>4301</v>
      </c>
      <c r="G166" t="s">
        <v>9173</v>
      </c>
      <c r="H166" t="s">
        <v>1262</v>
      </c>
      <c r="I166" t="s">
        <v>117</v>
      </c>
      <c r="K166" t="s">
        <v>5828</v>
      </c>
      <c r="L166" t="s">
        <v>8188</v>
      </c>
      <c r="M166" t="s">
        <v>6182</v>
      </c>
      <c r="N166" s="2">
        <v>45657</v>
      </c>
      <c r="P166" t="str">
        <f>"Update Project Set Organisation = '"&amp;H166&amp;"' where Project_ID = '"&amp;A166&amp;"'; "</f>
        <v xml:space="preserve">Update Project Set Organisation = 'University of Nebraska Medical Center' where Project_ID = 'P0157'; </v>
      </c>
      <c r="Q166" t="str">
        <f>"Update Project Set Library_name = '"&amp;L166&amp;"' , COADD_ID = '"&amp;M166&amp;"' where Project_ID = '"&amp;A166&amp;"'; "</f>
        <v xml:space="preserve">Update Project Set Library_name = 'University of Nebraska Medical Center (United States)' , COADD_ID = 'CO-ADD:PC0157' where Project_ID = 'P0157'; </v>
      </c>
    </row>
    <row r="167" spans="1:17">
      <c r="A167" t="s">
        <v>6185</v>
      </c>
      <c r="C167" t="s">
        <v>5633</v>
      </c>
      <c r="D167" t="s">
        <v>1468</v>
      </c>
      <c r="E167" t="s">
        <v>3027</v>
      </c>
      <c r="F167" t="s">
        <v>5208</v>
      </c>
      <c r="G167" t="s">
        <v>9252</v>
      </c>
      <c r="H167" t="s">
        <v>4658</v>
      </c>
      <c r="I167" t="s">
        <v>427</v>
      </c>
      <c r="K167" t="s">
        <v>5828</v>
      </c>
      <c r="L167" t="s">
        <v>8189</v>
      </c>
      <c r="M167" t="s">
        <v>6184</v>
      </c>
      <c r="N167" s="2">
        <v>45657</v>
      </c>
      <c r="P167" t="str">
        <f>"Update Project Set Organisation = '"&amp;H167&amp;"' where Project_ID = '"&amp;A167&amp;"'; "</f>
        <v xml:space="preserve">Update Project Set Organisation = 'V.N. Karazin Kharkiv National University' where Project_ID = 'P0158'; </v>
      </c>
      <c r="Q167" t="str">
        <f>"Update Project Set Library_name = '"&amp;L167&amp;"' , COADD_ID = '"&amp;M167&amp;"' where Project_ID = '"&amp;A167&amp;"'; "</f>
        <v xml:space="preserve">Update Project Set Library_name = 'V.N. Karazin Kharkiv National University (Ukraine)' , COADD_ID = 'CO-ADD:PC0158' where Project_ID = 'P0158'; </v>
      </c>
    </row>
    <row r="168" spans="1:17">
      <c r="A168" t="s">
        <v>6187</v>
      </c>
      <c r="C168" t="s">
        <v>5633</v>
      </c>
      <c r="D168" t="s">
        <v>1468</v>
      </c>
      <c r="E168" t="s">
        <v>3027</v>
      </c>
      <c r="F168" t="s">
        <v>1467</v>
      </c>
      <c r="G168" t="s">
        <v>9252</v>
      </c>
      <c r="H168" t="s">
        <v>4658</v>
      </c>
      <c r="I168" t="s">
        <v>427</v>
      </c>
      <c r="K168" t="s">
        <v>5828</v>
      </c>
      <c r="L168" t="s">
        <v>8189</v>
      </c>
      <c r="M168" t="s">
        <v>6186</v>
      </c>
      <c r="N168" s="2">
        <v>45657</v>
      </c>
      <c r="P168" t="str">
        <f>"Update Project Set Organisation = '"&amp;H168&amp;"' where Project_ID = '"&amp;A168&amp;"'; "</f>
        <v xml:space="preserve">Update Project Set Organisation = 'V.N. Karazin Kharkiv National University' where Project_ID = 'P0159'; </v>
      </c>
      <c r="Q168" t="str">
        <f>"Update Project Set Library_name = '"&amp;L168&amp;"' , COADD_ID = '"&amp;M168&amp;"' where Project_ID = '"&amp;A168&amp;"'; "</f>
        <v xml:space="preserve">Update Project Set Library_name = 'V.N. Karazin Kharkiv National University (Ukraine)' , COADD_ID = 'CO-ADD:PC0159' where Project_ID = 'P0159'; </v>
      </c>
    </row>
    <row r="169" spans="1:17">
      <c r="A169" t="s">
        <v>6189</v>
      </c>
      <c r="C169" t="s">
        <v>5633</v>
      </c>
      <c r="D169" t="s">
        <v>468</v>
      </c>
      <c r="E169" t="s">
        <v>5176</v>
      </c>
      <c r="G169" t="s">
        <v>9035</v>
      </c>
      <c r="H169" t="s">
        <v>472</v>
      </c>
      <c r="I169" t="s">
        <v>211</v>
      </c>
      <c r="K169" t="s">
        <v>5843</v>
      </c>
      <c r="M169" t="s">
        <v>6188</v>
      </c>
      <c r="P169" t="str">
        <f>"Update Project Set Organisation = '"&amp;H169&amp;"' where Project_ID = '"&amp;A169&amp;"'; "</f>
        <v xml:space="preserve">Update Project Set Organisation = 'National Institute of Technology (NIT) Warangal' where Project_ID = 'P0160'; </v>
      </c>
      <c r="Q169" t="str">
        <f>"Update Project Set Library_name = '"&amp;L169&amp;"' , COADD_ID = '"&amp;M169&amp;"' where Project_ID = '"&amp;A169&amp;"'; "</f>
        <v xml:space="preserve">Update Project Set Library_name = '' , COADD_ID = 'CO-ADD:PC0160' where Project_ID = 'P0160'; </v>
      </c>
    </row>
    <row r="170" spans="1:17">
      <c r="A170" t="s">
        <v>6191</v>
      </c>
      <c r="C170" t="s">
        <v>5633</v>
      </c>
      <c r="D170" t="s">
        <v>3586</v>
      </c>
      <c r="E170" t="s">
        <v>3585</v>
      </c>
      <c r="G170" t="s">
        <v>9116</v>
      </c>
      <c r="H170" t="s">
        <v>1234</v>
      </c>
      <c r="I170" t="s">
        <v>1235</v>
      </c>
      <c r="K170" t="s">
        <v>5843</v>
      </c>
      <c r="M170" t="s">
        <v>6190</v>
      </c>
      <c r="P170" t="str">
        <f>"Update Project Set Organisation = '"&amp;H170&amp;"' where Project_ID = '"&amp;A170&amp;"'; "</f>
        <v xml:space="preserve">Update Project Set Organisation = 'University College Cork' where Project_ID = 'P0161'; </v>
      </c>
      <c r="Q170" t="str">
        <f>"Update Project Set Library_name = '"&amp;L170&amp;"' , COADD_ID = '"&amp;M170&amp;"' where Project_ID = '"&amp;A170&amp;"'; "</f>
        <v xml:space="preserve">Update Project Set Library_name = '' , COADD_ID = 'CO-ADD:PC0161' where Project_ID = 'P0161'; </v>
      </c>
    </row>
    <row r="171" spans="1:17">
      <c r="A171" t="s">
        <v>6193</v>
      </c>
      <c r="C171" t="s">
        <v>5633</v>
      </c>
      <c r="D171" t="s">
        <v>3058</v>
      </c>
      <c r="E171" t="s">
        <v>3169</v>
      </c>
      <c r="F171" t="s">
        <v>4280</v>
      </c>
      <c r="G171" t="s">
        <v>8994</v>
      </c>
      <c r="H171" t="s">
        <v>3062</v>
      </c>
      <c r="I171" t="s">
        <v>557</v>
      </c>
      <c r="K171" t="s">
        <v>5828</v>
      </c>
      <c r="L171" t="s">
        <v>8190</v>
      </c>
      <c r="M171" t="s">
        <v>6192</v>
      </c>
      <c r="N171" s="2">
        <v>45657</v>
      </c>
      <c r="P171" t="str">
        <f>"Update Project Set Organisation = '"&amp;H171&amp;"' where Project_ID = '"&amp;A171&amp;"'; "</f>
        <v xml:space="preserve">Update Project Set Organisation = 'Leuphana University Lueneburg' where Project_ID = 'P0162'; </v>
      </c>
      <c r="Q171" t="str">
        <f>"Update Project Set Library_name = '"&amp;L171&amp;"' , COADD_ID = '"&amp;M171&amp;"' where Project_ID = '"&amp;A171&amp;"'; "</f>
        <v xml:space="preserve">Update Project Set Library_name = 'Leuphana University Lueneburg (Germany)' , COADD_ID = 'CO-ADD:PC0162' where Project_ID = 'P0162'; </v>
      </c>
    </row>
    <row r="172" spans="1:17">
      <c r="A172" t="s">
        <v>6196</v>
      </c>
      <c r="C172" t="s">
        <v>5633</v>
      </c>
      <c r="D172" t="s">
        <v>1110</v>
      </c>
      <c r="E172" t="s">
        <v>1109</v>
      </c>
      <c r="G172" t="s">
        <v>8996</v>
      </c>
      <c r="H172" t="s">
        <v>1114</v>
      </c>
      <c r="I172" t="s">
        <v>14</v>
      </c>
      <c r="K172" t="s">
        <v>5828</v>
      </c>
      <c r="L172" t="s">
        <v>6195</v>
      </c>
      <c r="M172" t="s">
        <v>6194</v>
      </c>
      <c r="N172" s="2">
        <v>43617</v>
      </c>
      <c r="P172" t="str">
        <f>"Update Project Set Organisation = '"&amp;H172&amp;"' where Project_ID = '"&amp;A172&amp;"'; "</f>
        <v xml:space="preserve">Update Project Set Organisation = 'Macquarie University' where Project_ID = 'P0163'; </v>
      </c>
      <c r="Q172" t="str">
        <f>"Update Project Set Library_name = '"&amp;L172&amp;"' , COADD_ID = '"&amp;M172&amp;"' where Project_ID = '"&amp;A172&amp;"'; "</f>
        <v xml:space="preserve">Update Project Set Library_name = 'Macquarie University (Australia)' , COADD_ID = 'CO-ADD:PC0163' where Project_ID = 'P0163'; </v>
      </c>
    </row>
    <row r="173" spans="1:17">
      <c r="A173" t="s">
        <v>6198</v>
      </c>
      <c r="C173" t="s">
        <v>5633</v>
      </c>
      <c r="D173" t="s">
        <v>2893</v>
      </c>
      <c r="E173" t="s">
        <v>3232</v>
      </c>
      <c r="G173" t="s">
        <v>9015</v>
      </c>
      <c r="H173" t="s">
        <v>2146</v>
      </c>
      <c r="I173" t="s">
        <v>75</v>
      </c>
      <c r="K173" t="s">
        <v>5843</v>
      </c>
      <c r="M173" t="s">
        <v>6197</v>
      </c>
      <c r="P173" t="str">
        <f>"Update Project Set Organisation = '"&amp;H173&amp;"' where Project_ID = '"&amp;A173&amp;"'; "</f>
        <v xml:space="preserve">Update Project Set Organisation = 'Memorial University of Newfoundland' where Project_ID = 'P0164'; </v>
      </c>
      <c r="Q173" t="str">
        <f>"Update Project Set Library_name = '"&amp;L173&amp;"' , COADD_ID = '"&amp;M173&amp;"' where Project_ID = '"&amp;A173&amp;"'; "</f>
        <v xml:space="preserve">Update Project Set Library_name = '' , COADD_ID = 'CO-ADD:PC0164' where Project_ID = 'P0164'; </v>
      </c>
    </row>
    <row r="174" spans="1:17">
      <c r="A174" t="s">
        <v>6201</v>
      </c>
      <c r="C174" t="s">
        <v>5633</v>
      </c>
      <c r="D174" t="s">
        <v>4824</v>
      </c>
      <c r="E174" t="s">
        <v>4823</v>
      </c>
      <c r="G174" t="s">
        <v>9144</v>
      </c>
      <c r="H174" t="s">
        <v>3052</v>
      </c>
      <c r="I174" t="s">
        <v>269</v>
      </c>
      <c r="K174" t="s">
        <v>5828</v>
      </c>
      <c r="L174" t="s">
        <v>6200</v>
      </c>
      <c r="M174" t="s">
        <v>6199</v>
      </c>
      <c r="N174" s="2">
        <v>43617</v>
      </c>
      <c r="P174" t="str">
        <f>"Update Project Set Organisation = '"&amp;H174&amp;"' where Project_ID = '"&amp;A174&amp;"'; "</f>
        <v xml:space="preserve">Update Project Set Organisation = 'University of Central Lancashire' where Project_ID = 'P0165'; </v>
      </c>
      <c r="Q174" t="str">
        <f>"Update Project Set Library_name = '"&amp;L174&amp;"' , COADD_ID = '"&amp;M174&amp;"' where Project_ID = '"&amp;A174&amp;"'; "</f>
        <v xml:space="preserve">Update Project Set Library_name = 'University of Central Lancashire (UK)' , COADD_ID = 'CO-ADD:PC0165' where Project_ID = 'P0165'; </v>
      </c>
    </row>
    <row r="175" spans="1:17">
      <c r="A175" t="s">
        <v>6203</v>
      </c>
      <c r="C175" t="s">
        <v>5633</v>
      </c>
      <c r="D175" t="s">
        <v>1984</v>
      </c>
      <c r="E175" t="s">
        <v>1983</v>
      </c>
      <c r="G175" t="s">
        <v>9112</v>
      </c>
      <c r="H175" t="s">
        <v>8153</v>
      </c>
      <c r="I175" t="s">
        <v>704</v>
      </c>
      <c r="K175" t="s">
        <v>5828</v>
      </c>
      <c r="L175" t="s">
        <v>8191</v>
      </c>
      <c r="M175" t="s">
        <v>6202</v>
      </c>
      <c r="N175" s="2">
        <v>45657</v>
      </c>
      <c r="P175" t="str">
        <f>"Update Project Set Organisation = '"&amp;H175&amp;"' where Project_ID = '"&amp;A175&amp;"'; "</f>
        <v xml:space="preserve">Update Project Set Organisation = 'Universite du Littoral-Cote Opale' where Project_ID = 'P0166'; </v>
      </c>
      <c r="Q175" t="str">
        <f>"Update Project Set Library_name = '"&amp;L175&amp;"' , COADD_ID = '"&amp;M175&amp;"' where Project_ID = '"&amp;A175&amp;"'; "</f>
        <v xml:space="preserve">Update Project Set Library_name = 'Universite du Littoral-Cote Opale (France)' , COADD_ID = 'CO-ADD:PC0166' where Project_ID = 'P0166'; </v>
      </c>
    </row>
    <row r="176" spans="1:17">
      <c r="A176" t="s">
        <v>6205</v>
      </c>
      <c r="C176" t="s">
        <v>5633</v>
      </c>
      <c r="D176" t="s">
        <v>3460</v>
      </c>
      <c r="E176" t="s">
        <v>3459</v>
      </c>
      <c r="G176" t="s">
        <v>8972</v>
      </c>
      <c r="H176" t="s">
        <v>3463</v>
      </c>
      <c r="I176" t="s">
        <v>1256</v>
      </c>
      <c r="K176" t="s">
        <v>5828</v>
      </c>
      <c r="L176" t="s">
        <v>6158</v>
      </c>
      <c r="M176" t="s">
        <v>6204</v>
      </c>
      <c r="N176" s="2">
        <v>43617</v>
      </c>
      <c r="P176" t="str">
        <f>"Update Project Set Organisation = '"&amp;H176&amp;"' where Project_ID = '"&amp;A176&amp;"'; "</f>
        <v xml:space="preserve">Update Project Set Organisation = 'Instituto de Química Orgánica General (CSIC)' where Project_ID = 'P0167'; </v>
      </c>
      <c r="Q176" t="str">
        <f>"Update Project Set Library_name = '"&amp;L176&amp;"' , COADD_ID = '"&amp;M176&amp;"' where Project_ID = '"&amp;A176&amp;"'; "</f>
        <v xml:space="preserve">Update Project Set Library_name = 'IQOG CSIS (Spain)' , COADD_ID = 'CO-ADD:PC0167' where Project_ID = 'P0167'; </v>
      </c>
    </row>
    <row r="177" spans="1:17">
      <c r="A177" t="s">
        <v>6208</v>
      </c>
      <c r="B177" t="s">
        <v>6207</v>
      </c>
      <c r="C177" t="s">
        <v>5633</v>
      </c>
      <c r="D177" t="s">
        <v>4643</v>
      </c>
      <c r="E177" t="s">
        <v>4642</v>
      </c>
      <c r="G177" t="s">
        <v>9068</v>
      </c>
      <c r="H177" t="s">
        <v>4646</v>
      </c>
      <c r="I177" t="s">
        <v>1600</v>
      </c>
      <c r="K177" t="s">
        <v>5828</v>
      </c>
      <c r="L177" t="s">
        <v>5995</v>
      </c>
      <c r="M177" t="s">
        <v>6206</v>
      </c>
      <c r="N177" s="2">
        <v>43862</v>
      </c>
      <c r="P177" t="str">
        <f>"Update Project Set Organisation = '"&amp;H177&amp;"' where Project_ID = '"&amp;A177&amp;"'; "</f>
        <v xml:space="preserve">Update Project Set Organisation = 'Russian Academy of Science' where Project_ID = 'P0168'; </v>
      </c>
      <c r="Q177" t="str">
        <f>"Update Project Set Library_name = '"&amp;L177&amp;"' , COADD_ID = '"&amp;M177&amp;"' where Project_ID = '"&amp;A177&amp;"'; "</f>
        <v xml:space="preserve">Update Project Set Library_name = 'Russian Academy of Science (Russia)' , COADD_ID = 'CO-ADD:PC0168' where Project_ID = 'P0168'; </v>
      </c>
    </row>
    <row r="178" spans="1:17">
      <c r="A178" t="s">
        <v>6210</v>
      </c>
      <c r="C178" t="s">
        <v>5633</v>
      </c>
      <c r="D178" t="s">
        <v>289</v>
      </c>
      <c r="E178" t="s">
        <v>288</v>
      </c>
      <c r="F178" t="s">
        <v>3957</v>
      </c>
      <c r="G178" t="s">
        <v>8979</v>
      </c>
      <c r="H178" t="s">
        <v>283</v>
      </c>
      <c r="I178" t="s">
        <v>211</v>
      </c>
      <c r="K178" t="s">
        <v>5843</v>
      </c>
      <c r="M178" t="s">
        <v>6209</v>
      </c>
      <c r="P178" t="str">
        <f>"Update Project Set Organisation = '"&amp;H178&amp;"' where Project_ID = '"&amp;A178&amp;"'; "</f>
        <v xml:space="preserve">Update Project Set Organisation = 'Jamia Hamdard' where Project_ID = 'P0169'; </v>
      </c>
      <c r="Q178" t="str">
        <f>"Update Project Set Library_name = '"&amp;L178&amp;"' , COADD_ID = '"&amp;M178&amp;"' where Project_ID = '"&amp;A178&amp;"'; "</f>
        <v xml:space="preserve">Update Project Set Library_name = '' , COADD_ID = 'CO-ADD:PC0169' where Project_ID = 'P0169'; </v>
      </c>
    </row>
    <row r="179" spans="1:17">
      <c r="A179" t="s">
        <v>6212</v>
      </c>
      <c r="C179" t="s">
        <v>5633</v>
      </c>
      <c r="D179" t="s">
        <v>215</v>
      </c>
      <c r="E179" t="s">
        <v>214</v>
      </c>
      <c r="F179" t="s">
        <v>934</v>
      </c>
      <c r="G179" t="s">
        <v>9255</v>
      </c>
      <c r="H179" t="s">
        <v>220</v>
      </c>
      <c r="I179" t="s">
        <v>223</v>
      </c>
      <c r="K179" t="s">
        <v>5828</v>
      </c>
      <c r="L179" t="s">
        <v>8192</v>
      </c>
      <c r="M179" t="s">
        <v>6211</v>
      </c>
      <c r="N179" s="2">
        <v>45657</v>
      </c>
      <c r="P179" t="str">
        <f>"Update Project Set Organisation = '"&amp;H179&amp;"' where Project_ID = '"&amp;A179&amp;"'; "</f>
        <v xml:space="preserve">Update Project Set Organisation = 'Victoria University of Wellington' where Project_ID = 'P0170'; </v>
      </c>
      <c r="Q179" t="str">
        <f>"Update Project Set Library_name = '"&amp;L179&amp;"' , COADD_ID = '"&amp;M179&amp;"' where Project_ID = '"&amp;A179&amp;"'; "</f>
        <v xml:space="preserve">Update Project Set Library_name = 'Victoria University of Wellington (New Zealand)' , COADD_ID = 'CO-ADD:PC0170' where Project_ID = 'P0170'; </v>
      </c>
    </row>
    <row r="180" spans="1:17">
      <c r="A180" t="s">
        <v>6214</v>
      </c>
      <c r="C180" t="s">
        <v>5633</v>
      </c>
      <c r="D180" t="s">
        <v>3493</v>
      </c>
      <c r="E180" t="s">
        <v>4960</v>
      </c>
      <c r="F180" t="s">
        <v>3492</v>
      </c>
      <c r="G180" t="s">
        <v>8904</v>
      </c>
      <c r="H180" t="s">
        <v>3496</v>
      </c>
      <c r="I180" t="s">
        <v>117</v>
      </c>
      <c r="K180" t="s">
        <v>5828</v>
      </c>
      <c r="L180" t="s">
        <v>8193</v>
      </c>
      <c r="M180" t="s">
        <v>6213</v>
      </c>
      <c r="N180" s="2">
        <v>45657</v>
      </c>
      <c r="P180" t="str">
        <f>"Update Project Set Organisation = '"&amp;H180&amp;"' where Project_ID = '"&amp;A180&amp;"'; "</f>
        <v xml:space="preserve">Update Project Set Organisation = 'California Institute of Technology (Caltech)' where Project_ID = 'P0171'; </v>
      </c>
      <c r="Q180" t="str">
        <f>"Update Project Set Library_name = '"&amp;L180&amp;"' , COADD_ID = '"&amp;M180&amp;"' where Project_ID = '"&amp;A180&amp;"'; "</f>
        <v xml:space="preserve">Update Project Set Library_name = 'California Institute of Technology (Caltech) (United States)' , COADD_ID = 'CO-ADD:PC0171' where Project_ID = 'P0171'; </v>
      </c>
    </row>
    <row r="181" spans="1:17">
      <c r="A181" t="s">
        <v>6217</v>
      </c>
      <c r="C181" t="s">
        <v>5633</v>
      </c>
      <c r="D181" t="s">
        <v>1375</v>
      </c>
      <c r="E181" t="s">
        <v>1374</v>
      </c>
      <c r="G181" t="s">
        <v>9105</v>
      </c>
      <c r="H181" t="s">
        <v>1253</v>
      </c>
      <c r="I181" t="s">
        <v>1256</v>
      </c>
      <c r="K181" t="s">
        <v>5828</v>
      </c>
      <c r="L181" t="s">
        <v>6216</v>
      </c>
      <c r="M181" t="s">
        <v>6215</v>
      </c>
      <c r="N181" s="2">
        <v>43617</v>
      </c>
      <c r="P181" t="str">
        <f>"Update Project Set Organisation = '"&amp;H181&amp;"' where Project_ID = '"&amp;A181&amp;"'; "</f>
        <v xml:space="preserve">Update Project Set Organisation = 'Universitat de Barcelona' where Project_ID = 'P0172'; </v>
      </c>
      <c r="Q181" t="str">
        <f>"Update Project Set Library_name = '"&amp;L181&amp;"' , COADD_ID = '"&amp;M181&amp;"' where Project_ID = '"&amp;A181&amp;"'; "</f>
        <v xml:space="preserve">Update Project Set Library_name = 'Universitat de Barcelona (Spain)' , COADD_ID = 'CO-ADD:PC0172' where Project_ID = 'P0172'; </v>
      </c>
    </row>
    <row r="182" spans="1:17">
      <c r="A182" t="s">
        <v>6219</v>
      </c>
      <c r="C182" t="s">
        <v>5633</v>
      </c>
      <c r="D182" t="s">
        <v>3393</v>
      </c>
      <c r="E182" t="s">
        <v>3392</v>
      </c>
      <c r="G182" t="s">
        <v>9086</v>
      </c>
      <c r="H182" t="s">
        <v>3396</v>
      </c>
      <c r="I182" t="s">
        <v>211</v>
      </c>
      <c r="K182" t="s">
        <v>5837</v>
      </c>
      <c r="M182" t="s">
        <v>6218</v>
      </c>
      <c r="P182" t="str">
        <f>"Update Project Set Organisation = '"&amp;H182&amp;"' where Project_ID = '"&amp;A182&amp;"'; "</f>
        <v xml:space="preserve">Update Project Set Organisation = 'Tamluk College' where Project_ID = 'P0173'; </v>
      </c>
      <c r="Q182" t="str">
        <f>"Update Project Set Library_name = '"&amp;L182&amp;"' , COADD_ID = '"&amp;M182&amp;"' where Project_ID = '"&amp;A182&amp;"'; "</f>
        <v xml:space="preserve">Update Project Set Library_name = '' , COADD_ID = 'CO-ADD:PC0173' where Project_ID = 'P0173'; </v>
      </c>
    </row>
    <row r="183" spans="1:17">
      <c r="A183" t="s">
        <v>6221</v>
      </c>
      <c r="C183" t="s">
        <v>5633</v>
      </c>
      <c r="D183" t="s">
        <v>776</v>
      </c>
      <c r="E183" t="s">
        <v>1864</v>
      </c>
      <c r="F183" t="s">
        <v>3914</v>
      </c>
      <c r="G183" t="s">
        <v>9226</v>
      </c>
      <c r="H183" t="s">
        <v>780</v>
      </c>
      <c r="I183" t="s">
        <v>782</v>
      </c>
      <c r="K183" t="s">
        <v>5828</v>
      </c>
      <c r="L183" t="s">
        <v>780</v>
      </c>
      <c r="M183" t="s">
        <v>6220</v>
      </c>
      <c r="N183" s="2">
        <v>43617</v>
      </c>
      <c r="P183" t="str">
        <f>"Update Project Set Organisation = '"&amp;H183&amp;"' where Project_ID = '"&amp;A183&amp;"'; "</f>
        <v xml:space="preserve">Update Project Set Organisation = 'University of the Philippines-Manila' where Project_ID = 'P0174'; </v>
      </c>
      <c r="Q183" t="str">
        <f>"Update Project Set Library_name = '"&amp;L183&amp;"' , COADD_ID = '"&amp;M183&amp;"' where Project_ID = '"&amp;A183&amp;"'; "</f>
        <v xml:space="preserve">Update Project Set Library_name = 'University of the Philippines-Manila' , COADD_ID = 'CO-ADD:PC0174' where Project_ID = 'P0174'; </v>
      </c>
    </row>
    <row r="184" spans="1:17">
      <c r="A184" t="s">
        <v>6223</v>
      </c>
      <c r="C184" t="s">
        <v>5633</v>
      </c>
      <c r="D184" t="s">
        <v>448</v>
      </c>
      <c r="E184" t="s">
        <v>2689</v>
      </c>
      <c r="G184" t="s">
        <v>8900</v>
      </c>
      <c r="H184" t="s">
        <v>362</v>
      </c>
      <c r="I184" t="s">
        <v>14</v>
      </c>
      <c r="K184" t="s">
        <v>5837</v>
      </c>
      <c r="M184" t="s">
        <v>6222</v>
      </c>
      <c r="P184" t="str">
        <f>"Update Project Set Organisation = '"&amp;H184&amp;"' where Project_ID = '"&amp;A184&amp;"'; "</f>
        <v xml:space="preserve">Update Project Set Organisation = 'University of Queensland' where Project_ID = 'P0175'; </v>
      </c>
      <c r="Q184" t="str">
        <f>"Update Project Set Library_name = '"&amp;L184&amp;"' , COADD_ID = '"&amp;M184&amp;"' where Project_ID = '"&amp;A184&amp;"'; "</f>
        <v xml:space="preserve">Update Project Set Library_name = '' , COADD_ID = 'CO-ADD:PC0175' where Project_ID = 'P0175'; </v>
      </c>
    </row>
    <row r="185" spans="1:17">
      <c r="A185" t="s">
        <v>6226</v>
      </c>
      <c r="C185" t="s">
        <v>5633</v>
      </c>
      <c r="D185" t="s">
        <v>2080</v>
      </c>
      <c r="E185" t="s">
        <v>4512</v>
      </c>
      <c r="F185" t="s">
        <v>3878</v>
      </c>
      <c r="G185" t="s">
        <v>8963</v>
      </c>
      <c r="H185" t="s">
        <v>3881</v>
      </c>
      <c r="I185" t="s">
        <v>117</v>
      </c>
      <c r="K185" t="s">
        <v>5828</v>
      </c>
      <c r="L185" t="s">
        <v>6225</v>
      </c>
      <c r="M185" t="s">
        <v>6224</v>
      </c>
      <c r="N185" s="2">
        <v>43617</v>
      </c>
      <c r="P185" t="str">
        <f>"Update Project Set Organisation = '"&amp;H185&amp;"' where Project_ID = '"&amp;A185&amp;"'; "</f>
        <v xml:space="preserve">Update Project Set Organisation = 'Indiana University-Purdue University Indianapolis' where Project_ID = 'P0176'; </v>
      </c>
      <c r="Q185" t="str">
        <f>"Update Project Set Library_name = '"&amp;L185&amp;"' , COADD_ID = '"&amp;M185&amp;"' where Project_ID = '"&amp;A185&amp;"'; "</f>
        <v xml:space="preserve">Update Project Set Library_name = 'Indiana University - Purdue University Indianapolis (USA)' , COADD_ID = 'CO-ADD:PC0176' where Project_ID = 'P0176'; </v>
      </c>
    </row>
    <row r="186" spans="1:17">
      <c r="A186" t="s">
        <v>6228</v>
      </c>
      <c r="C186" t="s">
        <v>5633</v>
      </c>
      <c r="D186" t="s">
        <v>48</v>
      </c>
      <c r="E186" t="s">
        <v>47</v>
      </c>
      <c r="G186" t="s">
        <v>8941</v>
      </c>
      <c r="H186" t="s">
        <v>52</v>
      </c>
      <c r="I186" t="s">
        <v>55</v>
      </c>
      <c r="K186" t="s">
        <v>5843</v>
      </c>
      <c r="M186" t="s">
        <v>6227</v>
      </c>
      <c r="P186" t="str">
        <f>"Update Project Set Organisation = '"&amp;H186&amp;"' where Project_ID = '"&amp;A186&amp;"'; "</f>
        <v xml:space="preserve">Update Project Set Organisation = 'German University in Cairo' where Project_ID = 'P0177'; </v>
      </c>
      <c r="Q186" t="str">
        <f>"Update Project Set Library_name = '"&amp;L186&amp;"' , COADD_ID = '"&amp;M186&amp;"' where Project_ID = '"&amp;A186&amp;"'; "</f>
        <v xml:space="preserve">Update Project Set Library_name = '' , COADD_ID = 'CO-ADD:PC0177' where Project_ID = 'P0177'; </v>
      </c>
    </row>
    <row r="187" spans="1:17">
      <c r="A187" t="s">
        <v>6230</v>
      </c>
      <c r="C187" t="s">
        <v>5633</v>
      </c>
      <c r="D187" t="s">
        <v>448</v>
      </c>
      <c r="E187" t="s">
        <v>4373</v>
      </c>
      <c r="F187" t="s">
        <v>2490</v>
      </c>
      <c r="G187" t="s">
        <v>8900</v>
      </c>
      <c r="H187" t="s">
        <v>362</v>
      </c>
      <c r="I187" t="s">
        <v>14</v>
      </c>
      <c r="K187" t="s">
        <v>5828</v>
      </c>
      <c r="L187" t="s">
        <v>5922</v>
      </c>
      <c r="M187" t="s">
        <v>6229</v>
      </c>
      <c r="N187" s="2">
        <v>45657</v>
      </c>
      <c r="P187" t="str">
        <f>"Update Project Set Organisation = '"&amp;H187&amp;"' where Project_ID = '"&amp;A187&amp;"'; "</f>
        <v xml:space="preserve">Update Project Set Organisation = 'University of Queensland' where Project_ID = 'P0178'; </v>
      </c>
      <c r="Q187" t="str">
        <f>"Update Project Set Library_name = '"&amp;L187&amp;"' , COADD_ID = '"&amp;M187&amp;"' where Project_ID = '"&amp;A187&amp;"'; "</f>
        <v xml:space="preserve">Update Project Set Library_name = 'University of Queensland (Australia)' , COADD_ID = 'CO-ADD:PC0178' where Project_ID = 'P0178'; </v>
      </c>
    </row>
    <row r="188" spans="1:17">
      <c r="A188" t="s">
        <v>6233</v>
      </c>
      <c r="B188" t="s">
        <v>6232</v>
      </c>
      <c r="C188" t="s">
        <v>5633</v>
      </c>
      <c r="D188" t="s">
        <v>4643</v>
      </c>
      <c r="E188" t="s">
        <v>4642</v>
      </c>
      <c r="G188" t="s">
        <v>9068</v>
      </c>
      <c r="H188" t="s">
        <v>4646</v>
      </c>
      <c r="I188" t="s">
        <v>1600</v>
      </c>
      <c r="K188" t="s">
        <v>5828</v>
      </c>
      <c r="L188" t="s">
        <v>5995</v>
      </c>
      <c r="M188" t="s">
        <v>6231</v>
      </c>
      <c r="N188" s="2">
        <v>43862</v>
      </c>
      <c r="P188" t="str">
        <f>"Update Project Set Organisation = '"&amp;H188&amp;"' where Project_ID = '"&amp;A188&amp;"'; "</f>
        <v xml:space="preserve">Update Project Set Organisation = 'Russian Academy of Science' where Project_ID = 'P0179'; </v>
      </c>
      <c r="Q188" t="str">
        <f>"Update Project Set Library_name = '"&amp;L188&amp;"' , COADD_ID = '"&amp;M188&amp;"' where Project_ID = '"&amp;A188&amp;"'; "</f>
        <v xml:space="preserve">Update Project Set Library_name = 'Russian Academy of Science (Russia)' , COADD_ID = 'CO-ADD:PC0179' where Project_ID = 'P0179'; </v>
      </c>
    </row>
    <row r="189" spans="1:17">
      <c r="A189" t="s">
        <v>6237</v>
      </c>
      <c r="B189" t="s">
        <v>6236</v>
      </c>
      <c r="C189" t="s">
        <v>5633</v>
      </c>
      <c r="D189" t="s">
        <v>3128</v>
      </c>
      <c r="E189" t="s">
        <v>4739</v>
      </c>
      <c r="G189" t="s">
        <v>8949</v>
      </c>
      <c r="H189" t="s">
        <v>1327</v>
      </c>
      <c r="I189" t="s">
        <v>14</v>
      </c>
      <c r="K189" t="s">
        <v>5843</v>
      </c>
      <c r="L189" t="s">
        <v>6235</v>
      </c>
      <c r="M189" t="s">
        <v>6234</v>
      </c>
      <c r="P189" t="str">
        <f>"Update Project Set Organisation = '"&amp;H189&amp;"' where Project_ID = '"&amp;A189&amp;"'; "</f>
        <v xml:space="preserve">Update Project Set Organisation = 'Griffith University' where Project_ID = 'P0180'; </v>
      </c>
      <c r="Q189" t="str">
        <f>"Update Project Set Library_name = '"&amp;L189&amp;"' , COADD_ID = '"&amp;M189&amp;"' where Project_ID = '"&amp;A189&amp;"'; "</f>
        <v xml:space="preserve">Update Project Set Library_name = 'Griffith University Compounds Australia (Australia) - Open Library' , COADD_ID = 'CO-ADD:PL0053' where Project_ID = 'P0180'; </v>
      </c>
    </row>
    <row r="190" spans="1:17">
      <c r="A190" t="s">
        <v>6241</v>
      </c>
      <c r="B190" t="s">
        <v>6240</v>
      </c>
      <c r="C190" t="s">
        <v>5633</v>
      </c>
      <c r="D190" t="s">
        <v>3004</v>
      </c>
      <c r="E190" t="s">
        <v>5307</v>
      </c>
      <c r="G190" t="s">
        <v>9219</v>
      </c>
      <c r="H190" t="s">
        <v>389</v>
      </c>
      <c r="I190" t="s">
        <v>14</v>
      </c>
      <c r="K190" t="s">
        <v>5828</v>
      </c>
      <c r="L190" t="s">
        <v>6239</v>
      </c>
      <c r="M190" t="s">
        <v>6238</v>
      </c>
      <c r="N190" s="2">
        <v>42795</v>
      </c>
      <c r="P190" t="str">
        <f>"Update Project Set Organisation = '"&amp;H190&amp;"' where Project_ID = '"&amp;A190&amp;"'; "</f>
        <v xml:space="preserve">Update Project Set Organisation = 'University of Sydney' where Project_ID = 'P0181'; </v>
      </c>
      <c r="Q190" t="str">
        <f>"Update Project Set Library_name = '"&amp;L190&amp;"' , COADD_ID = '"&amp;M190&amp;"' where Project_ID = '"&amp;A190&amp;"'; "</f>
        <v xml:space="preserve">Update Project Set Library_name = 'Open Source Malaria' , COADD_ID = 'CO-ADD:PC0181' where Project_ID = 'P0181'; </v>
      </c>
    </row>
    <row r="191" spans="1:17">
      <c r="A191" t="s">
        <v>6243</v>
      </c>
      <c r="C191" t="s">
        <v>5633</v>
      </c>
      <c r="D191" t="s">
        <v>1725</v>
      </c>
      <c r="E191" t="s">
        <v>1896</v>
      </c>
      <c r="G191" t="s">
        <v>8965</v>
      </c>
      <c r="H191" t="s">
        <v>8152</v>
      </c>
      <c r="I191" t="s">
        <v>1256</v>
      </c>
      <c r="K191" t="s">
        <v>5828</v>
      </c>
      <c r="L191" t="s">
        <v>8184</v>
      </c>
      <c r="M191" t="s">
        <v>6242</v>
      </c>
      <c r="N191" s="2">
        <v>45657</v>
      </c>
      <c r="P191" t="str">
        <f>"Update Project Set Organisation = '"&amp;H191&amp;"' where Project_ID = '"&amp;A191&amp;"'; "</f>
        <v xml:space="preserve">Update Project Set Organisation = 'Institut Català Investigació Química (ICIQ)' where Project_ID = 'P0182'; </v>
      </c>
      <c r="Q191" t="str">
        <f>"Update Project Set Library_name = '"&amp;L191&amp;"' , COADD_ID = '"&amp;M191&amp;"' where Project_ID = '"&amp;A191&amp;"'; "</f>
        <v xml:space="preserve">Update Project Set Library_name = 'Institut Català Investigació Química (ICIQ) (Spain)' , COADD_ID = 'CO-ADD:PC0182' where Project_ID = 'P0182'; </v>
      </c>
    </row>
    <row r="192" spans="1:17">
      <c r="A192" t="s">
        <v>6247</v>
      </c>
      <c r="C192" t="s">
        <v>5633</v>
      </c>
      <c r="D192" t="s">
        <v>3011</v>
      </c>
      <c r="E192" t="s">
        <v>3010</v>
      </c>
      <c r="G192" t="s">
        <v>9172</v>
      </c>
      <c r="H192" t="s">
        <v>5568</v>
      </c>
      <c r="I192" t="s">
        <v>694</v>
      </c>
      <c r="J192" t="s">
        <v>6246</v>
      </c>
      <c r="K192" t="s">
        <v>5828</v>
      </c>
      <c r="L192" t="s">
        <v>6245</v>
      </c>
      <c r="M192" t="s">
        <v>6244</v>
      </c>
      <c r="N192" s="2">
        <v>43617</v>
      </c>
      <c r="P192" t="str">
        <f>"Update Project Set Organisation = '"&amp;H192&amp;"' where Project_ID = '"&amp;A192&amp;"'; "</f>
        <v xml:space="preserve">Update Project Set Organisation = 'University of Natural Resources and Life (BOKU)' where Project_ID = 'P0183'; </v>
      </c>
      <c r="Q192" t="str">
        <f>"Update Project Set Library_name = '"&amp;L192&amp;"' , COADD_ID = '"&amp;M192&amp;"' where Project_ID = '"&amp;A192&amp;"'; "</f>
        <v xml:space="preserve">Update Project Set Library_name = 'University of Natural Resources and Life (Austria)' , COADD_ID = 'CO-ADD:PC0183' where Project_ID = 'P0183'; </v>
      </c>
    </row>
    <row r="193" spans="1:17">
      <c r="A193" t="s">
        <v>6250</v>
      </c>
      <c r="C193" t="s">
        <v>5633</v>
      </c>
      <c r="D193" t="s">
        <v>2560</v>
      </c>
      <c r="E193" t="s">
        <v>2720</v>
      </c>
      <c r="F193" t="s">
        <v>2559</v>
      </c>
      <c r="G193" t="s">
        <v>9248</v>
      </c>
      <c r="H193" t="s">
        <v>2564</v>
      </c>
      <c r="I193" t="s">
        <v>269</v>
      </c>
      <c r="J193" t="s">
        <v>6249</v>
      </c>
      <c r="K193" t="s">
        <v>5828</v>
      </c>
      <c r="L193" t="s">
        <v>8194</v>
      </c>
      <c r="M193" t="s">
        <v>6248</v>
      </c>
      <c r="N193" s="2">
        <v>45657</v>
      </c>
      <c r="P193" t="str">
        <f>"Update Project Set Organisation = '"&amp;H193&amp;"' where Project_ID = '"&amp;A193&amp;"'; "</f>
        <v xml:space="preserve">Update Project Set Organisation = 'University of Wolverhampton' where Project_ID = 'P0184'; </v>
      </c>
      <c r="Q193" t="str">
        <f>"Update Project Set Library_name = '"&amp;L193&amp;"' , COADD_ID = '"&amp;M193&amp;"' where Project_ID = '"&amp;A193&amp;"'; "</f>
        <v xml:space="preserve">Update Project Set Library_name = 'University of Wolverhampton (United Kingdom)' , COADD_ID = 'CO-ADD:PC0184' where Project_ID = 'P0184'; </v>
      </c>
    </row>
    <row r="194" spans="1:17">
      <c r="A194" t="s">
        <v>6252</v>
      </c>
      <c r="C194" t="s">
        <v>5633</v>
      </c>
      <c r="D194" t="s">
        <v>4023</v>
      </c>
      <c r="E194" t="s">
        <v>4022</v>
      </c>
      <c r="G194" t="s">
        <v>8975</v>
      </c>
      <c r="H194" t="s">
        <v>208</v>
      </c>
      <c r="I194" t="s">
        <v>211</v>
      </c>
      <c r="K194" t="s">
        <v>5828</v>
      </c>
      <c r="L194" t="s">
        <v>6572</v>
      </c>
      <c r="M194" t="s">
        <v>6251</v>
      </c>
      <c r="N194" s="2">
        <v>45657</v>
      </c>
      <c r="P194" t="str">
        <f>"Update Project Set Organisation = '"&amp;H194&amp;"' where Project_ID = '"&amp;A194&amp;"'; "</f>
        <v xml:space="preserve">Update Project Set Organisation = 'Jain University' where Project_ID = 'P0185'; </v>
      </c>
      <c r="Q194" t="str">
        <f>"Update Project Set Library_name = '"&amp;L194&amp;"' , COADD_ID = '"&amp;M194&amp;"' where Project_ID = '"&amp;A194&amp;"'; "</f>
        <v xml:space="preserve">Update Project Set Library_name = 'Jain University (India)' , COADD_ID = 'CO-ADD:PC0185' where Project_ID = 'P0185'; </v>
      </c>
    </row>
    <row r="195" spans="1:17">
      <c r="A195" t="s">
        <v>6255</v>
      </c>
      <c r="B195" t="s">
        <v>6254</v>
      </c>
      <c r="C195" t="s">
        <v>5633</v>
      </c>
      <c r="D195" t="s">
        <v>4643</v>
      </c>
      <c r="E195" t="s">
        <v>4642</v>
      </c>
      <c r="G195" t="s">
        <v>9068</v>
      </c>
      <c r="H195" t="s">
        <v>4646</v>
      </c>
      <c r="I195" t="s">
        <v>1600</v>
      </c>
      <c r="K195" t="s">
        <v>5828</v>
      </c>
      <c r="L195" t="s">
        <v>5995</v>
      </c>
      <c r="M195" t="s">
        <v>6253</v>
      </c>
      <c r="N195" s="2">
        <v>43862</v>
      </c>
      <c r="P195" t="str">
        <f>"Update Project Set Organisation = '"&amp;H195&amp;"' where Project_ID = '"&amp;A195&amp;"'; "</f>
        <v xml:space="preserve">Update Project Set Organisation = 'Russian Academy of Science' where Project_ID = 'P0186'; </v>
      </c>
      <c r="Q195" t="str">
        <f>"Update Project Set Library_name = '"&amp;L195&amp;"' , COADD_ID = '"&amp;M195&amp;"' where Project_ID = '"&amp;A195&amp;"'; "</f>
        <v xml:space="preserve">Update Project Set Library_name = 'Russian Academy of Science (Russia)' , COADD_ID = 'CO-ADD:PC0186' where Project_ID = 'P0186'; </v>
      </c>
    </row>
    <row r="196" spans="1:17">
      <c r="A196" t="s">
        <v>6257</v>
      </c>
      <c r="C196" t="s">
        <v>5633</v>
      </c>
      <c r="D196" t="s">
        <v>4172</v>
      </c>
      <c r="E196" t="s">
        <v>940</v>
      </c>
      <c r="G196" t="s">
        <v>8899</v>
      </c>
      <c r="H196" t="s">
        <v>943</v>
      </c>
      <c r="I196" t="s">
        <v>117</v>
      </c>
      <c r="K196" t="s">
        <v>5843</v>
      </c>
      <c r="M196" t="s">
        <v>6256</v>
      </c>
      <c r="P196" t="str">
        <f>"Update Project Set Organisation = '"&amp;H196&amp;"' where Project_ID = '"&amp;A196&amp;"'; "</f>
        <v xml:space="preserve">Update Project Set Organisation = 'Boston University' where Project_ID = 'P0187'; </v>
      </c>
      <c r="Q196" t="str">
        <f>"Update Project Set Library_name = '"&amp;L196&amp;"' , COADD_ID = '"&amp;M196&amp;"' where Project_ID = '"&amp;A196&amp;"'; "</f>
        <v xml:space="preserve">Update Project Set Library_name = '' , COADD_ID = 'CO-ADD:PC0187' where Project_ID = 'P0187'; </v>
      </c>
    </row>
    <row r="197" spans="1:17">
      <c r="A197" t="s">
        <v>6259</v>
      </c>
      <c r="C197" t="s">
        <v>5633</v>
      </c>
      <c r="D197" t="s">
        <v>448</v>
      </c>
      <c r="E197" t="s">
        <v>2398</v>
      </c>
      <c r="G197" t="s">
        <v>8900</v>
      </c>
      <c r="H197" t="s">
        <v>362</v>
      </c>
      <c r="I197" t="s">
        <v>14</v>
      </c>
      <c r="K197" t="s">
        <v>5828</v>
      </c>
      <c r="L197" t="s">
        <v>5922</v>
      </c>
      <c r="M197" t="s">
        <v>6258</v>
      </c>
      <c r="N197" s="2">
        <v>45657</v>
      </c>
      <c r="P197" t="str">
        <f>"Update Project Set Organisation = '"&amp;H197&amp;"' where Project_ID = '"&amp;A197&amp;"'; "</f>
        <v xml:space="preserve">Update Project Set Organisation = 'University of Queensland' where Project_ID = 'P0188'; </v>
      </c>
      <c r="Q197" t="str">
        <f>"Update Project Set Library_name = '"&amp;L197&amp;"' , COADD_ID = '"&amp;M197&amp;"' where Project_ID = '"&amp;A197&amp;"'; "</f>
        <v xml:space="preserve">Update Project Set Library_name = 'University of Queensland (Australia)' , COADD_ID = 'CO-ADD:PC0188' where Project_ID = 'P0188'; </v>
      </c>
    </row>
    <row r="198" spans="1:17">
      <c r="A198" t="s">
        <v>6261</v>
      </c>
      <c r="C198" t="s">
        <v>5633</v>
      </c>
      <c r="D198" t="s">
        <v>688</v>
      </c>
      <c r="E198" t="s">
        <v>687</v>
      </c>
      <c r="G198" t="s">
        <v>9234</v>
      </c>
      <c r="H198" t="s">
        <v>691</v>
      </c>
      <c r="I198" t="s">
        <v>694</v>
      </c>
      <c r="K198" t="s">
        <v>5828</v>
      </c>
      <c r="L198" t="s">
        <v>8195</v>
      </c>
      <c r="M198" t="s">
        <v>6260</v>
      </c>
      <c r="N198" s="2">
        <v>45657</v>
      </c>
      <c r="P198" t="str">
        <f>"Update Project Set Organisation = '"&amp;H198&amp;"' where Project_ID = '"&amp;A198&amp;"'; "</f>
        <v xml:space="preserve">Update Project Set Organisation = 'University of Vienna' where Project_ID = 'P0189'; </v>
      </c>
      <c r="Q198" t="str">
        <f>"Update Project Set Library_name = '"&amp;L198&amp;"' , COADD_ID = '"&amp;M198&amp;"' where Project_ID = '"&amp;A198&amp;"'; "</f>
        <v xml:space="preserve">Update Project Set Library_name = 'University of Vienna (Austria)' , COADD_ID = 'CO-ADD:PC0189' where Project_ID = 'P0189'; </v>
      </c>
    </row>
    <row r="199" spans="1:17">
      <c r="A199" t="s">
        <v>6263</v>
      </c>
      <c r="C199" t="s">
        <v>5633</v>
      </c>
      <c r="D199" t="s">
        <v>1249</v>
      </c>
      <c r="E199" t="s">
        <v>1248</v>
      </c>
      <c r="G199" t="s">
        <v>9106</v>
      </c>
      <c r="H199" t="s">
        <v>1253</v>
      </c>
      <c r="I199" t="s">
        <v>1256</v>
      </c>
      <c r="K199" t="s">
        <v>5843</v>
      </c>
      <c r="M199" t="s">
        <v>6262</v>
      </c>
      <c r="P199" t="str">
        <f>"Update Project Set Organisation = '"&amp;H199&amp;"' where Project_ID = '"&amp;A199&amp;"'; "</f>
        <v xml:space="preserve">Update Project Set Organisation = 'Universitat de Barcelona' where Project_ID = 'P0190'; </v>
      </c>
      <c r="Q199" t="str">
        <f>"Update Project Set Library_name = '"&amp;L199&amp;"' , COADD_ID = '"&amp;M199&amp;"' where Project_ID = '"&amp;A199&amp;"'; "</f>
        <v xml:space="preserve">Update Project Set Library_name = '' , COADD_ID = 'CO-ADD:PC0190' where Project_ID = 'P0190'; </v>
      </c>
    </row>
    <row r="200" spans="1:17">
      <c r="A200" t="s">
        <v>6265</v>
      </c>
      <c r="C200" t="s">
        <v>5633</v>
      </c>
      <c r="D200" t="s">
        <v>3188</v>
      </c>
      <c r="E200" t="s">
        <v>4896</v>
      </c>
      <c r="G200" t="s">
        <v>9259</v>
      </c>
      <c r="H200" t="s">
        <v>3192</v>
      </c>
      <c r="I200" t="s">
        <v>3194</v>
      </c>
      <c r="K200" t="s">
        <v>5828</v>
      </c>
      <c r="L200" t="s">
        <v>8196</v>
      </c>
      <c r="M200" t="s">
        <v>6264</v>
      </c>
      <c r="N200" s="2">
        <v>45657</v>
      </c>
      <c r="P200" t="str">
        <f>"Update Project Set Organisation = '"&amp;H200&amp;"' where Project_ID = '"&amp;A200&amp;"'; "</f>
        <v xml:space="preserve">Update Project Set Organisation = 'VU University Amsterdam' where Project_ID = 'P0191'; </v>
      </c>
      <c r="Q200" t="str">
        <f>"Update Project Set Library_name = '"&amp;L200&amp;"' , COADD_ID = '"&amp;M200&amp;"' where Project_ID = '"&amp;A200&amp;"'; "</f>
        <v xml:space="preserve">Update Project Set Library_name = 'VU University Amsterdam (Netherlands)' , COADD_ID = 'CO-ADD:PC0191' where Project_ID = 'P0191'; </v>
      </c>
    </row>
    <row r="201" spans="1:17">
      <c r="A201" t="s">
        <v>6267</v>
      </c>
      <c r="C201" t="s">
        <v>5633</v>
      </c>
      <c r="D201" t="s">
        <v>1300</v>
      </c>
      <c r="E201" t="s">
        <v>1299</v>
      </c>
      <c r="F201" t="s">
        <v>3076</v>
      </c>
      <c r="G201" t="s">
        <v>9046</v>
      </c>
      <c r="H201" t="s">
        <v>1303</v>
      </c>
      <c r="I201" t="s">
        <v>117</v>
      </c>
      <c r="K201" t="s">
        <v>5843</v>
      </c>
      <c r="M201" t="s">
        <v>6266</v>
      </c>
      <c r="P201" t="str">
        <f>"Update Project Set Organisation = '"&amp;H201&amp;"' where Project_ID = '"&amp;A201&amp;"'; "</f>
        <v xml:space="preserve">Update Project Set Organisation = 'North Dakota State University (NDSU)' where Project_ID = 'P0192'; </v>
      </c>
      <c r="Q201" t="str">
        <f>"Update Project Set Library_name = '"&amp;L201&amp;"' , COADD_ID = '"&amp;M201&amp;"' where Project_ID = '"&amp;A201&amp;"'; "</f>
        <v xml:space="preserve">Update Project Set Library_name = '' , COADD_ID = 'CO-ADD:PC0192' where Project_ID = 'P0192'; </v>
      </c>
    </row>
    <row r="202" spans="1:17">
      <c r="A202" t="s">
        <v>6269</v>
      </c>
      <c r="C202" t="s">
        <v>5633</v>
      </c>
      <c r="D202" t="s">
        <v>988</v>
      </c>
      <c r="E202" t="s">
        <v>4890</v>
      </c>
      <c r="G202" t="s">
        <v>9134</v>
      </c>
      <c r="H202" t="s">
        <v>991</v>
      </c>
      <c r="I202" t="s">
        <v>269</v>
      </c>
      <c r="K202" t="s">
        <v>5828</v>
      </c>
      <c r="L202" t="s">
        <v>8197</v>
      </c>
      <c r="M202" t="s">
        <v>6268</v>
      </c>
      <c r="N202" s="2">
        <v>45657</v>
      </c>
      <c r="P202" t="str">
        <f>"Update Project Set Organisation = '"&amp;H202&amp;"' where Project_ID = '"&amp;A202&amp;"'; "</f>
        <v xml:space="preserve">Update Project Set Organisation = 'University of Bath' where Project_ID = 'P0193'; </v>
      </c>
      <c r="Q202" t="str">
        <f>"Update Project Set Library_name = '"&amp;L202&amp;"' , COADD_ID = '"&amp;M202&amp;"' where Project_ID = '"&amp;A202&amp;"'; "</f>
        <v xml:space="preserve">Update Project Set Library_name = 'University of Bath (United Kingdom)' , COADD_ID = 'CO-ADD:PC0193' where Project_ID = 'P0193'; </v>
      </c>
    </row>
    <row r="203" spans="1:17">
      <c r="A203" t="s">
        <v>6271</v>
      </c>
      <c r="C203" t="s">
        <v>5633</v>
      </c>
      <c r="D203" t="s">
        <v>1292</v>
      </c>
      <c r="E203" t="s">
        <v>1291</v>
      </c>
      <c r="F203" t="s">
        <v>1675</v>
      </c>
      <c r="G203" t="s">
        <v>9186</v>
      </c>
      <c r="H203" t="s">
        <v>1294</v>
      </c>
      <c r="I203" t="s">
        <v>223</v>
      </c>
      <c r="K203" t="s">
        <v>5843</v>
      </c>
      <c r="M203" t="s">
        <v>6270</v>
      </c>
      <c r="P203" t="str">
        <f>"Update Project Set Organisation = '"&amp;H203&amp;"' where Project_ID = '"&amp;A203&amp;"'; "</f>
        <v xml:space="preserve">Update Project Set Organisation = 'University of Otago' where Project_ID = 'P0194'; </v>
      </c>
      <c r="Q203" t="str">
        <f>"Update Project Set Library_name = '"&amp;L203&amp;"' , COADD_ID = '"&amp;M203&amp;"' where Project_ID = '"&amp;A203&amp;"'; "</f>
        <v xml:space="preserve">Update Project Set Library_name = '' , COADD_ID = 'CO-ADD:PC0194' where Project_ID = 'P0194'; </v>
      </c>
    </row>
    <row r="204" spans="1:17">
      <c r="A204" t="s">
        <v>6273</v>
      </c>
      <c r="C204" t="s">
        <v>5633</v>
      </c>
      <c r="D204" t="s">
        <v>1284</v>
      </c>
      <c r="E204" t="s">
        <v>5325</v>
      </c>
      <c r="G204" t="s">
        <v>9251</v>
      </c>
      <c r="H204" t="s">
        <v>1287</v>
      </c>
      <c r="I204" t="s">
        <v>117</v>
      </c>
      <c r="K204" t="s">
        <v>5843</v>
      </c>
      <c r="M204" t="s">
        <v>6272</v>
      </c>
      <c r="P204" t="str">
        <f>"Update Project Set Organisation = '"&amp;H204&amp;"' where Project_ID = '"&amp;A204&amp;"'; "</f>
        <v xml:space="preserve">Update Project Set Organisation = 'UW-Milwaukee' where Project_ID = 'P0195'; </v>
      </c>
      <c r="Q204" t="str">
        <f>"Update Project Set Library_name = '"&amp;L204&amp;"' , COADD_ID = '"&amp;M204&amp;"' where Project_ID = '"&amp;A204&amp;"'; "</f>
        <v xml:space="preserve">Update Project Set Library_name = '' , COADD_ID = 'CO-ADD:PC0195' where Project_ID = 'P0195'; </v>
      </c>
    </row>
    <row r="205" spans="1:17">
      <c r="A205" t="s">
        <v>6275</v>
      </c>
      <c r="C205" t="s">
        <v>5633</v>
      </c>
      <c r="D205" t="s">
        <v>3701</v>
      </c>
      <c r="E205" t="s">
        <v>3947</v>
      </c>
      <c r="G205" t="s">
        <v>9182</v>
      </c>
      <c r="H205" t="s">
        <v>3704</v>
      </c>
      <c r="I205" t="s">
        <v>117</v>
      </c>
      <c r="K205" t="s">
        <v>5806</v>
      </c>
      <c r="M205" t="s">
        <v>6274</v>
      </c>
      <c r="P205" t="str">
        <f>"Update Project Set Organisation = '"&amp;H205&amp;"' where Project_ID = '"&amp;A205&amp;"'; "</f>
        <v xml:space="preserve">Update Project Set Organisation = 'University of North Carolina Wilmington' where Project_ID = 'P0196'; </v>
      </c>
      <c r="Q205" t="str">
        <f>"Update Project Set Library_name = '"&amp;L205&amp;"' , COADD_ID = '"&amp;M205&amp;"' where Project_ID = '"&amp;A205&amp;"'; "</f>
        <v xml:space="preserve">Update Project Set Library_name = '' , COADD_ID = 'CO-ADD:PC0196' where Project_ID = 'P0196'; </v>
      </c>
    </row>
    <row r="206" spans="1:17">
      <c r="A206" t="s">
        <v>6278</v>
      </c>
      <c r="B206" t="s">
        <v>6277</v>
      </c>
      <c r="C206" t="s">
        <v>5633</v>
      </c>
      <c r="D206" t="s">
        <v>4643</v>
      </c>
      <c r="E206" t="s">
        <v>4642</v>
      </c>
      <c r="G206" t="s">
        <v>9068</v>
      </c>
      <c r="H206" t="s">
        <v>4646</v>
      </c>
      <c r="I206" t="s">
        <v>1600</v>
      </c>
      <c r="K206" t="s">
        <v>5828</v>
      </c>
      <c r="L206" t="s">
        <v>5995</v>
      </c>
      <c r="M206" t="s">
        <v>6276</v>
      </c>
      <c r="N206" s="2">
        <v>43862</v>
      </c>
      <c r="P206" t="str">
        <f>"Update Project Set Organisation = '"&amp;H206&amp;"' where Project_ID = '"&amp;A206&amp;"'; "</f>
        <v xml:space="preserve">Update Project Set Organisation = 'Russian Academy of Science' where Project_ID = 'P0197'; </v>
      </c>
      <c r="Q206" t="str">
        <f>"Update Project Set Library_name = '"&amp;L206&amp;"' , COADD_ID = '"&amp;M206&amp;"' where Project_ID = '"&amp;A206&amp;"'; "</f>
        <v xml:space="preserve">Update Project Set Library_name = 'Russian Academy of Science (Russia)' , COADD_ID = 'CO-ADD:PC0197' where Project_ID = 'P0197'; </v>
      </c>
    </row>
    <row r="207" spans="1:17">
      <c r="A207" t="s">
        <v>6280</v>
      </c>
      <c r="C207" t="s">
        <v>5633</v>
      </c>
      <c r="D207" t="s">
        <v>669</v>
      </c>
      <c r="E207" t="s">
        <v>668</v>
      </c>
      <c r="G207" t="s">
        <v>9123</v>
      </c>
      <c r="H207" t="s">
        <v>169</v>
      </c>
      <c r="I207" t="s">
        <v>14</v>
      </c>
      <c r="K207" t="s">
        <v>5837</v>
      </c>
      <c r="M207" t="s">
        <v>6279</v>
      </c>
      <c r="P207" t="str">
        <f>"Update Project Set Organisation = '"&amp;H207&amp;"' where Project_ID = '"&amp;A207&amp;"'; "</f>
        <v xml:space="preserve">Update Project Set Organisation = 'University of Adelaide' where Project_ID = 'P0198'; </v>
      </c>
      <c r="Q207" t="str">
        <f>"Update Project Set Library_name = '"&amp;L207&amp;"' , COADD_ID = '"&amp;M207&amp;"' where Project_ID = '"&amp;A207&amp;"'; "</f>
        <v xml:space="preserve">Update Project Set Library_name = '' , COADD_ID = 'CO-ADD:PC0198' where Project_ID = 'P0198'; </v>
      </c>
    </row>
    <row r="208" spans="1:17">
      <c r="A208" t="s">
        <v>6283</v>
      </c>
      <c r="B208" t="s">
        <v>6282</v>
      </c>
      <c r="C208" t="s">
        <v>5633</v>
      </c>
      <c r="D208" t="s">
        <v>4643</v>
      </c>
      <c r="E208" t="s">
        <v>4642</v>
      </c>
      <c r="G208" t="s">
        <v>9068</v>
      </c>
      <c r="H208" t="s">
        <v>4646</v>
      </c>
      <c r="I208" t="s">
        <v>1600</v>
      </c>
      <c r="K208" t="s">
        <v>5828</v>
      </c>
      <c r="L208" t="s">
        <v>5995</v>
      </c>
      <c r="M208" t="s">
        <v>6281</v>
      </c>
      <c r="N208" s="2">
        <v>43862</v>
      </c>
      <c r="P208" t="str">
        <f>"Update Project Set Organisation = '"&amp;H208&amp;"' where Project_ID = '"&amp;A208&amp;"'; "</f>
        <v xml:space="preserve">Update Project Set Organisation = 'Russian Academy of Science' where Project_ID = 'P0199'; </v>
      </c>
      <c r="Q208" t="str">
        <f>"Update Project Set Library_name = '"&amp;L208&amp;"' , COADD_ID = '"&amp;M208&amp;"' where Project_ID = '"&amp;A208&amp;"'; "</f>
        <v xml:space="preserve">Update Project Set Library_name = 'Russian Academy of Science (Russia)' , COADD_ID = 'CO-ADD:PC0199' where Project_ID = 'P0199'; </v>
      </c>
    </row>
    <row r="209" spans="1:17">
      <c r="A209" t="s">
        <v>6286</v>
      </c>
      <c r="B209" t="s">
        <v>6285</v>
      </c>
      <c r="C209" t="s">
        <v>5633</v>
      </c>
      <c r="D209" t="s">
        <v>4643</v>
      </c>
      <c r="E209" t="s">
        <v>4642</v>
      </c>
      <c r="G209" t="s">
        <v>9068</v>
      </c>
      <c r="H209" t="s">
        <v>4646</v>
      </c>
      <c r="I209" t="s">
        <v>1600</v>
      </c>
      <c r="K209" t="s">
        <v>5828</v>
      </c>
      <c r="L209" t="s">
        <v>5995</v>
      </c>
      <c r="M209" t="s">
        <v>6284</v>
      </c>
      <c r="N209" s="2">
        <v>43862</v>
      </c>
      <c r="P209" t="str">
        <f>"Update Project Set Organisation = '"&amp;H209&amp;"' where Project_ID = '"&amp;A209&amp;"'; "</f>
        <v xml:space="preserve">Update Project Set Organisation = 'Russian Academy of Science' where Project_ID = 'P0200'; </v>
      </c>
      <c r="Q209" t="str">
        <f>"Update Project Set Library_name = '"&amp;L209&amp;"' , COADD_ID = '"&amp;M209&amp;"' where Project_ID = '"&amp;A209&amp;"'; "</f>
        <v xml:space="preserve">Update Project Set Library_name = 'Russian Academy of Science (Russia)' , COADD_ID = 'CO-ADD:PC0200' where Project_ID = 'P0200'; </v>
      </c>
    </row>
    <row r="210" spans="1:17">
      <c r="A210" t="s">
        <v>6288</v>
      </c>
      <c r="C210" t="s">
        <v>5633</v>
      </c>
      <c r="D210" t="s">
        <v>3058</v>
      </c>
      <c r="E210" t="s">
        <v>3169</v>
      </c>
      <c r="F210" t="s">
        <v>4280</v>
      </c>
      <c r="G210" t="s">
        <v>8994</v>
      </c>
      <c r="H210" t="s">
        <v>3062</v>
      </c>
      <c r="I210" t="s">
        <v>557</v>
      </c>
      <c r="K210" t="s">
        <v>5828</v>
      </c>
      <c r="L210" t="s">
        <v>8190</v>
      </c>
      <c r="M210" t="s">
        <v>6287</v>
      </c>
      <c r="N210" s="2">
        <v>45657</v>
      </c>
      <c r="P210" t="str">
        <f>"Update Project Set Organisation = '"&amp;H210&amp;"' where Project_ID = '"&amp;A210&amp;"'; "</f>
        <v xml:space="preserve">Update Project Set Organisation = 'Leuphana University Lueneburg' where Project_ID = 'P0201'; </v>
      </c>
      <c r="Q210" t="str">
        <f>"Update Project Set Library_name = '"&amp;L210&amp;"' , COADD_ID = '"&amp;M210&amp;"' where Project_ID = '"&amp;A210&amp;"'; "</f>
        <v xml:space="preserve">Update Project Set Library_name = 'Leuphana University Lueneburg (Germany)' , COADD_ID = 'CO-ADD:PC0201' where Project_ID = 'P0201'; </v>
      </c>
    </row>
    <row r="211" spans="1:17">
      <c r="A211" t="s">
        <v>6291</v>
      </c>
      <c r="C211" t="s">
        <v>5633</v>
      </c>
      <c r="D211" t="s">
        <v>678</v>
      </c>
      <c r="E211" t="s">
        <v>677</v>
      </c>
      <c r="F211" t="s">
        <v>3716</v>
      </c>
      <c r="G211" t="s">
        <v>8895</v>
      </c>
      <c r="H211" t="s">
        <v>682</v>
      </c>
      <c r="I211" t="s">
        <v>684</v>
      </c>
      <c r="K211" t="s">
        <v>5828</v>
      </c>
      <c r="L211" t="s">
        <v>6290</v>
      </c>
      <c r="M211" t="s">
        <v>6289</v>
      </c>
      <c r="N211" s="2">
        <v>43617</v>
      </c>
      <c r="P211" t="str">
        <f>"Update Project Set Organisation = '"&amp;H211&amp;"' where Project_ID = '"&amp;A211&amp;"'; "</f>
        <v xml:space="preserve">Update Project Set Organisation = 'Biotechnology Research Centre (C.R.B.t)' where Project_ID = 'P0202'; </v>
      </c>
      <c r="Q211" t="str">
        <f>"Update Project Set Library_name = '"&amp;L211&amp;"' , COADD_ID = '"&amp;M211&amp;"' where Project_ID = '"&amp;A211&amp;"'; "</f>
        <v xml:space="preserve">Update Project Set Library_name = 'Biotechnology Research Centre (C.R.B.t) (Algeria)' , COADD_ID = 'CO-ADD:PC0202' where Project_ID = 'P0202'; </v>
      </c>
    </row>
    <row r="212" spans="1:17">
      <c r="A212" t="s">
        <v>6294</v>
      </c>
      <c r="C212" t="s">
        <v>5633</v>
      </c>
      <c r="D212" t="s">
        <v>4314</v>
      </c>
      <c r="E212" t="s">
        <v>4313</v>
      </c>
      <c r="G212" t="s">
        <v>9217</v>
      </c>
      <c r="H212" t="s">
        <v>389</v>
      </c>
      <c r="I212" t="s">
        <v>14</v>
      </c>
      <c r="J212" t="s">
        <v>6293</v>
      </c>
      <c r="K212" t="s">
        <v>5843</v>
      </c>
      <c r="M212" t="s">
        <v>6292</v>
      </c>
      <c r="P212" t="str">
        <f>"Update Project Set Organisation = '"&amp;H212&amp;"' where Project_ID = '"&amp;A212&amp;"'; "</f>
        <v xml:space="preserve">Update Project Set Organisation = 'University of Sydney' where Project_ID = 'P0203'; </v>
      </c>
      <c r="Q212" t="str">
        <f>"Update Project Set Library_name = '"&amp;L212&amp;"' , COADD_ID = '"&amp;M212&amp;"' where Project_ID = '"&amp;A212&amp;"'; "</f>
        <v xml:space="preserve">Update Project Set Library_name = '' , COADD_ID = 'CO-ADD:PC0203' where Project_ID = 'P0203'; </v>
      </c>
    </row>
    <row r="213" spans="1:17">
      <c r="A213" t="s">
        <v>6296</v>
      </c>
      <c r="C213" t="s">
        <v>5633</v>
      </c>
      <c r="D213" t="s">
        <v>2327</v>
      </c>
      <c r="E213" t="s">
        <v>2326</v>
      </c>
      <c r="G213" t="s">
        <v>9100</v>
      </c>
      <c r="H213" t="s">
        <v>2330</v>
      </c>
      <c r="I213" t="s">
        <v>2333</v>
      </c>
      <c r="K213" t="s">
        <v>5843</v>
      </c>
      <c r="M213" t="s">
        <v>6295</v>
      </c>
      <c r="P213" t="str">
        <f>"Update Project Set Organisation = '"&amp;H213&amp;"' where Project_ID = '"&amp;A213&amp;"'; "</f>
        <v xml:space="preserve">Update Project Set Organisation = 'Universidad del Norte' where Project_ID = 'P0204'; </v>
      </c>
      <c r="Q213" t="str">
        <f>"Update Project Set Library_name = '"&amp;L213&amp;"' , COADD_ID = '"&amp;M213&amp;"' where Project_ID = '"&amp;A213&amp;"'; "</f>
        <v xml:space="preserve">Update Project Set Library_name = '' , COADD_ID = 'CO-ADD:PC0204' where Project_ID = 'P0204'; </v>
      </c>
    </row>
    <row r="214" spans="1:17">
      <c r="A214" t="s">
        <v>6298</v>
      </c>
      <c r="C214" t="s">
        <v>5633</v>
      </c>
      <c r="D214" t="s">
        <v>520</v>
      </c>
      <c r="E214" t="s">
        <v>5384</v>
      </c>
      <c r="F214" t="s">
        <v>1318</v>
      </c>
      <c r="G214" t="s">
        <v>9180</v>
      </c>
      <c r="H214" t="s">
        <v>524</v>
      </c>
      <c r="I214" t="s">
        <v>14</v>
      </c>
      <c r="K214" t="s">
        <v>5806</v>
      </c>
      <c r="M214" t="s">
        <v>6297</v>
      </c>
      <c r="P214" t="str">
        <f>"Update Project Set Organisation = '"&amp;H214&amp;"' where Project_ID = '"&amp;A214&amp;"'; "</f>
        <v xml:space="preserve">Update Project Set Organisation = 'University of Newcastle' where Project_ID = 'P0205'; </v>
      </c>
      <c r="Q214" t="str">
        <f>"Update Project Set Library_name = '"&amp;L214&amp;"' , COADD_ID = '"&amp;M214&amp;"' where Project_ID = '"&amp;A214&amp;"'; "</f>
        <v xml:space="preserve">Update Project Set Library_name = '' , COADD_ID = 'CO-ADD:PC0205' where Project_ID = 'P0205'; </v>
      </c>
    </row>
    <row r="215" spans="1:17">
      <c r="A215" t="s">
        <v>6300</v>
      </c>
      <c r="C215" t="s">
        <v>5633</v>
      </c>
      <c r="D215" t="s">
        <v>1973</v>
      </c>
      <c r="E215" t="s">
        <v>4194</v>
      </c>
      <c r="F215" t="s">
        <v>1972</v>
      </c>
      <c r="G215" t="s">
        <v>8910</v>
      </c>
      <c r="H215" t="s">
        <v>1977</v>
      </c>
      <c r="I215" t="s">
        <v>1980</v>
      </c>
      <c r="K215" t="s">
        <v>5837</v>
      </c>
      <c r="M215" t="s">
        <v>6299</v>
      </c>
      <c r="P215" t="str">
        <f>"Update Project Set Organisation = '"&amp;H215&amp;"' where Project_ID = '"&amp;A215&amp;"'; "</f>
        <v xml:space="preserve">Update Project Set Organisation = 'Ciatej AC, Conacyt' where Project_ID = 'P0206'; </v>
      </c>
      <c r="Q215" t="str">
        <f>"Update Project Set Library_name = '"&amp;L215&amp;"' , COADD_ID = '"&amp;M215&amp;"' where Project_ID = '"&amp;A215&amp;"'; "</f>
        <v xml:space="preserve">Update Project Set Library_name = '' , COADD_ID = 'CO-ADD:PC0206' where Project_ID = 'P0206'; </v>
      </c>
    </row>
    <row r="216" spans="1:17">
      <c r="A216" t="s">
        <v>6302</v>
      </c>
      <c r="C216" t="s">
        <v>5633</v>
      </c>
      <c r="D216" t="s">
        <v>3277</v>
      </c>
      <c r="E216" t="s">
        <v>3276</v>
      </c>
      <c r="G216" t="s">
        <v>8909</v>
      </c>
      <c r="H216" t="s">
        <v>3281</v>
      </c>
      <c r="I216" t="s">
        <v>3284</v>
      </c>
      <c r="K216" t="s">
        <v>5828</v>
      </c>
      <c r="L216" t="s">
        <v>8198</v>
      </c>
      <c r="M216" t="s">
        <v>6301</v>
      </c>
      <c r="N216" s="2">
        <v>45657</v>
      </c>
      <c r="P216" t="str">
        <f>"Update Project Set Organisation = '"&amp;H216&amp;"' where Project_ID = '"&amp;A216&amp;"'; "</f>
        <v xml:space="preserve">Update Project Set Organisation = 'Chulalongkorn University' where Project_ID = 'P0207'; </v>
      </c>
      <c r="Q216" t="str">
        <f>"Update Project Set Library_name = '"&amp;L216&amp;"' , COADD_ID = '"&amp;M216&amp;"' where Project_ID = '"&amp;A216&amp;"'; "</f>
        <v xml:space="preserve">Update Project Set Library_name = 'Chulalongkorn University (Thailand)' , COADD_ID = 'CO-ADD:PC0207' where Project_ID = 'P0207'; </v>
      </c>
    </row>
    <row r="217" spans="1:17">
      <c r="A217" t="s">
        <v>6304</v>
      </c>
      <c r="C217" t="s">
        <v>5633</v>
      </c>
      <c r="D217" t="s">
        <v>1340</v>
      </c>
      <c r="E217" t="s">
        <v>5287</v>
      </c>
      <c r="G217" t="s">
        <v>8897</v>
      </c>
      <c r="H217" t="s">
        <v>1343</v>
      </c>
      <c r="I217" t="s">
        <v>211</v>
      </c>
      <c r="K217" t="s">
        <v>5828</v>
      </c>
      <c r="L217" t="s">
        <v>8199</v>
      </c>
      <c r="M217" t="s">
        <v>6303</v>
      </c>
      <c r="N217" s="2">
        <v>45657</v>
      </c>
      <c r="P217" t="str">
        <f>"Update Project Set Organisation = '"&amp;H217&amp;"' where Project_ID = '"&amp;A217&amp;"'; "</f>
        <v xml:space="preserve">Update Project Set Organisation = 'Bombay College of Pharmacy' where Project_ID = 'P0208'; </v>
      </c>
      <c r="Q217" t="str">
        <f>"Update Project Set Library_name = '"&amp;L217&amp;"' , COADD_ID = '"&amp;M217&amp;"' where Project_ID = '"&amp;A217&amp;"'; "</f>
        <v xml:space="preserve">Update Project Set Library_name = 'Bombay College of Pharmacy (India)' , COADD_ID = 'CO-ADD:PC0208' where Project_ID = 'P0208'; </v>
      </c>
    </row>
    <row r="218" spans="1:17">
      <c r="A218" t="s">
        <v>6306</v>
      </c>
      <c r="C218" t="s">
        <v>5633</v>
      </c>
      <c r="D218" t="s">
        <v>468</v>
      </c>
      <c r="E218" t="s">
        <v>467</v>
      </c>
      <c r="G218" t="s">
        <v>9035</v>
      </c>
      <c r="H218" t="s">
        <v>472</v>
      </c>
      <c r="I218" t="s">
        <v>211</v>
      </c>
      <c r="K218" t="s">
        <v>5828</v>
      </c>
      <c r="L218" t="s">
        <v>8200</v>
      </c>
      <c r="M218" t="s">
        <v>6305</v>
      </c>
      <c r="N218" s="2">
        <v>45657</v>
      </c>
      <c r="P218" t="str">
        <f>"Update Project Set Organisation = '"&amp;H218&amp;"' where Project_ID = '"&amp;A218&amp;"'; "</f>
        <v xml:space="preserve">Update Project Set Organisation = 'National Institute of Technology (NIT) Warangal' where Project_ID = 'P0209'; </v>
      </c>
      <c r="Q218" t="str">
        <f>"Update Project Set Library_name = '"&amp;L218&amp;"' , COADD_ID = '"&amp;M218&amp;"' where Project_ID = '"&amp;A218&amp;"'; "</f>
        <v xml:space="preserve">Update Project Set Library_name = 'National Institute of Technology (NIT) Warangal (India)' , COADD_ID = 'CO-ADD:PC0209' where Project_ID = 'P0209'; </v>
      </c>
    </row>
    <row r="219" spans="1:17">
      <c r="A219" t="s">
        <v>6309</v>
      </c>
      <c r="C219" t="s">
        <v>5633</v>
      </c>
      <c r="D219" t="s">
        <v>2872</v>
      </c>
      <c r="E219" t="s">
        <v>5020</v>
      </c>
      <c r="G219" t="s">
        <v>9245</v>
      </c>
      <c r="H219" t="s">
        <v>1422</v>
      </c>
      <c r="I219" t="s">
        <v>14</v>
      </c>
      <c r="J219" t="s">
        <v>6308</v>
      </c>
      <c r="K219" t="s">
        <v>5806</v>
      </c>
      <c r="M219" t="s">
        <v>6307</v>
      </c>
      <c r="P219" t="str">
        <f>"Update Project Set Organisation = '"&amp;H219&amp;"' where Project_ID = '"&amp;A219&amp;"'; "</f>
        <v xml:space="preserve">Update Project Set Organisation = 'University of Wollongong' where Project_ID = 'P0210'; </v>
      </c>
      <c r="Q219" t="str">
        <f>"Update Project Set Library_name = '"&amp;L219&amp;"' , COADD_ID = '"&amp;M219&amp;"' where Project_ID = '"&amp;A219&amp;"'; "</f>
        <v xml:space="preserve">Update Project Set Library_name = '' , COADD_ID = 'CO-ADD:PC0210' where Project_ID = 'P0210'; </v>
      </c>
    </row>
    <row r="220" spans="1:17">
      <c r="A220" t="s">
        <v>6312</v>
      </c>
      <c r="C220" t="s">
        <v>5633</v>
      </c>
      <c r="D220" t="s">
        <v>17</v>
      </c>
      <c r="E220" t="s">
        <v>5245</v>
      </c>
      <c r="G220" t="s">
        <v>9170</v>
      </c>
      <c r="H220" t="s">
        <v>22</v>
      </c>
      <c r="I220" t="s">
        <v>25</v>
      </c>
      <c r="J220" t="s">
        <v>6311</v>
      </c>
      <c r="K220" t="s">
        <v>5828</v>
      </c>
      <c r="L220" t="s">
        <v>6162</v>
      </c>
      <c r="M220" t="s">
        <v>6310</v>
      </c>
      <c r="N220" s="2">
        <v>43617</v>
      </c>
      <c r="P220" t="str">
        <f>"Update Project Set Organisation = '"&amp;H220&amp;"' where Project_ID = '"&amp;A220&amp;"'; "</f>
        <v xml:space="preserve">Update Project Set Organisation = 'University of Mosul' where Project_ID = 'P0211'; </v>
      </c>
      <c r="Q220" t="str">
        <f>"Update Project Set Library_name = '"&amp;L220&amp;"' , COADD_ID = '"&amp;M220&amp;"' where Project_ID = '"&amp;A220&amp;"'; "</f>
        <v xml:space="preserve">Update Project Set Library_name = 'University of Mosul (Iraq)' , COADD_ID = 'CO-ADD:PC0211' where Project_ID = 'P0211'; </v>
      </c>
    </row>
    <row r="221" spans="1:17">
      <c r="A221" t="s">
        <v>6314</v>
      </c>
      <c r="C221" t="s">
        <v>5633</v>
      </c>
      <c r="D221" t="s">
        <v>2939</v>
      </c>
      <c r="E221" t="s">
        <v>4477</v>
      </c>
      <c r="F221" t="s">
        <v>4669</v>
      </c>
      <c r="G221" t="s">
        <v>9045</v>
      </c>
      <c r="H221" t="s">
        <v>2942</v>
      </c>
      <c r="I221" t="s">
        <v>211</v>
      </c>
      <c r="K221" t="s">
        <v>5828</v>
      </c>
      <c r="L221" t="s">
        <v>8201</v>
      </c>
      <c r="M221" t="s">
        <v>6313</v>
      </c>
      <c r="N221" s="2">
        <v>45657</v>
      </c>
      <c r="P221" t="str">
        <f>"Update Project Set Organisation = '"&amp;H221&amp;"' where Project_ID = '"&amp;A221&amp;"'; "</f>
        <v xml:space="preserve">Update Project Set Organisation = 'NMIMS' where Project_ID = 'P0212'; </v>
      </c>
      <c r="Q221" t="str">
        <f>"Update Project Set Library_name = '"&amp;L221&amp;"' , COADD_ID = '"&amp;M221&amp;"' where Project_ID = '"&amp;A221&amp;"'; "</f>
        <v xml:space="preserve">Update Project Set Library_name = 'NMIMS (India)' , COADD_ID = 'CO-ADD:PC0212' where Project_ID = 'P0212'; </v>
      </c>
    </row>
    <row r="222" spans="1:17">
      <c r="A222" t="s">
        <v>6316</v>
      </c>
      <c r="C222" t="s">
        <v>5633</v>
      </c>
      <c r="D222" t="s">
        <v>1231</v>
      </c>
      <c r="E222" t="s">
        <v>2851</v>
      </c>
      <c r="G222" t="s">
        <v>9117</v>
      </c>
      <c r="H222" t="s">
        <v>1234</v>
      </c>
      <c r="I222" t="s">
        <v>1235</v>
      </c>
      <c r="J222" t="s">
        <v>6308</v>
      </c>
      <c r="K222" t="s">
        <v>5806</v>
      </c>
      <c r="M222" t="s">
        <v>6315</v>
      </c>
      <c r="P222" t="str">
        <f>"Update Project Set Organisation = '"&amp;H222&amp;"' where Project_ID = '"&amp;A222&amp;"'; "</f>
        <v xml:space="preserve">Update Project Set Organisation = 'University College Cork' where Project_ID = 'P0213'; </v>
      </c>
      <c r="Q222" t="str">
        <f>"Update Project Set Library_name = '"&amp;L222&amp;"' , COADD_ID = '"&amp;M222&amp;"' where Project_ID = '"&amp;A222&amp;"'; "</f>
        <v xml:space="preserve">Update Project Set Library_name = '' , COADD_ID = 'CO-ADD:PC0213' where Project_ID = 'P0213'; </v>
      </c>
    </row>
    <row r="223" spans="1:17">
      <c r="A223" t="s">
        <v>6320</v>
      </c>
      <c r="B223" t="s">
        <v>6319</v>
      </c>
      <c r="C223" t="s">
        <v>5633</v>
      </c>
      <c r="D223" t="s">
        <v>1733</v>
      </c>
      <c r="E223" t="s">
        <v>1732</v>
      </c>
      <c r="G223" t="s">
        <v>9034</v>
      </c>
      <c r="H223" t="s">
        <v>4809</v>
      </c>
      <c r="I223" t="s">
        <v>117</v>
      </c>
      <c r="K223" t="s">
        <v>5828</v>
      </c>
      <c r="L223" t="s">
        <v>6318</v>
      </c>
      <c r="M223" t="s">
        <v>6317</v>
      </c>
      <c r="N223" s="2">
        <v>43617</v>
      </c>
      <c r="P223" t="str">
        <f>"Update Project Set Organisation = '"&amp;H223&amp;"' where Project_ID = '"&amp;A223&amp;"'; "</f>
        <v xml:space="preserve">Update Project Set Organisation = 'National Institute of Health (NIH)' where Project_ID = 'P0214'; </v>
      </c>
      <c r="Q223" t="str">
        <f>"Update Project Set Library_name = '"&amp;L223&amp;"' , COADD_ID = '"&amp;M223&amp;"' where Project_ID = '"&amp;A223&amp;"'; "</f>
        <v xml:space="preserve">Update Project Set Library_name = 'NIH (USA) - Clinical Collection' , COADD_ID = 'CO-ADD:PL0013' where Project_ID = 'P0214'; </v>
      </c>
    </row>
    <row r="224" spans="1:17">
      <c r="A224" t="s">
        <v>6322</v>
      </c>
      <c r="C224" t="s">
        <v>5633</v>
      </c>
      <c r="D224" t="s">
        <v>3348</v>
      </c>
      <c r="E224" t="s">
        <v>4440</v>
      </c>
      <c r="G224" t="s">
        <v>9094</v>
      </c>
      <c r="H224" t="s">
        <v>3351</v>
      </c>
      <c r="I224" t="s">
        <v>211</v>
      </c>
      <c r="K224" t="s">
        <v>5828</v>
      </c>
      <c r="L224" t="s">
        <v>8202</v>
      </c>
      <c r="M224" t="s">
        <v>6321</v>
      </c>
      <c r="N224" s="2">
        <v>45657</v>
      </c>
      <c r="P224" t="str">
        <f>"Update Project Set Organisation = '"&amp;H224&amp;"' where Project_ID = '"&amp;A224&amp;"'; "</f>
        <v xml:space="preserve">Update Project Set Organisation = 'Tumkur University' where Project_ID = 'P0215'; </v>
      </c>
      <c r="Q224" t="str">
        <f>"Update Project Set Library_name = '"&amp;L224&amp;"' , COADD_ID = '"&amp;M224&amp;"' where Project_ID = '"&amp;A224&amp;"'; "</f>
        <v xml:space="preserve">Update Project Set Library_name = 'Tumkur University (India)' , COADD_ID = 'CO-ADD:PC0215' where Project_ID = 'P0215'; </v>
      </c>
    </row>
    <row r="225" spans="1:17">
      <c r="A225" t="s">
        <v>6324</v>
      </c>
      <c r="B225" t="s">
        <v>6155</v>
      </c>
      <c r="C225" t="s">
        <v>5633</v>
      </c>
      <c r="D225" t="s">
        <v>968</v>
      </c>
      <c r="E225" t="s">
        <v>2750</v>
      </c>
      <c r="G225" t="s">
        <v>8983</v>
      </c>
      <c r="H225" t="s">
        <v>971</v>
      </c>
      <c r="I225" t="s">
        <v>557</v>
      </c>
      <c r="K225" t="s">
        <v>5828</v>
      </c>
      <c r="L225" t="s">
        <v>8169</v>
      </c>
      <c r="M225" t="s">
        <v>6323</v>
      </c>
      <c r="N225" s="2">
        <v>45657</v>
      </c>
      <c r="P225" t="str">
        <f>"Update Project Set Organisation = '"&amp;H225&amp;"' where Project_ID = '"&amp;A225&amp;"'; "</f>
        <v xml:space="preserve">Update Project Set Organisation = 'Karlsruhe Institute of Technology (KIT)' where Project_ID = 'P0216'; </v>
      </c>
      <c r="Q225" t="str">
        <f>"Update Project Set Library_name = '"&amp;L225&amp;"' , COADD_ID = '"&amp;M225&amp;"' where Project_ID = '"&amp;A225&amp;"'; "</f>
        <v xml:space="preserve">Update Project Set Library_name = 'Karlsruhe Institute of Technology (KIT) (Germany)' , COADD_ID = 'CO-ADD:PC0216' where Project_ID = 'P0216'; </v>
      </c>
    </row>
    <row r="226" spans="1:17">
      <c r="A226" t="s">
        <v>6327</v>
      </c>
      <c r="B226" t="s">
        <v>6326</v>
      </c>
      <c r="C226" t="s">
        <v>5633</v>
      </c>
      <c r="D226" t="s">
        <v>4643</v>
      </c>
      <c r="E226" t="s">
        <v>4642</v>
      </c>
      <c r="G226" t="s">
        <v>9068</v>
      </c>
      <c r="H226" t="s">
        <v>4646</v>
      </c>
      <c r="I226" t="s">
        <v>1600</v>
      </c>
      <c r="K226" t="s">
        <v>5828</v>
      </c>
      <c r="L226" t="s">
        <v>5995</v>
      </c>
      <c r="M226" t="s">
        <v>6325</v>
      </c>
      <c r="N226" s="2">
        <v>43862</v>
      </c>
      <c r="P226" t="str">
        <f>"Update Project Set Organisation = '"&amp;H226&amp;"' where Project_ID = '"&amp;A226&amp;"'; "</f>
        <v xml:space="preserve">Update Project Set Organisation = 'Russian Academy of Science' where Project_ID = 'P0217'; </v>
      </c>
      <c r="Q226" t="str">
        <f>"Update Project Set Library_name = '"&amp;L226&amp;"' , COADD_ID = '"&amp;M226&amp;"' where Project_ID = '"&amp;A226&amp;"'; "</f>
        <v xml:space="preserve">Update Project Set Library_name = 'Russian Academy of Science (Russia)' , COADD_ID = 'CO-ADD:PC0217' where Project_ID = 'P0217'; </v>
      </c>
    </row>
    <row r="227" spans="1:17">
      <c r="A227" t="s">
        <v>6329</v>
      </c>
      <c r="C227" t="s">
        <v>5633</v>
      </c>
      <c r="D227" t="s">
        <v>520</v>
      </c>
      <c r="E227" t="s">
        <v>5384</v>
      </c>
      <c r="F227" t="s">
        <v>1318</v>
      </c>
      <c r="G227" t="s">
        <v>9180</v>
      </c>
      <c r="H227" t="s">
        <v>524</v>
      </c>
      <c r="I227" t="s">
        <v>14</v>
      </c>
      <c r="K227" t="s">
        <v>5806</v>
      </c>
      <c r="M227" t="s">
        <v>6328</v>
      </c>
      <c r="P227" t="str">
        <f>"Update Project Set Organisation = '"&amp;H227&amp;"' where Project_ID = '"&amp;A227&amp;"'; "</f>
        <v xml:space="preserve">Update Project Set Organisation = 'University of Newcastle' where Project_ID = 'P0218'; </v>
      </c>
      <c r="Q227" t="str">
        <f>"Update Project Set Library_name = '"&amp;L227&amp;"' , COADD_ID = '"&amp;M227&amp;"' where Project_ID = '"&amp;A227&amp;"'; "</f>
        <v xml:space="preserve">Update Project Set Library_name = '' , COADD_ID = 'CO-ADD:PC0218' where Project_ID = 'P0218'; </v>
      </c>
    </row>
    <row r="228" spans="1:17">
      <c r="A228" t="s">
        <v>6331</v>
      </c>
      <c r="C228" t="s">
        <v>5633</v>
      </c>
      <c r="D228" t="s">
        <v>1917</v>
      </c>
      <c r="E228" t="s">
        <v>1916</v>
      </c>
      <c r="G228" t="s">
        <v>8960</v>
      </c>
      <c r="H228" t="s">
        <v>1920</v>
      </c>
      <c r="I228" t="s">
        <v>211</v>
      </c>
      <c r="K228" t="s">
        <v>5843</v>
      </c>
      <c r="M228" t="s">
        <v>6330</v>
      </c>
      <c r="P228" t="str">
        <f>"Update Project Set Organisation = '"&amp;H228&amp;"' where Project_ID = '"&amp;A228&amp;"'; "</f>
        <v xml:space="preserve">Update Project Set Organisation = 'Independent Researcher' where Project_ID = 'P0219'; </v>
      </c>
      <c r="Q228" t="str">
        <f>"Update Project Set Library_name = '"&amp;L228&amp;"' , COADD_ID = '"&amp;M228&amp;"' where Project_ID = '"&amp;A228&amp;"'; "</f>
        <v xml:space="preserve">Update Project Set Library_name = '' , COADD_ID = 'CO-ADD:PC0219' where Project_ID = 'P0219'; </v>
      </c>
    </row>
    <row r="229" spans="1:17">
      <c r="A229" t="s">
        <v>6333</v>
      </c>
      <c r="C229" t="s">
        <v>5633</v>
      </c>
      <c r="D229" t="s">
        <v>1566</v>
      </c>
      <c r="E229" t="s">
        <v>5118</v>
      </c>
      <c r="G229" t="s">
        <v>8907</v>
      </c>
      <c r="H229" t="s">
        <v>1569</v>
      </c>
      <c r="I229" t="s">
        <v>704</v>
      </c>
      <c r="K229" t="s">
        <v>5806</v>
      </c>
      <c r="L229" t="s">
        <v>5769</v>
      </c>
      <c r="M229" t="s">
        <v>6332</v>
      </c>
      <c r="P229" t="str">
        <f>"Update Project Set Organisation = '"&amp;H229&amp;"' where Project_ID = '"&amp;A229&amp;"'; "</f>
        <v xml:space="preserve">Update Project Set Organisation = 'Centre national de la recherche scientifique (CNRS)' where Project_ID = 'P0220'; </v>
      </c>
      <c r="Q229" t="str">
        <f>"Update Project Set Library_name = '"&amp;L229&amp;"' , COADD_ID = '"&amp;M229&amp;"' where Project_ID = '"&amp;A229&amp;"'; "</f>
        <v xml:space="preserve">Update Project Set Library_name = 'Centre national de la recherche scientifique' , COADD_ID = 'CO-ADD:PL0050' where Project_ID = 'P0220'; </v>
      </c>
    </row>
    <row r="230" spans="1:17">
      <c r="A230" t="s">
        <v>6336</v>
      </c>
      <c r="B230" t="s">
        <v>6335</v>
      </c>
      <c r="C230" t="s">
        <v>5633</v>
      </c>
      <c r="D230" t="s">
        <v>4643</v>
      </c>
      <c r="E230" t="s">
        <v>4642</v>
      </c>
      <c r="G230" t="s">
        <v>9068</v>
      </c>
      <c r="H230" t="s">
        <v>4646</v>
      </c>
      <c r="I230" t="s">
        <v>1600</v>
      </c>
      <c r="K230" t="s">
        <v>5828</v>
      </c>
      <c r="L230" t="s">
        <v>5995</v>
      </c>
      <c r="M230" t="s">
        <v>6334</v>
      </c>
      <c r="N230" s="2">
        <v>43862</v>
      </c>
      <c r="P230" t="str">
        <f>"Update Project Set Organisation = '"&amp;H230&amp;"' where Project_ID = '"&amp;A230&amp;"'; "</f>
        <v xml:space="preserve">Update Project Set Organisation = 'Russian Academy of Science' where Project_ID = 'P0221'; </v>
      </c>
      <c r="Q230" t="str">
        <f>"Update Project Set Library_name = '"&amp;L230&amp;"' , COADD_ID = '"&amp;M230&amp;"' where Project_ID = '"&amp;A230&amp;"'; "</f>
        <v xml:space="preserve">Update Project Set Library_name = 'Russian Academy of Science (Russia)' , COADD_ID = 'CO-ADD:PC0221' where Project_ID = 'P0221'; </v>
      </c>
    </row>
    <row r="231" spans="1:17">
      <c r="A231" t="s">
        <v>6338</v>
      </c>
      <c r="C231" t="s">
        <v>5633</v>
      </c>
      <c r="D231" t="s">
        <v>1196</v>
      </c>
      <c r="E231" t="s">
        <v>4801</v>
      </c>
      <c r="G231" t="s">
        <v>9199</v>
      </c>
      <c r="H231" t="s">
        <v>362</v>
      </c>
      <c r="I231" t="s">
        <v>14</v>
      </c>
      <c r="K231" t="s">
        <v>5843</v>
      </c>
      <c r="M231" t="s">
        <v>6337</v>
      </c>
      <c r="P231" t="str">
        <f>"Update Project Set Organisation = '"&amp;H231&amp;"' where Project_ID = '"&amp;A231&amp;"'; "</f>
        <v xml:space="preserve">Update Project Set Organisation = 'University of Queensland' where Project_ID = 'P0222'; </v>
      </c>
      <c r="Q231" t="str">
        <f>"Update Project Set Library_name = '"&amp;L231&amp;"' , COADD_ID = '"&amp;M231&amp;"' where Project_ID = '"&amp;A231&amp;"'; "</f>
        <v xml:space="preserve">Update Project Set Library_name = '' , COADD_ID = 'CO-ADD:PC0222' where Project_ID = 'P0222'; </v>
      </c>
    </row>
    <row r="232" spans="1:17">
      <c r="A232" t="s">
        <v>6341</v>
      </c>
      <c r="C232" t="s">
        <v>5633</v>
      </c>
      <c r="D232" t="s">
        <v>925</v>
      </c>
      <c r="E232" t="s">
        <v>5171</v>
      </c>
      <c r="G232" t="s">
        <v>9063</v>
      </c>
      <c r="H232" t="s">
        <v>929</v>
      </c>
      <c r="I232" t="s">
        <v>14</v>
      </c>
      <c r="J232" t="s">
        <v>6340</v>
      </c>
      <c r="K232" t="s">
        <v>5843</v>
      </c>
      <c r="M232" t="s">
        <v>6339</v>
      </c>
      <c r="P232" t="str">
        <f>"Update Project Set Organisation = '"&amp;H232&amp;"' where Project_ID = '"&amp;A232&amp;"'; "</f>
        <v xml:space="preserve">Update Project Set Organisation = 'RMIT University' where Project_ID = 'P0223'; </v>
      </c>
      <c r="Q232" t="str">
        <f>"Update Project Set Library_name = '"&amp;L232&amp;"' , COADD_ID = '"&amp;M232&amp;"' where Project_ID = '"&amp;A232&amp;"'; "</f>
        <v xml:space="preserve">Update Project Set Library_name = '' , COADD_ID = 'CO-ADD:PC0223' where Project_ID = 'P0223'; </v>
      </c>
    </row>
    <row r="233" spans="1:17">
      <c r="A233" t="s">
        <v>6343</v>
      </c>
      <c r="C233" t="s">
        <v>5633</v>
      </c>
      <c r="D233" t="s">
        <v>1392</v>
      </c>
      <c r="E233" t="s">
        <v>4039</v>
      </c>
      <c r="G233" t="s">
        <v>9127</v>
      </c>
      <c r="H233" t="s">
        <v>1394</v>
      </c>
      <c r="I233" t="s">
        <v>117</v>
      </c>
      <c r="K233" t="s">
        <v>5828</v>
      </c>
      <c r="L233" t="s">
        <v>8203</v>
      </c>
      <c r="M233" t="s">
        <v>6342</v>
      </c>
      <c r="N233" s="2">
        <v>45657</v>
      </c>
      <c r="P233" t="str">
        <f>"Update Project Set Organisation = '"&amp;H233&amp;"' where Project_ID = '"&amp;A233&amp;"'; "</f>
        <v xml:space="preserve">Update Project Set Organisation = 'University of Arkansas For Medical Sciences' where Project_ID = 'P0224'; </v>
      </c>
      <c r="Q233" t="str">
        <f>"Update Project Set Library_name = '"&amp;L233&amp;"' , COADD_ID = '"&amp;M233&amp;"' where Project_ID = '"&amp;A233&amp;"'; "</f>
        <v xml:space="preserve">Update Project Set Library_name = 'University of Arkansas For Medical Sciences (United States)' , COADD_ID = 'CO-ADD:PC0224' where Project_ID = 'P0224'; </v>
      </c>
    </row>
    <row r="234" spans="1:17">
      <c r="A234" t="s">
        <v>6346</v>
      </c>
      <c r="B234" t="s">
        <v>6345</v>
      </c>
      <c r="C234" t="s">
        <v>5633</v>
      </c>
      <c r="D234" t="s">
        <v>4643</v>
      </c>
      <c r="E234" t="s">
        <v>4642</v>
      </c>
      <c r="G234" t="s">
        <v>9068</v>
      </c>
      <c r="H234" t="s">
        <v>4646</v>
      </c>
      <c r="I234" t="s">
        <v>1600</v>
      </c>
      <c r="K234" t="s">
        <v>5828</v>
      </c>
      <c r="L234" t="s">
        <v>5995</v>
      </c>
      <c r="M234" t="s">
        <v>6344</v>
      </c>
      <c r="N234" s="2">
        <v>43862</v>
      </c>
      <c r="P234" t="str">
        <f>"Update Project Set Organisation = '"&amp;H234&amp;"' where Project_ID = '"&amp;A234&amp;"'; "</f>
        <v xml:space="preserve">Update Project Set Organisation = 'Russian Academy of Science' where Project_ID = 'P0225'; </v>
      </c>
      <c r="Q234" t="str">
        <f>"Update Project Set Library_name = '"&amp;L234&amp;"' , COADD_ID = '"&amp;M234&amp;"' where Project_ID = '"&amp;A234&amp;"'; "</f>
        <v xml:space="preserve">Update Project Set Library_name = 'Russian Academy of Science (Russia)' , COADD_ID = 'CO-ADD:PC0225' where Project_ID = 'P0225'; </v>
      </c>
    </row>
    <row r="235" spans="1:17">
      <c r="A235" t="s">
        <v>6348</v>
      </c>
      <c r="C235" t="s">
        <v>5633</v>
      </c>
      <c r="D235" t="s">
        <v>3426</v>
      </c>
      <c r="E235" t="s">
        <v>3425</v>
      </c>
      <c r="G235" t="s">
        <v>8982</v>
      </c>
      <c r="H235" t="s">
        <v>4204</v>
      </c>
      <c r="I235" t="s">
        <v>211</v>
      </c>
      <c r="K235" t="s">
        <v>5843</v>
      </c>
      <c r="M235" t="s">
        <v>6347</v>
      </c>
      <c r="P235" t="str">
        <f>"Update Project Set Organisation = '"&amp;H235&amp;"' where Project_ID = '"&amp;A235&amp;"'; "</f>
        <v xml:space="preserve">Update Project Set Organisation = 'K L University' where Project_ID = 'P0226'; </v>
      </c>
      <c r="Q235" t="str">
        <f>"Update Project Set Library_name = '"&amp;L235&amp;"' , COADD_ID = '"&amp;M235&amp;"' where Project_ID = '"&amp;A235&amp;"'; "</f>
        <v xml:space="preserve">Update Project Set Library_name = '' , COADD_ID = 'CO-ADD:PC0226' where Project_ID = 'P0226'; </v>
      </c>
    </row>
    <row r="236" spans="1:17">
      <c r="A236" t="s">
        <v>6351</v>
      </c>
      <c r="C236" t="s">
        <v>5633</v>
      </c>
      <c r="D236" t="s">
        <v>322</v>
      </c>
      <c r="E236" t="s">
        <v>321</v>
      </c>
      <c r="G236" t="s">
        <v>8881</v>
      </c>
      <c r="H236" t="s">
        <v>324</v>
      </c>
      <c r="I236" t="s">
        <v>117</v>
      </c>
      <c r="J236" t="s">
        <v>6350</v>
      </c>
      <c r="K236" t="s">
        <v>5843</v>
      </c>
      <c r="M236" t="s">
        <v>6349</v>
      </c>
      <c r="P236" t="str">
        <f>"Update Project Set Organisation = '"&amp;H236&amp;"' where Project_ID = '"&amp;A236&amp;"'; "</f>
        <v xml:space="preserve">Update Project Set Organisation = 'Arkansas State University Jonesboro' where Project_ID = 'P0227'; </v>
      </c>
      <c r="Q236" t="str">
        <f>"Update Project Set Library_name = '"&amp;L236&amp;"' , COADD_ID = '"&amp;M236&amp;"' where Project_ID = '"&amp;A236&amp;"'; "</f>
        <v xml:space="preserve">Update Project Set Library_name = '' , COADD_ID = 'CO-ADD:PC0227' where Project_ID = 'P0227'; </v>
      </c>
    </row>
    <row r="237" spans="1:17">
      <c r="A237" t="s">
        <v>6354</v>
      </c>
      <c r="B237" t="s">
        <v>6353</v>
      </c>
      <c r="C237" t="s">
        <v>5633</v>
      </c>
      <c r="D237" t="s">
        <v>4643</v>
      </c>
      <c r="E237" t="s">
        <v>4642</v>
      </c>
      <c r="G237" t="s">
        <v>9068</v>
      </c>
      <c r="H237" t="s">
        <v>4646</v>
      </c>
      <c r="I237" t="s">
        <v>1600</v>
      </c>
      <c r="K237" t="s">
        <v>5828</v>
      </c>
      <c r="L237" t="s">
        <v>5995</v>
      </c>
      <c r="M237" t="s">
        <v>6352</v>
      </c>
      <c r="N237" s="2">
        <v>43862</v>
      </c>
      <c r="P237" t="str">
        <f>"Update Project Set Organisation = '"&amp;H237&amp;"' where Project_ID = '"&amp;A237&amp;"'; "</f>
        <v xml:space="preserve">Update Project Set Organisation = 'Russian Academy of Science' where Project_ID = 'P0228'; </v>
      </c>
      <c r="Q237" t="str">
        <f>"Update Project Set Library_name = '"&amp;L237&amp;"' , COADD_ID = '"&amp;M237&amp;"' where Project_ID = '"&amp;A237&amp;"'; "</f>
        <v xml:space="preserve">Update Project Set Library_name = 'Russian Academy of Science (Russia)' , COADD_ID = 'CO-ADD:PC0228' where Project_ID = 'P0228'; </v>
      </c>
    </row>
    <row r="238" spans="1:17">
      <c r="A238" t="s">
        <v>6356</v>
      </c>
      <c r="C238" t="s">
        <v>5633</v>
      </c>
      <c r="D238" t="s">
        <v>678</v>
      </c>
      <c r="E238" t="s">
        <v>5395</v>
      </c>
      <c r="F238" t="s">
        <v>3716</v>
      </c>
      <c r="G238" t="s">
        <v>8895</v>
      </c>
      <c r="H238" t="s">
        <v>682</v>
      </c>
      <c r="I238" t="s">
        <v>684</v>
      </c>
      <c r="K238" t="s">
        <v>5843</v>
      </c>
      <c r="M238" t="s">
        <v>6355</v>
      </c>
      <c r="P238" t="str">
        <f>"Update Project Set Organisation = '"&amp;H238&amp;"' where Project_ID = '"&amp;A238&amp;"'; "</f>
        <v xml:space="preserve">Update Project Set Organisation = 'Biotechnology Research Centre (C.R.B.t)' where Project_ID = 'P0229'; </v>
      </c>
      <c r="Q238" t="str">
        <f>"Update Project Set Library_name = '"&amp;L238&amp;"' , COADD_ID = '"&amp;M238&amp;"' where Project_ID = '"&amp;A238&amp;"'; "</f>
        <v xml:space="preserve">Update Project Set Library_name = '' , COADD_ID = 'CO-ADD:PC0229' where Project_ID = 'P0229'; </v>
      </c>
    </row>
    <row r="239" spans="1:17">
      <c r="A239" t="s">
        <v>6358</v>
      </c>
      <c r="C239" t="s">
        <v>5633</v>
      </c>
      <c r="D239" t="s">
        <v>4725</v>
      </c>
      <c r="E239" t="s">
        <v>4724</v>
      </c>
      <c r="G239" t="s">
        <v>9003</v>
      </c>
      <c r="H239" t="s">
        <v>4727</v>
      </c>
      <c r="I239" t="s">
        <v>211</v>
      </c>
      <c r="K239" t="s">
        <v>5828</v>
      </c>
      <c r="L239" t="s">
        <v>8204</v>
      </c>
      <c r="M239" t="s">
        <v>6357</v>
      </c>
      <c r="N239" s="2">
        <v>45657</v>
      </c>
      <c r="P239" t="str">
        <f>"Update Project Set Organisation = '"&amp;H239&amp;"' where Project_ID = '"&amp;A239&amp;"'; "</f>
        <v xml:space="preserve">Update Project Set Organisation = 'Manipal' where Project_ID = 'P0230'; </v>
      </c>
      <c r="Q239" t="str">
        <f>"Update Project Set Library_name = '"&amp;L239&amp;"' , COADD_ID = '"&amp;M239&amp;"' where Project_ID = '"&amp;A239&amp;"'; "</f>
        <v xml:space="preserve">Update Project Set Library_name = 'Manipal (India)' , COADD_ID = 'CO-ADD:PC0230' where Project_ID = 'P0230'; </v>
      </c>
    </row>
    <row r="240" spans="1:17">
      <c r="A240" t="s">
        <v>6360</v>
      </c>
      <c r="C240" t="s">
        <v>5633</v>
      </c>
      <c r="D240" t="s">
        <v>2859</v>
      </c>
      <c r="E240" t="s">
        <v>2858</v>
      </c>
      <c r="G240" t="s">
        <v>9151</v>
      </c>
      <c r="H240" t="s">
        <v>2862</v>
      </c>
      <c r="I240" t="s">
        <v>269</v>
      </c>
      <c r="K240" t="s">
        <v>5828</v>
      </c>
      <c r="L240" t="s">
        <v>8205</v>
      </c>
      <c r="M240" t="s">
        <v>6359</v>
      </c>
      <c r="N240" s="2">
        <v>45657</v>
      </c>
      <c r="P240" t="str">
        <f>"Update Project Set Organisation = '"&amp;H240&amp;"' where Project_ID = '"&amp;A240&amp;"'; "</f>
        <v xml:space="preserve">Update Project Set Organisation = 'University of Edinburgh' where Project_ID = 'P0231'; </v>
      </c>
      <c r="Q240" t="str">
        <f>"Update Project Set Library_name = '"&amp;L240&amp;"' , COADD_ID = '"&amp;M240&amp;"' where Project_ID = '"&amp;A240&amp;"'; "</f>
        <v xml:space="preserve">Update Project Set Library_name = 'University of Edinburgh (United Kingdom)' , COADD_ID = 'CO-ADD:PC0231' where Project_ID = 'P0231'; </v>
      </c>
    </row>
    <row r="241" spans="1:17">
      <c r="A241" t="s">
        <v>6362</v>
      </c>
      <c r="C241" t="s">
        <v>5633</v>
      </c>
      <c r="D241" t="s">
        <v>1581</v>
      </c>
      <c r="E241" t="s">
        <v>2986</v>
      </c>
      <c r="G241" t="s">
        <v>8976</v>
      </c>
      <c r="H241" t="s">
        <v>208</v>
      </c>
      <c r="I241" t="s">
        <v>211</v>
      </c>
      <c r="K241" t="s">
        <v>5843</v>
      </c>
      <c r="M241" t="s">
        <v>6361</v>
      </c>
      <c r="P241" t="str">
        <f>"Update Project Set Organisation = '"&amp;H241&amp;"' where Project_ID = '"&amp;A241&amp;"'; "</f>
        <v xml:space="preserve">Update Project Set Organisation = 'Jain University' where Project_ID = 'P0232'; </v>
      </c>
      <c r="Q241" t="str">
        <f>"Update Project Set Library_name = '"&amp;L241&amp;"' , COADD_ID = '"&amp;M241&amp;"' where Project_ID = '"&amp;A241&amp;"'; "</f>
        <v xml:space="preserve">Update Project Set Library_name = '' , COADD_ID = 'CO-ADD:PC0232' where Project_ID = 'P0232'; </v>
      </c>
    </row>
    <row r="242" spans="1:17">
      <c r="A242" t="s">
        <v>6365</v>
      </c>
      <c r="B242" t="s">
        <v>6364</v>
      </c>
      <c r="C242" t="s">
        <v>5633</v>
      </c>
      <c r="D242" t="s">
        <v>4643</v>
      </c>
      <c r="E242" t="s">
        <v>4642</v>
      </c>
      <c r="G242" t="s">
        <v>9068</v>
      </c>
      <c r="H242" t="s">
        <v>4646</v>
      </c>
      <c r="I242" t="s">
        <v>1600</v>
      </c>
      <c r="K242" t="s">
        <v>5828</v>
      </c>
      <c r="L242" t="s">
        <v>5995</v>
      </c>
      <c r="M242" t="s">
        <v>6363</v>
      </c>
      <c r="N242" s="2">
        <v>43862</v>
      </c>
      <c r="P242" t="str">
        <f>"Update Project Set Organisation = '"&amp;H242&amp;"' where Project_ID = '"&amp;A242&amp;"'; "</f>
        <v xml:space="preserve">Update Project Set Organisation = 'Russian Academy of Science' where Project_ID = 'P0233'; </v>
      </c>
      <c r="Q242" t="str">
        <f>"Update Project Set Library_name = '"&amp;L242&amp;"' , COADD_ID = '"&amp;M242&amp;"' where Project_ID = '"&amp;A242&amp;"'; "</f>
        <v xml:space="preserve">Update Project Set Library_name = 'Russian Academy of Science (Russia)' , COADD_ID = 'CO-ADD:PC0233' where Project_ID = 'P0233'; </v>
      </c>
    </row>
    <row r="243" spans="1:17">
      <c r="A243" t="s">
        <v>6368</v>
      </c>
      <c r="C243" t="s">
        <v>5633</v>
      </c>
      <c r="D243" t="s">
        <v>3873</v>
      </c>
      <c r="E243" t="s">
        <v>5014</v>
      </c>
      <c r="F243" t="s">
        <v>3872</v>
      </c>
      <c r="G243" t="s">
        <v>9121</v>
      </c>
      <c r="H243" t="s">
        <v>3876</v>
      </c>
      <c r="I243" t="s">
        <v>1235</v>
      </c>
      <c r="J243" t="s">
        <v>6367</v>
      </c>
      <c r="K243" t="s">
        <v>5828</v>
      </c>
      <c r="L243" t="s">
        <v>8185</v>
      </c>
      <c r="M243" t="s">
        <v>6366</v>
      </c>
      <c r="N243" s="2">
        <v>45657</v>
      </c>
      <c r="P243" t="str">
        <f>"Update Project Set Organisation = '"&amp;H243&amp;"' where Project_ID = '"&amp;A243&amp;"'; "</f>
        <v xml:space="preserve">Update Project Set Organisation = 'University College Dublin' where Project_ID = 'P0234'; </v>
      </c>
      <c r="Q243" t="str">
        <f>"Update Project Set Library_name = '"&amp;L243&amp;"' , COADD_ID = '"&amp;M243&amp;"' where Project_ID = '"&amp;A243&amp;"'; "</f>
        <v xml:space="preserve">Update Project Set Library_name = 'University College Dublin (Ireland)' , COADD_ID = 'CO-ADD:PC0234' where Project_ID = 'P0234'; </v>
      </c>
    </row>
    <row r="244" spans="1:17">
      <c r="A244" t="s">
        <v>6370</v>
      </c>
      <c r="C244" t="s">
        <v>5633</v>
      </c>
      <c r="D244" t="s">
        <v>3671</v>
      </c>
      <c r="E244" t="s">
        <v>3856</v>
      </c>
      <c r="G244" t="s">
        <v>9185</v>
      </c>
      <c r="H244" t="s">
        <v>3123</v>
      </c>
      <c r="I244" t="s">
        <v>269</v>
      </c>
      <c r="K244" t="s">
        <v>5806</v>
      </c>
      <c r="M244" t="s">
        <v>6369</v>
      </c>
      <c r="P244" t="str">
        <f>"Update Project Set Organisation = '"&amp;H244&amp;"' where Project_ID = '"&amp;A244&amp;"'; "</f>
        <v xml:space="preserve">Update Project Set Organisation = 'University of Nottingham' where Project_ID = 'P0235'; </v>
      </c>
      <c r="Q244" t="str">
        <f>"Update Project Set Library_name = '"&amp;L244&amp;"' , COADD_ID = '"&amp;M244&amp;"' where Project_ID = '"&amp;A244&amp;"'; "</f>
        <v xml:space="preserve">Update Project Set Library_name = '' , COADD_ID = 'CO-ADD:PC0235' where Project_ID = 'P0235'; </v>
      </c>
    </row>
    <row r="245" spans="1:17">
      <c r="A245" t="s">
        <v>6373</v>
      </c>
      <c r="B245" t="s">
        <v>6372</v>
      </c>
      <c r="C245" t="s">
        <v>5633</v>
      </c>
      <c r="D245" t="s">
        <v>4643</v>
      </c>
      <c r="E245" t="s">
        <v>4642</v>
      </c>
      <c r="G245" t="s">
        <v>9068</v>
      </c>
      <c r="H245" t="s">
        <v>4646</v>
      </c>
      <c r="I245" t="s">
        <v>1600</v>
      </c>
      <c r="K245" t="s">
        <v>5828</v>
      </c>
      <c r="L245" t="s">
        <v>5995</v>
      </c>
      <c r="M245" t="s">
        <v>6371</v>
      </c>
      <c r="N245" s="2">
        <v>43862</v>
      </c>
      <c r="P245" t="str">
        <f>"Update Project Set Organisation = '"&amp;H245&amp;"' where Project_ID = '"&amp;A245&amp;"'; "</f>
        <v xml:space="preserve">Update Project Set Organisation = 'Russian Academy of Science' where Project_ID = 'P0236'; </v>
      </c>
      <c r="Q245" t="str">
        <f>"Update Project Set Library_name = '"&amp;L245&amp;"' , COADD_ID = '"&amp;M245&amp;"' where Project_ID = '"&amp;A245&amp;"'; "</f>
        <v xml:space="preserve">Update Project Set Library_name = 'Russian Academy of Science (Russia)' , COADD_ID = 'CO-ADD:PC0236' where Project_ID = 'P0236'; </v>
      </c>
    </row>
    <row r="246" spans="1:17">
      <c r="A246" t="s">
        <v>6376</v>
      </c>
      <c r="B246" t="s">
        <v>6375</v>
      </c>
      <c r="C246" t="s">
        <v>5633</v>
      </c>
      <c r="D246" t="s">
        <v>4643</v>
      </c>
      <c r="E246" t="s">
        <v>4642</v>
      </c>
      <c r="G246" t="s">
        <v>9068</v>
      </c>
      <c r="H246" t="s">
        <v>4646</v>
      </c>
      <c r="I246" t="s">
        <v>1600</v>
      </c>
      <c r="K246" t="s">
        <v>5828</v>
      </c>
      <c r="L246" t="s">
        <v>5995</v>
      </c>
      <c r="M246" t="s">
        <v>6374</v>
      </c>
      <c r="N246" s="2">
        <v>43862</v>
      </c>
      <c r="P246" t="str">
        <f>"Update Project Set Organisation = '"&amp;H246&amp;"' where Project_ID = '"&amp;A246&amp;"'; "</f>
        <v xml:space="preserve">Update Project Set Organisation = 'Russian Academy of Science' where Project_ID = 'P0237'; </v>
      </c>
      <c r="Q246" t="str">
        <f>"Update Project Set Library_name = '"&amp;L246&amp;"' , COADD_ID = '"&amp;M246&amp;"' where Project_ID = '"&amp;A246&amp;"'; "</f>
        <v xml:space="preserve">Update Project Set Library_name = 'Russian Academy of Science (Russia)' , COADD_ID = 'CO-ADD:PC0237' where Project_ID = 'P0237'; </v>
      </c>
    </row>
    <row r="247" spans="1:17">
      <c r="A247" t="s">
        <v>6379</v>
      </c>
      <c r="B247" t="s">
        <v>6378</v>
      </c>
      <c r="C247" t="s">
        <v>5633</v>
      </c>
      <c r="D247" t="s">
        <v>4643</v>
      </c>
      <c r="E247" t="s">
        <v>4642</v>
      </c>
      <c r="G247" t="s">
        <v>9068</v>
      </c>
      <c r="H247" t="s">
        <v>4646</v>
      </c>
      <c r="I247" t="s">
        <v>1600</v>
      </c>
      <c r="K247" t="s">
        <v>5828</v>
      </c>
      <c r="L247" t="s">
        <v>5995</v>
      </c>
      <c r="M247" t="s">
        <v>6377</v>
      </c>
      <c r="N247" s="2">
        <v>43862</v>
      </c>
      <c r="P247" t="str">
        <f>"Update Project Set Organisation = '"&amp;H247&amp;"' where Project_ID = '"&amp;A247&amp;"'; "</f>
        <v xml:space="preserve">Update Project Set Organisation = 'Russian Academy of Science' where Project_ID = 'P0238'; </v>
      </c>
      <c r="Q247" t="str">
        <f>"Update Project Set Library_name = '"&amp;L247&amp;"' , COADD_ID = '"&amp;M247&amp;"' where Project_ID = '"&amp;A247&amp;"'; "</f>
        <v xml:space="preserve">Update Project Set Library_name = 'Russian Academy of Science (Russia)' , COADD_ID = 'CO-ADD:PC0238' where Project_ID = 'P0238'; </v>
      </c>
    </row>
    <row r="248" spans="1:17">
      <c r="A248" t="s">
        <v>6382</v>
      </c>
      <c r="B248" t="s">
        <v>6381</v>
      </c>
      <c r="C248" t="s">
        <v>5633</v>
      </c>
      <c r="D248" t="s">
        <v>4643</v>
      </c>
      <c r="E248" t="s">
        <v>4642</v>
      </c>
      <c r="G248" t="s">
        <v>9068</v>
      </c>
      <c r="H248" t="s">
        <v>4646</v>
      </c>
      <c r="I248" t="s">
        <v>1600</v>
      </c>
      <c r="K248" t="s">
        <v>5828</v>
      </c>
      <c r="L248" t="s">
        <v>5995</v>
      </c>
      <c r="M248" t="s">
        <v>6380</v>
      </c>
      <c r="N248" s="2">
        <v>43862</v>
      </c>
      <c r="P248" t="str">
        <f>"Update Project Set Organisation = '"&amp;H248&amp;"' where Project_ID = '"&amp;A248&amp;"'; "</f>
        <v xml:space="preserve">Update Project Set Organisation = 'Russian Academy of Science' where Project_ID = 'P0239'; </v>
      </c>
      <c r="Q248" t="str">
        <f>"Update Project Set Library_name = '"&amp;L248&amp;"' , COADD_ID = '"&amp;M248&amp;"' where Project_ID = '"&amp;A248&amp;"'; "</f>
        <v xml:space="preserve">Update Project Set Library_name = 'Russian Academy of Science (Russia)' , COADD_ID = 'CO-ADD:PC0239' where Project_ID = 'P0239'; </v>
      </c>
    </row>
    <row r="249" spans="1:17">
      <c r="A249" t="s">
        <v>6384</v>
      </c>
      <c r="C249" t="s">
        <v>5633</v>
      </c>
      <c r="D249" t="s">
        <v>4109</v>
      </c>
      <c r="E249" t="s">
        <v>4108</v>
      </c>
      <c r="G249" t="s">
        <v>9240</v>
      </c>
      <c r="H249" t="s">
        <v>4111</v>
      </c>
      <c r="I249" t="s">
        <v>14</v>
      </c>
      <c r="K249" t="s">
        <v>5828</v>
      </c>
      <c r="L249" t="s">
        <v>8206</v>
      </c>
      <c r="M249" t="s">
        <v>6383</v>
      </c>
      <c r="N249" s="2">
        <v>45657</v>
      </c>
      <c r="P249" t="str">
        <f>"Update Project Set Organisation = '"&amp;H249&amp;"' where Project_ID = '"&amp;A249&amp;"'; "</f>
        <v xml:space="preserve">Update Project Set Organisation = 'University of Western Australia' where Project_ID = 'P0240'; </v>
      </c>
      <c r="Q249" t="str">
        <f>"Update Project Set Library_name = '"&amp;L249&amp;"' , COADD_ID = '"&amp;M249&amp;"' where Project_ID = '"&amp;A249&amp;"'; "</f>
        <v xml:space="preserve">Update Project Set Library_name = 'University of Western Australia (Australia)' , COADD_ID = 'CO-ADD:PC0240' where Project_ID = 'P0240'; </v>
      </c>
    </row>
    <row r="250" spans="1:17">
      <c r="A250" t="s">
        <v>6388</v>
      </c>
      <c r="B250" t="s">
        <v>6387</v>
      </c>
      <c r="C250" t="s">
        <v>5633</v>
      </c>
      <c r="D250" t="s">
        <v>1468</v>
      </c>
      <c r="E250" t="s">
        <v>3027</v>
      </c>
      <c r="G250" t="s">
        <v>9252</v>
      </c>
      <c r="H250" t="s">
        <v>4658</v>
      </c>
      <c r="I250" t="s">
        <v>427</v>
      </c>
      <c r="K250" t="s">
        <v>5828</v>
      </c>
      <c r="L250" t="s">
        <v>6386</v>
      </c>
      <c r="M250" t="s">
        <v>6385</v>
      </c>
      <c r="N250" s="2">
        <v>43770</v>
      </c>
      <c r="P250" t="str">
        <f>"Update Project Set Organisation = '"&amp;H250&amp;"' where Project_ID = '"&amp;A250&amp;"'; "</f>
        <v xml:space="preserve">Update Project Set Organisation = 'V.N. Karazin Kharkiv National University' where Project_ID = 'P0241'; </v>
      </c>
      <c r="Q250" t="str">
        <f>"Update Project Set Library_name = '"&amp;L250&amp;"' , COADD_ID = '"&amp;M250&amp;"' where Project_ID = '"&amp;A250&amp;"'; "</f>
        <v xml:space="preserve">Update Project Set Library_name = 'Karazin Kharkiv National University (Ukraine)' , COADD_ID = 'CO-ADD:PC0241' where Project_ID = 'P0241'; </v>
      </c>
    </row>
    <row r="251" spans="1:17">
      <c r="A251" t="s">
        <v>6390</v>
      </c>
      <c r="C251" t="s">
        <v>5633</v>
      </c>
      <c r="D251" t="s">
        <v>311</v>
      </c>
      <c r="E251" t="s">
        <v>586</v>
      </c>
      <c r="F251" t="s">
        <v>5004</v>
      </c>
      <c r="G251" t="s">
        <v>8986</v>
      </c>
      <c r="H251" t="s">
        <v>315</v>
      </c>
      <c r="I251" t="s">
        <v>318</v>
      </c>
      <c r="K251" t="s">
        <v>5843</v>
      </c>
      <c r="M251" t="s">
        <v>6389</v>
      </c>
      <c r="P251" t="str">
        <f>"Update Project Set Organisation = '"&amp;H251&amp;"' where Project_ID = '"&amp;A251&amp;"'; "</f>
        <v xml:space="preserve">Update Project Set Organisation = 'King Saud University' where Project_ID = 'P0242'; </v>
      </c>
      <c r="Q251" t="str">
        <f>"Update Project Set Library_name = '"&amp;L251&amp;"' , COADD_ID = '"&amp;M251&amp;"' where Project_ID = '"&amp;A251&amp;"'; "</f>
        <v xml:space="preserve">Update Project Set Library_name = '' , COADD_ID = 'CO-ADD:PC0242' where Project_ID = 'P0242'; </v>
      </c>
    </row>
    <row r="252" spans="1:17">
      <c r="A252" t="s">
        <v>6392</v>
      </c>
      <c r="C252" t="s">
        <v>5633</v>
      </c>
      <c r="D252" t="s">
        <v>4073</v>
      </c>
      <c r="E252" t="s">
        <v>4072</v>
      </c>
      <c r="G252" t="s">
        <v>8913</v>
      </c>
      <c r="H252" t="s">
        <v>4077</v>
      </c>
      <c r="I252" t="s">
        <v>117</v>
      </c>
      <c r="K252" t="s">
        <v>5806</v>
      </c>
      <c r="M252" t="s">
        <v>6391</v>
      </c>
      <c r="P252" t="str">
        <f>"Update Project Set Organisation = '"&amp;H252&amp;"' where Project_ID = '"&amp;A252&amp;"'; "</f>
        <v xml:space="preserve">Update Project Set Organisation = 'Columbia University' where Project_ID = 'P0243'; </v>
      </c>
      <c r="Q252" t="str">
        <f>"Update Project Set Library_name = '"&amp;L252&amp;"' , COADD_ID = '"&amp;M252&amp;"' where Project_ID = '"&amp;A252&amp;"'; "</f>
        <v xml:space="preserve">Update Project Set Library_name = '' , COADD_ID = 'CO-ADD:PC0243' where Project_ID = 'P0243'; </v>
      </c>
    </row>
    <row r="253" spans="1:17">
      <c r="A253" t="s">
        <v>6395</v>
      </c>
      <c r="B253" t="s">
        <v>6394</v>
      </c>
      <c r="C253" t="s">
        <v>5633</v>
      </c>
      <c r="D253" t="s">
        <v>4643</v>
      </c>
      <c r="E253" t="s">
        <v>4642</v>
      </c>
      <c r="G253" t="s">
        <v>9068</v>
      </c>
      <c r="H253" t="s">
        <v>4646</v>
      </c>
      <c r="I253" t="s">
        <v>1600</v>
      </c>
      <c r="K253" t="s">
        <v>5828</v>
      </c>
      <c r="L253" t="s">
        <v>5995</v>
      </c>
      <c r="M253" t="s">
        <v>6393</v>
      </c>
      <c r="N253" s="2">
        <v>43862</v>
      </c>
      <c r="P253" t="str">
        <f>"Update Project Set Organisation = '"&amp;H253&amp;"' where Project_ID = '"&amp;A253&amp;"'; "</f>
        <v xml:space="preserve">Update Project Set Organisation = 'Russian Academy of Science' where Project_ID = 'P0244'; </v>
      </c>
      <c r="Q253" t="str">
        <f>"Update Project Set Library_name = '"&amp;L253&amp;"' , COADD_ID = '"&amp;M253&amp;"' where Project_ID = '"&amp;A253&amp;"'; "</f>
        <v xml:space="preserve">Update Project Set Library_name = 'Russian Academy of Science (Russia)' , COADD_ID = 'CO-ADD:PC0244' where Project_ID = 'P0244'; </v>
      </c>
    </row>
    <row r="254" spans="1:17">
      <c r="A254" t="s">
        <v>6398</v>
      </c>
      <c r="B254" t="s">
        <v>6397</v>
      </c>
      <c r="C254" t="s">
        <v>5633</v>
      </c>
      <c r="D254" t="s">
        <v>4643</v>
      </c>
      <c r="E254" t="s">
        <v>4642</v>
      </c>
      <c r="G254" t="s">
        <v>9068</v>
      </c>
      <c r="H254" t="s">
        <v>4646</v>
      </c>
      <c r="I254" t="s">
        <v>1600</v>
      </c>
      <c r="K254" t="s">
        <v>5828</v>
      </c>
      <c r="L254" t="s">
        <v>5995</v>
      </c>
      <c r="M254" t="s">
        <v>6396</v>
      </c>
      <c r="N254" s="2">
        <v>43862</v>
      </c>
      <c r="P254" t="str">
        <f>"Update Project Set Organisation = '"&amp;H254&amp;"' where Project_ID = '"&amp;A254&amp;"'; "</f>
        <v xml:space="preserve">Update Project Set Organisation = 'Russian Academy of Science' where Project_ID = 'P0245'; </v>
      </c>
      <c r="Q254" t="str">
        <f>"Update Project Set Library_name = '"&amp;L254&amp;"' , COADD_ID = '"&amp;M254&amp;"' where Project_ID = '"&amp;A254&amp;"'; "</f>
        <v xml:space="preserve">Update Project Set Library_name = 'Russian Academy of Science (Russia)' , COADD_ID = 'CO-ADD:PC0245' where Project_ID = 'P0245'; </v>
      </c>
    </row>
    <row r="255" spans="1:17">
      <c r="A255" t="s">
        <v>6401</v>
      </c>
      <c r="B255" t="s">
        <v>6400</v>
      </c>
      <c r="C255" t="s">
        <v>5633</v>
      </c>
      <c r="D255" t="s">
        <v>4643</v>
      </c>
      <c r="E255" t="s">
        <v>4642</v>
      </c>
      <c r="G255" t="s">
        <v>9068</v>
      </c>
      <c r="H255" t="s">
        <v>4646</v>
      </c>
      <c r="I255" t="s">
        <v>1600</v>
      </c>
      <c r="K255" t="s">
        <v>5828</v>
      </c>
      <c r="L255" t="s">
        <v>5995</v>
      </c>
      <c r="M255" t="s">
        <v>6399</v>
      </c>
      <c r="N255" s="2">
        <v>43862</v>
      </c>
      <c r="P255" t="str">
        <f>"Update Project Set Organisation = '"&amp;H255&amp;"' where Project_ID = '"&amp;A255&amp;"'; "</f>
        <v xml:space="preserve">Update Project Set Organisation = 'Russian Academy of Science' where Project_ID = 'P0246'; </v>
      </c>
      <c r="Q255" t="str">
        <f>"Update Project Set Library_name = '"&amp;L255&amp;"' , COADD_ID = '"&amp;M255&amp;"' where Project_ID = '"&amp;A255&amp;"'; "</f>
        <v xml:space="preserve">Update Project Set Library_name = 'Russian Academy of Science (Russia)' , COADD_ID = 'CO-ADD:PC0246' where Project_ID = 'P0246'; </v>
      </c>
    </row>
    <row r="256" spans="1:17">
      <c r="A256" t="s">
        <v>6404</v>
      </c>
      <c r="B256" t="s">
        <v>6403</v>
      </c>
      <c r="C256" t="s">
        <v>5633</v>
      </c>
      <c r="D256" t="s">
        <v>4643</v>
      </c>
      <c r="E256" t="s">
        <v>4642</v>
      </c>
      <c r="G256" t="s">
        <v>9068</v>
      </c>
      <c r="H256" t="s">
        <v>4646</v>
      </c>
      <c r="I256" t="s">
        <v>1600</v>
      </c>
      <c r="K256" t="s">
        <v>5828</v>
      </c>
      <c r="L256" t="s">
        <v>5995</v>
      </c>
      <c r="M256" t="s">
        <v>6402</v>
      </c>
      <c r="N256" s="2">
        <v>43862</v>
      </c>
      <c r="P256" t="str">
        <f>"Update Project Set Organisation = '"&amp;H256&amp;"' where Project_ID = '"&amp;A256&amp;"'; "</f>
        <v xml:space="preserve">Update Project Set Organisation = 'Russian Academy of Science' where Project_ID = 'P0247'; </v>
      </c>
      <c r="Q256" t="str">
        <f>"Update Project Set Library_name = '"&amp;L256&amp;"' , COADD_ID = '"&amp;M256&amp;"' where Project_ID = '"&amp;A256&amp;"'; "</f>
        <v xml:space="preserve">Update Project Set Library_name = 'Russian Academy of Science (Russia)' , COADD_ID = 'CO-ADD:PC0247' where Project_ID = 'P0247'; </v>
      </c>
    </row>
    <row r="257" spans="1:17">
      <c r="A257" t="s">
        <v>6406</v>
      </c>
      <c r="C257" t="s">
        <v>5633</v>
      </c>
      <c r="D257" t="s">
        <v>1709</v>
      </c>
      <c r="E257" t="s">
        <v>4542</v>
      </c>
      <c r="G257" t="s">
        <v>9043</v>
      </c>
      <c r="H257" t="s">
        <v>1560</v>
      </c>
      <c r="I257" t="s">
        <v>459</v>
      </c>
      <c r="K257" t="s">
        <v>5843</v>
      </c>
      <c r="M257" t="s">
        <v>6405</v>
      </c>
      <c r="P257" t="str">
        <f>"Update Project Set Organisation = '"&amp;H257&amp;"' where Project_ID = '"&amp;A257&amp;"'; "</f>
        <v xml:space="preserve">Update Project Set Organisation = 'National University of Singapore (NUS)' where Project_ID = 'P0248'; </v>
      </c>
      <c r="Q257" t="str">
        <f>"Update Project Set Library_name = '"&amp;L257&amp;"' , COADD_ID = '"&amp;M257&amp;"' where Project_ID = '"&amp;A257&amp;"'; "</f>
        <v xml:space="preserve">Update Project Set Library_name = '' , COADD_ID = 'CO-ADD:PC0248' where Project_ID = 'P0248'; </v>
      </c>
    </row>
    <row r="258" spans="1:17">
      <c r="A258" t="s">
        <v>6409</v>
      </c>
      <c r="B258" t="s">
        <v>6408</v>
      </c>
      <c r="C258" t="s">
        <v>5633</v>
      </c>
      <c r="D258" t="s">
        <v>4643</v>
      </c>
      <c r="E258" t="s">
        <v>4642</v>
      </c>
      <c r="G258" t="s">
        <v>9068</v>
      </c>
      <c r="H258" t="s">
        <v>4646</v>
      </c>
      <c r="I258" t="s">
        <v>1600</v>
      </c>
      <c r="K258" t="s">
        <v>5828</v>
      </c>
      <c r="L258" t="s">
        <v>5995</v>
      </c>
      <c r="M258" t="s">
        <v>6407</v>
      </c>
      <c r="N258" s="2">
        <v>43862</v>
      </c>
      <c r="P258" t="str">
        <f>"Update Project Set Organisation = '"&amp;H258&amp;"' where Project_ID = '"&amp;A258&amp;"'; "</f>
        <v xml:space="preserve">Update Project Set Organisation = 'Russian Academy of Science' where Project_ID = 'P0249'; </v>
      </c>
      <c r="Q258" t="str">
        <f>"Update Project Set Library_name = '"&amp;L258&amp;"' , COADD_ID = '"&amp;M258&amp;"' where Project_ID = '"&amp;A258&amp;"'; "</f>
        <v xml:space="preserve">Update Project Set Library_name = 'Russian Academy of Science (Russia)' , COADD_ID = 'CO-ADD:PC0249' where Project_ID = 'P0249'; </v>
      </c>
    </row>
    <row r="259" spans="1:17">
      <c r="A259" t="s">
        <v>6412</v>
      </c>
      <c r="B259" t="s">
        <v>6411</v>
      </c>
      <c r="C259" t="s">
        <v>5633</v>
      </c>
      <c r="D259" t="s">
        <v>4643</v>
      </c>
      <c r="E259" t="s">
        <v>4642</v>
      </c>
      <c r="G259" t="s">
        <v>9068</v>
      </c>
      <c r="H259" t="s">
        <v>4646</v>
      </c>
      <c r="I259" t="s">
        <v>1600</v>
      </c>
      <c r="K259" t="s">
        <v>5828</v>
      </c>
      <c r="L259" t="s">
        <v>5995</v>
      </c>
      <c r="M259" t="s">
        <v>6410</v>
      </c>
      <c r="N259" s="2">
        <v>43862</v>
      </c>
      <c r="P259" t="str">
        <f>"Update Project Set Organisation = '"&amp;H259&amp;"' where Project_ID = '"&amp;A259&amp;"'; "</f>
        <v xml:space="preserve">Update Project Set Organisation = 'Russian Academy of Science' where Project_ID = 'P0250'; </v>
      </c>
      <c r="Q259" t="str">
        <f>"Update Project Set Library_name = '"&amp;L259&amp;"' , COADD_ID = '"&amp;M259&amp;"' where Project_ID = '"&amp;A259&amp;"'; "</f>
        <v xml:space="preserve">Update Project Set Library_name = 'Russian Academy of Science (Russia)' , COADD_ID = 'CO-ADD:PC0250' where Project_ID = 'P0250'; </v>
      </c>
    </row>
    <row r="260" spans="1:17">
      <c r="A260" t="s">
        <v>6414</v>
      </c>
      <c r="C260" t="s">
        <v>5633</v>
      </c>
      <c r="D260" t="s">
        <v>4630</v>
      </c>
      <c r="E260" t="s">
        <v>4629</v>
      </c>
      <c r="G260" t="s">
        <v>9215</v>
      </c>
      <c r="H260" t="s">
        <v>4633</v>
      </c>
      <c r="I260" t="s">
        <v>269</v>
      </c>
      <c r="K260" t="s">
        <v>5843</v>
      </c>
      <c r="M260" t="s">
        <v>6413</v>
      </c>
      <c r="P260" t="str">
        <f>"Update Project Set Organisation = '"&amp;H260&amp;"' where Project_ID = '"&amp;A260&amp;"'; "</f>
        <v xml:space="preserve">Update Project Set Organisation = 'University of Strathclyde' where Project_ID = 'P0251'; </v>
      </c>
      <c r="Q260" t="str">
        <f>"Update Project Set Library_name = '"&amp;L260&amp;"' , COADD_ID = '"&amp;M260&amp;"' where Project_ID = '"&amp;A260&amp;"'; "</f>
        <v xml:space="preserve">Update Project Set Library_name = '' , COADD_ID = 'CO-ADD:PC0251' where Project_ID = 'P0251'; </v>
      </c>
    </row>
    <row r="261" spans="1:17">
      <c r="A261" t="s">
        <v>6416</v>
      </c>
      <c r="C261" t="s">
        <v>5633</v>
      </c>
      <c r="D261" t="s">
        <v>4172</v>
      </c>
      <c r="E261" t="s">
        <v>940</v>
      </c>
      <c r="G261" t="s">
        <v>8899</v>
      </c>
      <c r="H261" t="s">
        <v>943</v>
      </c>
      <c r="I261" t="s">
        <v>117</v>
      </c>
      <c r="K261" t="s">
        <v>5828</v>
      </c>
      <c r="L261" t="s">
        <v>8178</v>
      </c>
      <c r="M261" t="s">
        <v>6415</v>
      </c>
      <c r="N261" s="2">
        <v>45657</v>
      </c>
      <c r="P261" t="str">
        <f>"Update Project Set Organisation = '"&amp;H261&amp;"' where Project_ID = '"&amp;A261&amp;"'; "</f>
        <v xml:space="preserve">Update Project Set Organisation = 'Boston University' where Project_ID = 'P0252'; </v>
      </c>
      <c r="Q261" t="str">
        <f>"Update Project Set Library_name = '"&amp;L261&amp;"' , COADD_ID = '"&amp;M261&amp;"' where Project_ID = '"&amp;A261&amp;"'; "</f>
        <v xml:space="preserve">Update Project Set Library_name = 'Boston University (United States)' , COADD_ID = 'CO-ADD:PC0252' where Project_ID = 'P0252'; </v>
      </c>
    </row>
    <row r="262" spans="1:17">
      <c r="A262" t="s">
        <v>6418</v>
      </c>
      <c r="C262" t="s">
        <v>5633</v>
      </c>
      <c r="D262" t="s">
        <v>3477</v>
      </c>
      <c r="E262" t="s">
        <v>3782</v>
      </c>
      <c r="G262" t="s">
        <v>9262</v>
      </c>
      <c r="H262" t="s">
        <v>3480</v>
      </c>
      <c r="I262" t="s">
        <v>117</v>
      </c>
      <c r="K262" t="s">
        <v>5837</v>
      </c>
      <c r="M262" t="s">
        <v>6417</v>
      </c>
      <c r="P262" t="str">
        <f>"Update Project Set Organisation = '"&amp;H262&amp;"' where Project_ID = '"&amp;A262&amp;"'; "</f>
        <v xml:space="preserve">Update Project Set Organisation = 'Washington University in Saint Louis' where Project_ID = 'P0253'; </v>
      </c>
      <c r="Q262" t="str">
        <f>"Update Project Set Library_name = '"&amp;L262&amp;"' , COADD_ID = '"&amp;M262&amp;"' where Project_ID = '"&amp;A262&amp;"'; "</f>
        <v xml:space="preserve">Update Project Set Library_name = '' , COADD_ID = 'CO-ADD:PC0253' where Project_ID = 'P0253'; </v>
      </c>
    </row>
    <row r="263" spans="1:17">
      <c r="A263" t="s">
        <v>6421</v>
      </c>
      <c r="B263" t="s">
        <v>6420</v>
      </c>
      <c r="C263" t="s">
        <v>5633</v>
      </c>
      <c r="D263" t="s">
        <v>4643</v>
      </c>
      <c r="E263" t="s">
        <v>4642</v>
      </c>
      <c r="G263" t="s">
        <v>9068</v>
      </c>
      <c r="H263" t="s">
        <v>4646</v>
      </c>
      <c r="I263" t="s">
        <v>1600</v>
      </c>
      <c r="K263" t="s">
        <v>5828</v>
      </c>
      <c r="L263" t="s">
        <v>5995</v>
      </c>
      <c r="M263" t="s">
        <v>6419</v>
      </c>
      <c r="N263" s="2">
        <v>43862</v>
      </c>
      <c r="P263" t="str">
        <f>"Update Project Set Organisation = '"&amp;H263&amp;"' where Project_ID = '"&amp;A263&amp;"'; "</f>
        <v xml:space="preserve">Update Project Set Organisation = 'Russian Academy of Science' where Project_ID = 'P0254'; </v>
      </c>
      <c r="Q263" t="str">
        <f>"Update Project Set Library_name = '"&amp;L263&amp;"' , COADD_ID = '"&amp;M263&amp;"' where Project_ID = '"&amp;A263&amp;"'; "</f>
        <v xml:space="preserve">Update Project Set Library_name = 'Russian Academy of Science (Russia)' , COADD_ID = 'CO-ADD:PC0254' where Project_ID = 'P0254'; </v>
      </c>
    </row>
    <row r="264" spans="1:17">
      <c r="A264" t="s">
        <v>6423</v>
      </c>
      <c r="C264" t="s">
        <v>5633</v>
      </c>
      <c r="D264" t="s">
        <v>3660</v>
      </c>
      <c r="E264" t="s">
        <v>3659</v>
      </c>
      <c r="G264" t="s">
        <v>9188</v>
      </c>
      <c r="H264" t="s">
        <v>3663</v>
      </c>
      <c r="I264" t="s">
        <v>269</v>
      </c>
      <c r="K264" t="s">
        <v>5828</v>
      </c>
      <c r="L264" t="s">
        <v>8207</v>
      </c>
      <c r="M264" t="s">
        <v>6422</v>
      </c>
      <c r="N264" s="2">
        <v>45657</v>
      </c>
      <c r="P264" t="str">
        <f>"Update Project Set Organisation = '"&amp;H264&amp;"' where Project_ID = '"&amp;A264&amp;"'; "</f>
        <v xml:space="preserve">Update Project Set Organisation = 'University of Oxford' where Project_ID = 'P0255'; </v>
      </c>
      <c r="Q264" t="str">
        <f>"Update Project Set Library_name = '"&amp;L264&amp;"' , COADD_ID = '"&amp;M264&amp;"' where Project_ID = '"&amp;A264&amp;"'; "</f>
        <v xml:space="preserve">Update Project Set Library_name = 'University of Oxford (United Kingdom)' , COADD_ID = 'CO-ADD:PC0255' where Project_ID = 'P0255'; </v>
      </c>
    </row>
    <row r="265" spans="1:17">
      <c r="A265" t="s">
        <v>6425</v>
      </c>
      <c r="C265" t="s">
        <v>5633</v>
      </c>
      <c r="D265" t="s">
        <v>3850</v>
      </c>
      <c r="E265" t="s">
        <v>3849</v>
      </c>
      <c r="G265" t="s">
        <v>8938</v>
      </c>
      <c r="H265" t="s">
        <v>4068</v>
      </c>
      <c r="I265" t="s">
        <v>14</v>
      </c>
      <c r="K265" t="s">
        <v>5843</v>
      </c>
      <c r="M265" t="s">
        <v>6424</v>
      </c>
      <c r="P265" t="str">
        <f>"Update Project Set Organisation = '"&amp;H265&amp;"' where Project_ID = '"&amp;A265&amp;"'; "</f>
        <v xml:space="preserve">Update Project Set Organisation = 'Flinders University' where Project_ID = 'P0256'; </v>
      </c>
      <c r="Q265" t="str">
        <f>"Update Project Set Library_name = '"&amp;L265&amp;"' , COADD_ID = '"&amp;M265&amp;"' where Project_ID = '"&amp;A265&amp;"'; "</f>
        <v xml:space="preserve">Update Project Set Library_name = '' , COADD_ID = 'CO-ADD:PC0256' where Project_ID = 'P0256'; </v>
      </c>
    </row>
    <row r="266" spans="1:17">
      <c r="A266" t="s">
        <v>6427</v>
      </c>
      <c r="C266" t="s">
        <v>5633</v>
      </c>
      <c r="D266" t="s">
        <v>2080</v>
      </c>
      <c r="E266" t="s">
        <v>4512</v>
      </c>
      <c r="F266" t="s">
        <v>3878</v>
      </c>
      <c r="G266" t="s">
        <v>8963</v>
      </c>
      <c r="H266" t="s">
        <v>3881</v>
      </c>
      <c r="I266" t="s">
        <v>117</v>
      </c>
      <c r="K266" t="s">
        <v>5828</v>
      </c>
      <c r="L266" t="s">
        <v>8208</v>
      </c>
      <c r="M266" t="s">
        <v>6426</v>
      </c>
      <c r="N266" s="2">
        <v>45657</v>
      </c>
      <c r="P266" t="str">
        <f>"Update Project Set Organisation = '"&amp;H266&amp;"' where Project_ID = '"&amp;A266&amp;"'; "</f>
        <v xml:space="preserve">Update Project Set Organisation = 'Indiana University-Purdue University Indianapolis' where Project_ID = 'P0257'; </v>
      </c>
      <c r="Q266" t="str">
        <f>"Update Project Set Library_name = '"&amp;L266&amp;"' , COADD_ID = '"&amp;M266&amp;"' where Project_ID = '"&amp;A266&amp;"'; "</f>
        <v xml:space="preserve">Update Project Set Library_name = 'Indiana University-Purdue University Indianapolis (United States)' , COADD_ID = 'CO-ADD:PC0257' where Project_ID = 'P0257'; </v>
      </c>
    </row>
    <row r="267" spans="1:17">
      <c r="A267" t="s">
        <v>6429</v>
      </c>
      <c r="C267" t="s">
        <v>5633</v>
      </c>
      <c r="D267" t="s">
        <v>853</v>
      </c>
      <c r="E267" t="s">
        <v>852</v>
      </c>
      <c r="G267" t="s">
        <v>9069</v>
      </c>
      <c r="H267" t="s">
        <v>857</v>
      </c>
      <c r="I267" t="s">
        <v>557</v>
      </c>
      <c r="K267" t="s">
        <v>5828</v>
      </c>
      <c r="L267" t="s">
        <v>8179</v>
      </c>
      <c r="M267" t="s">
        <v>6428</v>
      </c>
      <c r="N267" s="2">
        <v>45657</v>
      </c>
      <c r="P267" t="str">
        <f>"Update Project Set Organisation = '"&amp;H267&amp;"' where Project_ID = '"&amp;A267&amp;"'; "</f>
        <v xml:space="preserve">Update Project Set Organisation = 'RWTH Aachen University' where Project_ID = 'P0258'; </v>
      </c>
      <c r="Q267" t="str">
        <f>"Update Project Set Library_name = '"&amp;L267&amp;"' , COADD_ID = '"&amp;M267&amp;"' where Project_ID = '"&amp;A267&amp;"'; "</f>
        <v xml:space="preserve">Update Project Set Library_name = 'RWTH Aachen University (Germany)' , COADD_ID = 'CO-ADD:PC0258' where Project_ID = 'P0258'; </v>
      </c>
    </row>
    <row r="268" spans="1:17">
      <c r="A268" t="s">
        <v>6432</v>
      </c>
      <c r="B268" t="s">
        <v>6431</v>
      </c>
      <c r="C268" t="s">
        <v>5633</v>
      </c>
      <c r="D268" t="s">
        <v>4643</v>
      </c>
      <c r="E268" t="s">
        <v>4642</v>
      </c>
      <c r="G268" t="s">
        <v>9068</v>
      </c>
      <c r="H268" t="s">
        <v>4646</v>
      </c>
      <c r="I268" t="s">
        <v>1600</v>
      </c>
      <c r="K268" t="s">
        <v>5828</v>
      </c>
      <c r="L268" t="s">
        <v>5995</v>
      </c>
      <c r="M268" t="s">
        <v>6430</v>
      </c>
      <c r="N268" s="2">
        <v>43862</v>
      </c>
      <c r="P268" t="str">
        <f>"Update Project Set Organisation = '"&amp;H268&amp;"' where Project_ID = '"&amp;A268&amp;"'; "</f>
        <v xml:space="preserve">Update Project Set Organisation = 'Russian Academy of Science' where Project_ID = 'P0259'; </v>
      </c>
      <c r="Q268" t="str">
        <f>"Update Project Set Library_name = '"&amp;L268&amp;"' , COADD_ID = '"&amp;M268&amp;"' where Project_ID = '"&amp;A268&amp;"'; "</f>
        <v xml:space="preserve">Update Project Set Library_name = 'Russian Academy of Science (Russia)' , COADD_ID = 'CO-ADD:PC0259' where Project_ID = 'P0259'; </v>
      </c>
    </row>
    <row r="269" spans="1:17">
      <c r="A269" t="s">
        <v>6435</v>
      </c>
      <c r="B269" t="s">
        <v>6434</v>
      </c>
      <c r="C269" t="s">
        <v>5633</v>
      </c>
      <c r="D269" t="s">
        <v>4643</v>
      </c>
      <c r="E269" t="s">
        <v>4642</v>
      </c>
      <c r="G269" t="s">
        <v>9068</v>
      </c>
      <c r="H269" t="s">
        <v>4646</v>
      </c>
      <c r="I269" t="s">
        <v>1600</v>
      </c>
      <c r="K269" t="s">
        <v>5828</v>
      </c>
      <c r="L269" t="s">
        <v>5995</v>
      </c>
      <c r="M269" t="s">
        <v>6433</v>
      </c>
      <c r="N269" s="2">
        <v>43862</v>
      </c>
      <c r="P269" t="str">
        <f>"Update Project Set Organisation = '"&amp;H269&amp;"' where Project_ID = '"&amp;A269&amp;"'; "</f>
        <v xml:space="preserve">Update Project Set Organisation = 'Russian Academy of Science' where Project_ID = 'P0260'; </v>
      </c>
      <c r="Q269" t="str">
        <f>"Update Project Set Library_name = '"&amp;L269&amp;"' , COADD_ID = '"&amp;M269&amp;"' where Project_ID = '"&amp;A269&amp;"'; "</f>
        <v xml:space="preserve">Update Project Set Library_name = 'Russian Academy of Science (Russia)' , COADD_ID = 'CO-ADD:PC0260' where Project_ID = 'P0260'; </v>
      </c>
    </row>
    <row r="270" spans="1:17">
      <c r="A270" t="s">
        <v>6438</v>
      </c>
      <c r="B270" t="s">
        <v>6437</v>
      </c>
      <c r="C270" t="s">
        <v>5633</v>
      </c>
      <c r="D270" t="s">
        <v>4643</v>
      </c>
      <c r="E270" t="s">
        <v>4642</v>
      </c>
      <c r="G270" t="s">
        <v>9068</v>
      </c>
      <c r="H270" t="s">
        <v>4646</v>
      </c>
      <c r="I270" t="s">
        <v>1600</v>
      </c>
      <c r="K270" t="s">
        <v>5828</v>
      </c>
      <c r="L270" t="s">
        <v>5995</v>
      </c>
      <c r="M270" t="s">
        <v>6436</v>
      </c>
      <c r="N270" s="2">
        <v>43862</v>
      </c>
      <c r="P270" t="str">
        <f>"Update Project Set Organisation = '"&amp;H270&amp;"' where Project_ID = '"&amp;A270&amp;"'; "</f>
        <v xml:space="preserve">Update Project Set Organisation = 'Russian Academy of Science' where Project_ID = 'P0261'; </v>
      </c>
      <c r="Q270" t="str">
        <f>"Update Project Set Library_name = '"&amp;L270&amp;"' , COADD_ID = '"&amp;M270&amp;"' where Project_ID = '"&amp;A270&amp;"'; "</f>
        <v xml:space="preserve">Update Project Set Library_name = 'Russian Academy of Science (Russia)' , COADD_ID = 'CO-ADD:PC0261' where Project_ID = 'P0261'; </v>
      </c>
    </row>
    <row r="271" spans="1:17">
      <c r="A271" t="s">
        <v>6440</v>
      </c>
      <c r="C271" t="s">
        <v>5633</v>
      </c>
      <c r="D271" t="s">
        <v>925</v>
      </c>
      <c r="E271" t="s">
        <v>5171</v>
      </c>
      <c r="G271" t="s">
        <v>9063</v>
      </c>
      <c r="H271" t="s">
        <v>929</v>
      </c>
      <c r="I271" t="s">
        <v>14</v>
      </c>
      <c r="K271" t="s">
        <v>5806</v>
      </c>
      <c r="M271" t="s">
        <v>6439</v>
      </c>
      <c r="P271" t="str">
        <f>"Update Project Set Organisation = '"&amp;H271&amp;"' where Project_ID = '"&amp;A271&amp;"'; "</f>
        <v xml:space="preserve">Update Project Set Organisation = 'RMIT University' where Project_ID = 'P0262'; </v>
      </c>
      <c r="Q271" t="str">
        <f>"Update Project Set Library_name = '"&amp;L271&amp;"' , COADD_ID = '"&amp;M271&amp;"' where Project_ID = '"&amp;A271&amp;"'; "</f>
        <v xml:space="preserve">Update Project Set Library_name = '' , COADD_ID = 'CO-ADD:PC0262' where Project_ID = 'P0262'; </v>
      </c>
    </row>
    <row r="272" spans="1:17">
      <c r="A272" t="s">
        <v>6443</v>
      </c>
      <c r="C272" t="s">
        <v>5633</v>
      </c>
      <c r="D272" t="s">
        <v>5457</v>
      </c>
      <c r="E272" t="s">
        <v>5456</v>
      </c>
      <c r="G272" t="s">
        <v>8882</v>
      </c>
      <c r="H272" t="s">
        <v>5459</v>
      </c>
      <c r="I272" t="s">
        <v>117</v>
      </c>
      <c r="K272" t="s">
        <v>5828</v>
      </c>
      <c r="L272" t="s">
        <v>6442</v>
      </c>
      <c r="M272" t="s">
        <v>6441</v>
      </c>
      <c r="N272" s="2">
        <v>43770</v>
      </c>
      <c r="P272" t="str">
        <f>"Update Project Set Organisation = '"&amp;H272&amp;"' where Project_ID = '"&amp;A272&amp;"'; "</f>
        <v xml:space="preserve">Update Project Set Organisation = 'Armstrong State University' where Project_ID = 'P0263'; </v>
      </c>
      <c r="Q272" t="str">
        <f>"Update Project Set Library_name = '"&amp;L272&amp;"' , COADD_ID = '"&amp;M272&amp;"' where Project_ID = '"&amp;A272&amp;"'; "</f>
        <v xml:space="preserve">Update Project Set Library_name = 'Armstrong State University (GA, USA)' , COADD_ID = 'CO-ADD:PC0263' where Project_ID = 'P0263'; </v>
      </c>
    </row>
    <row r="273" spans="1:17">
      <c r="A273" t="s">
        <v>6445</v>
      </c>
      <c r="C273" t="s">
        <v>5633</v>
      </c>
      <c r="D273" t="s">
        <v>1077</v>
      </c>
      <c r="E273" t="s">
        <v>2150</v>
      </c>
      <c r="G273" t="s">
        <v>9158</v>
      </c>
      <c r="H273" t="s">
        <v>1080</v>
      </c>
      <c r="I273" t="s">
        <v>269</v>
      </c>
      <c r="K273" t="s">
        <v>5806</v>
      </c>
      <c r="M273" t="s">
        <v>6444</v>
      </c>
      <c r="P273" t="str">
        <f>"Update Project Set Organisation = '"&amp;H273&amp;"' where Project_ID = '"&amp;A273&amp;"'; "</f>
        <v xml:space="preserve">Update Project Set Organisation = 'University of Leeds' where Project_ID = 'P0264'; </v>
      </c>
      <c r="Q273" t="str">
        <f>"Update Project Set Library_name = '"&amp;L273&amp;"' , COADD_ID = '"&amp;M273&amp;"' where Project_ID = '"&amp;A273&amp;"'; "</f>
        <v xml:space="preserve">Update Project Set Library_name = '' , COADD_ID = 'CO-ADD:PC0264' where Project_ID = 'P0264'; </v>
      </c>
    </row>
    <row r="274" spans="1:17">
      <c r="A274" t="s">
        <v>6448</v>
      </c>
      <c r="C274" t="s">
        <v>5633</v>
      </c>
      <c r="D274" t="s">
        <v>602</v>
      </c>
      <c r="E274" t="s">
        <v>4921</v>
      </c>
      <c r="F274" t="s">
        <v>601</v>
      </c>
      <c r="G274" t="s">
        <v>9083</v>
      </c>
      <c r="H274" t="s">
        <v>606</v>
      </c>
      <c r="I274" t="s">
        <v>609</v>
      </c>
      <c r="K274" t="s">
        <v>5828</v>
      </c>
      <c r="L274" t="s">
        <v>6447</v>
      </c>
      <c r="M274" t="s">
        <v>6446</v>
      </c>
      <c r="N274" s="2">
        <v>43770</v>
      </c>
      <c r="P274" t="str">
        <f>"Update Project Set Organisation = '"&amp;H274&amp;"' where Project_ID = '"&amp;A274&amp;"'; "</f>
        <v xml:space="preserve">Update Project Set Organisation = 'Stellenbosch University' where Project_ID = 'P0265'; </v>
      </c>
      <c r="Q274" t="str">
        <f>"Update Project Set Library_name = '"&amp;L274&amp;"' , COADD_ID = '"&amp;M274&amp;"' where Project_ID = '"&amp;A274&amp;"'; "</f>
        <v xml:space="preserve">Update Project Set Library_name = 'Stellenbosch University (South Africa)' , COADD_ID = 'CO-ADD:PC0265' where Project_ID = 'P0265'; </v>
      </c>
    </row>
    <row r="275" spans="1:17">
      <c r="A275" t="s">
        <v>6453</v>
      </c>
      <c r="B275" t="s">
        <v>6452</v>
      </c>
      <c r="C275" t="s">
        <v>5633</v>
      </c>
      <c r="D275" t="s">
        <v>247</v>
      </c>
      <c r="E275" t="s">
        <v>1052</v>
      </c>
      <c r="F275" t="s">
        <v>4518</v>
      </c>
      <c r="G275" t="s">
        <v>9011</v>
      </c>
      <c r="H275" t="s">
        <v>250</v>
      </c>
      <c r="I275" t="s">
        <v>253</v>
      </c>
      <c r="J275" t="s">
        <v>6451</v>
      </c>
      <c r="K275" t="s">
        <v>5828</v>
      </c>
      <c r="L275" t="s">
        <v>6450</v>
      </c>
      <c r="M275" t="s">
        <v>6449</v>
      </c>
      <c r="N275" s="2">
        <v>43617</v>
      </c>
      <c r="P275" t="str">
        <f>"Update Project Set Organisation = '"&amp;H275&amp;"' where Project_ID = '"&amp;A275&amp;"'; "</f>
        <v xml:space="preserve">Update Project Set Organisation = 'Medicines for Malaria Venture (MMV)' where Project_ID = 'P0266'; </v>
      </c>
      <c r="Q275" t="str">
        <f>"Update Project Set Library_name = '"&amp;L275&amp;"' , COADD_ID = '"&amp;M275&amp;"' where Project_ID = '"&amp;A275&amp;"'; "</f>
        <v xml:space="preserve">Update Project Set Library_name = 'MMV (CH) - Pathogen Box' , COADD_ID = 'CO-ADD:PL0022' where Project_ID = 'P0266'; </v>
      </c>
    </row>
    <row r="276" spans="1:17">
      <c r="A276" t="s">
        <v>6455</v>
      </c>
      <c r="C276" t="s">
        <v>5633</v>
      </c>
      <c r="D276" t="s">
        <v>322</v>
      </c>
      <c r="E276" t="s">
        <v>321</v>
      </c>
      <c r="G276" t="s">
        <v>8881</v>
      </c>
      <c r="H276" t="s">
        <v>324</v>
      </c>
      <c r="I276" t="s">
        <v>117</v>
      </c>
      <c r="K276" t="s">
        <v>5843</v>
      </c>
      <c r="M276" t="s">
        <v>6454</v>
      </c>
      <c r="P276" t="str">
        <f>"Update Project Set Organisation = '"&amp;H276&amp;"' where Project_ID = '"&amp;A276&amp;"'; "</f>
        <v xml:space="preserve">Update Project Set Organisation = 'Arkansas State University Jonesboro' where Project_ID = 'P0267'; </v>
      </c>
      <c r="Q276" t="str">
        <f>"Update Project Set Library_name = '"&amp;L276&amp;"' , COADD_ID = '"&amp;M276&amp;"' where Project_ID = '"&amp;A276&amp;"'; "</f>
        <v xml:space="preserve">Update Project Set Library_name = '' , COADD_ID = 'CO-ADD:PC0267' where Project_ID = 'P0267'; </v>
      </c>
    </row>
    <row r="277" spans="1:17">
      <c r="A277" t="s">
        <v>6457</v>
      </c>
      <c r="C277" t="s">
        <v>5633</v>
      </c>
      <c r="D277" t="s">
        <v>2994</v>
      </c>
      <c r="E277" t="s">
        <v>2993</v>
      </c>
      <c r="F277" t="s">
        <v>3213</v>
      </c>
      <c r="G277" t="s">
        <v>8912</v>
      </c>
      <c r="H277" t="s">
        <v>3106</v>
      </c>
      <c r="I277" t="s">
        <v>117</v>
      </c>
      <c r="K277" t="s">
        <v>5837</v>
      </c>
      <c r="M277" t="s">
        <v>6456</v>
      </c>
      <c r="P277" t="str">
        <f>"Update Project Set Organisation = '"&amp;H277&amp;"' where Project_ID = '"&amp;A277&amp;"'; "</f>
        <v xml:space="preserve">Update Project Set Organisation = 'College of San Mateo' where Project_ID = 'P0268'; </v>
      </c>
      <c r="Q277" t="str">
        <f>"Update Project Set Library_name = '"&amp;L277&amp;"' , COADD_ID = '"&amp;M277&amp;"' where Project_ID = '"&amp;A277&amp;"'; "</f>
        <v xml:space="preserve">Update Project Set Library_name = '' , COADD_ID = 'CO-ADD:PC0268' where Project_ID = 'P0268'; </v>
      </c>
    </row>
    <row r="278" spans="1:17">
      <c r="A278" t="s">
        <v>6459</v>
      </c>
      <c r="C278" t="s">
        <v>5633</v>
      </c>
      <c r="D278" t="s">
        <v>988</v>
      </c>
      <c r="E278" t="s">
        <v>4890</v>
      </c>
      <c r="G278" t="s">
        <v>9134</v>
      </c>
      <c r="H278" t="s">
        <v>991</v>
      </c>
      <c r="I278" t="s">
        <v>269</v>
      </c>
      <c r="K278" t="s">
        <v>5806</v>
      </c>
      <c r="M278" t="s">
        <v>6458</v>
      </c>
      <c r="P278" t="str">
        <f>"Update Project Set Organisation = '"&amp;H278&amp;"' where Project_ID = '"&amp;A278&amp;"'; "</f>
        <v xml:space="preserve">Update Project Set Organisation = 'University of Bath' where Project_ID = 'P0269'; </v>
      </c>
      <c r="Q278" t="str">
        <f>"Update Project Set Library_name = '"&amp;L278&amp;"' , COADD_ID = '"&amp;M278&amp;"' where Project_ID = '"&amp;A278&amp;"'; "</f>
        <v xml:space="preserve">Update Project Set Library_name = '' , COADD_ID = 'CO-ADD:PC0269' where Project_ID = 'P0269'; </v>
      </c>
    </row>
    <row r="279" spans="1:17">
      <c r="A279" t="s">
        <v>6461</v>
      </c>
      <c r="C279" t="s">
        <v>5633</v>
      </c>
      <c r="D279" t="s">
        <v>4001</v>
      </c>
      <c r="E279" t="s">
        <v>4028</v>
      </c>
      <c r="F279" t="s">
        <v>4000</v>
      </c>
      <c r="G279" t="s">
        <v>8928</v>
      </c>
      <c r="H279" t="s">
        <v>4004</v>
      </c>
      <c r="I279" t="s">
        <v>211</v>
      </c>
      <c r="K279" t="s">
        <v>5828</v>
      </c>
      <c r="L279" t="s">
        <v>8209</v>
      </c>
      <c r="M279" t="s">
        <v>6460</v>
      </c>
      <c r="N279" s="2">
        <v>45657</v>
      </c>
      <c r="P279" t="str">
        <f>"Update Project Set Organisation = '"&amp;H279&amp;"' where Project_ID = '"&amp;A279&amp;"'; "</f>
        <v xml:space="preserve">Update Project Set Organisation = 'Deogiri College' where Project_ID = 'P0270'; </v>
      </c>
      <c r="Q279" t="str">
        <f>"Update Project Set Library_name = '"&amp;L279&amp;"' , COADD_ID = '"&amp;M279&amp;"' where Project_ID = '"&amp;A279&amp;"'; "</f>
        <v xml:space="preserve">Update Project Set Library_name = 'Deogiri College (India)' , COADD_ID = 'CO-ADD:PC0270' where Project_ID = 'P0270'; </v>
      </c>
    </row>
    <row r="280" spans="1:17">
      <c r="A280" t="s">
        <v>6463</v>
      </c>
      <c r="C280" t="s">
        <v>5633</v>
      </c>
      <c r="D280" t="s">
        <v>2886</v>
      </c>
      <c r="E280" t="s">
        <v>2885</v>
      </c>
      <c r="F280" t="s">
        <v>4362</v>
      </c>
      <c r="G280" t="s">
        <v>9246</v>
      </c>
      <c r="H280" t="s">
        <v>1422</v>
      </c>
      <c r="I280" t="s">
        <v>14</v>
      </c>
      <c r="J280" t="s">
        <v>6350</v>
      </c>
      <c r="K280" t="s">
        <v>5806</v>
      </c>
      <c r="M280" t="s">
        <v>6462</v>
      </c>
      <c r="P280" t="str">
        <f>"Update Project Set Organisation = '"&amp;H280&amp;"' where Project_ID = '"&amp;A280&amp;"'; "</f>
        <v xml:space="preserve">Update Project Set Organisation = 'University of Wollongong' where Project_ID = 'P0271'; </v>
      </c>
      <c r="Q280" t="str">
        <f>"Update Project Set Library_name = '"&amp;L280&amp;"' , COADD_ID = '"&amp;M280&amp;"' where Project_ID = '"&amp;A280&amp;"'; "</f>
        <v xml:space="preserve">Update Project Set Library_name = '' , COADD_ID = 'CO-ADD:PC0271' where Project_ID = 'P0271'; </v>
      </c>
    </row>
    <row r="281" spans="1:17">
      <c r="A281" t="s">
        <v>6465</v>
      </c>
      <c r="B281" t="s">
        <v>6207</v>
      </c>
      <c r="C281" t="s">
        <v>5633</v>
      </c>
      <c r="D281" t="s">
        <v>968</v>
      </c>
      <c r="E281" t="s">
        <v>1523</v>
      </c>
      <c r="F281" t="s">
        <v>2750</v>
      </c>
      <c r="G281" t="s">
        <v>8983</v>
      </c>
      <c r="H281" t="s">
        <v>971</v>
      </c>
      <c r="I281" t="s">
        <v>557</v>
      </c>
      <c r="K281" t="s">
        <v>5806</v>
      </c>
      <c r="M281" t="s">
        <v>6464</v>
      </c>
      <c r="P281" t="str">
        <f>"Update Project Set Organisation = '"&amp;H281&amp;"' where Project_ID = '"&amp;A281&amp;"'; "</f>
        <v xml:space="preserve">Update Project Set Organisation = 'Karlsruhe Institute of Technology (KIT)' where Project_ID = 'P0272'; </v>
      </c>
      <c r="Q281" t="str">
        <f>"Update Project Set Library_name = '"&amp;L281&amp;"' , COADD_ID = '"&amp;M281&amp;"' where Project_ID = '"&amp;A281&amp;"'; "</f>
        <v xml:space="preserve">Update Project Set Library_name = '' , COADD_ID = 'CO-ADD:PC0272' where Project_ID = 'P0272'; </v>
      </c>
    </row>
    <row r="282" spans="1:17">
      <c r="A282" t="s">
        <v>6467</v>
      </c>
      <c r="C282" t="s">
        <v>5633</v>
      </c>
      <c r="D282" t="s">
        <v>2302</v>
      </c>
      <c r="E282" t="s">
        <v>2301</v>
      </c>
      <c r="G282" t="s">
        <v>9029</v>
      </c>
      <c r="H282" t="s">
        <v>2305</v>
      </c>
      <c r="I282" t="s">
        <v>211</v>
      </c>
      <c r="K282" t="s">
        <v>5843</v>
      </c>
      <c r="M282" t="s">
        <v>6466</v>
      </c>
      <c r="P282" t="str">
        <f>"Update Project Set Organisation = '"&amp;H282&amp;"' where Project_ID = '"&amp;A282&amp;"'; "</f>
        <v xml:space="preserve">Update Project Set Organisation = 'Nanakram Bhagwandas Science College' where Project_ID = 'P0273'; </v>
      </c>
      <c r="Q282" t="str">
        <f>"Update Project Set Library_name = '"&amp;L282&amp;"' , COADD_ID = '"&amp;M282&amp;"' where Project_ID = '"&amp;A282&amp;"'; "</f>
        <v xml:space="preserve">Update Project Set Library_name = '' , COADD_ID = 'CO-ADD:PC0273' where Project_ID = 'P0273'; </v>
      </c>
    </row>
    <row r="283" spans="1:17">
      <c r="A283" t="s">
        <v>6470</v>
      </c>
      <c r="C283" t="s">
        <v>5633</v>
      </c>
      <c r="D283" t="s">
        <v>1152</v>
      </c>
      <c r="E283" t="s">
        <v>2336</v>
      </c>
      <c r="F283" t="s">
        <v>1151</v>
      </c>
      <c r="G283" t="s">
        <v>9237</v>
      </c>
      <c r="H283" t="s">
        <v>1154</v>
      </c>
      <c r="I283" t="s">
        <v>269</v>
      </c>
      <c r="K283" t="s">
        <v>5828</v>
      </c>
      <c r="L283" t="s">
        <v>6469</v>
      </c>
      <c r="M283" t="s">
        <v>6468</v>
      </c>
      <c r="N283" s="2">
        <v>43770</v>
      </c>
      <c r="P283" t="str">
        <f>"Update Project Set Organisation = '"&amp;H283&amp;"' where Project_ID = '"&amp;A283&amp;"'; "</f>
        <v xml:space="preserve">Update Project Set Organisation = 'University of Warwick' where Project_ID = 'P0274'; </v>
      </c>
      <c r="Q283" t="str">
        <f>"Update Project Set Library_name = '"&amp;L283&amp;"' , COADD_ID = '"&amp;M283&amp;"' where Project_ID = '"&amp;A283&amp;"'; "</f>
        <v xml:space="preserve">Update Project Set Library_name = 'University of Warwick (UK)' , COADD_ID = 'CO-ADD:PC0274' where Project_ID = 'P0274'; </v>
      </c>
    </row>
    <row r="284" spans="1:17">
      <c r="A284" t="s">
        <v>6472</v>
      </c>
      <c r="C284" t="s">
        <v>5633</v>
      </c>
      <c r="D284" t="s">
        <v>4014</v>
      </c>
      <c r="E284" t="s">
        <v>4013</v>
      </c>
      <c r="G284" t="s">
        <v>9064</v>
      </c>
      <c r="H284" t="s">
        <v>4017</v>
      </c>
      <c r="I284" t="s">
        <v>117</v>
      </c>
      <c r="K284" t="s">
        <v>5828</v>
      </c>
      <c r="L284" t="s">
        <v>8210</v>
      </c>
      <c r="M284" t="s">
        <v>6471</v>
      </c>
      <c r="N284" s="2">
        <v>45657</v>
      </c>
      <c r="P284" t="str">
        <f>"Update Project Set Organisation = '"&amp;H284&amp;"' where Project_ID = '"&amp;A284&amp;"'; "</f>
        <v xml:space="preserve">Update Project Set Organisation = 'Rosalind Franklin University of Medicine and Science' where Project_ID = 'P0275'; </v>
      </c>
      <c r="Q284" t="str">
        <f>"Update Project Set Library_name = '"&amp;L284&amp;"' , COADD_ID = '"&amp;M284&amp;"' where Project_ID = '"&amp;A284&amp;"'; "</f>
        <v xml:space="preserve">Update Project Set Library_name = 'Rosalind Franklin University of Medicine and Science (United States)' , COADD_ID = 'CO-ADD:PC0275' where Project_ID = 'P0275'; </v>
      </c>
    </row>
    <row r="285" spans="1:17">
      <c r="A285" t="s">
        <v>6474</v>
      </c>
      <c r="C285" t="s">
        <v>5633</v>
      </c>
      <c r="D285" t="s">
        <v>2225</v>
      </c>
      <c r="E285" t="s">
        <v>2763</v>
      </c>
      <c r="G285" t="s">
        <v>9156</v>
      </c>
      <c r="H285" t="s">
        <v>2228</v>
      </c>
      <c r="I285" t="s">
        <v>609</v>
      </c>
      <c r="K285" t="s">
        <v>5843</v>
      </c>
      <c r="M285" t="s">
        <v>6473</v>
      </c>
      <c r="P285" t="str">
        <f>"Update Project Set Organisation = '"&amp;H285&amp;"' where Project_ID = '"&amp;A285&amp;"'; "</f>
        <v xml:space="preserve">Update Project Set Organisation = 'University of KwaZulu-Natal' where Project_ID = 'P0276'; </v>
      </c>
      <c r="Q285" t="str">
        <f>"Update Project Set Library_name = '"&amp;L285&amp;"' , COADD_ID = '"&amp;M285&amp;"' where Project_ID = '"&amp;A285&amp;"'; "</f>
        <v xml:space="preserve">Update Project Set Library_name = '' , COADD_ID = 'CO-ADD:PC0276' where Project_ID = 'P0276'; </v>
      </c>
    </row>
    <row r="286" spans="1:17">
      <c r="A286" t="s">
        <v>6476</v>
      </c>
      <c r="C286" t="s">
        <v>5633</v>
      </c>
      <c r="D286" t="s">
        <v>1514</v>
      </c>
      <c r="E286" t="s">
        <v>1589</v>
      </c>
      <c r="G286" t="s">
        <v>9146</v>
      </c>
      <c r="H286" t="s">
        <v>1518</v>
      </c>
      <c r="I286" t="s">
        <v>1520</v>
      </c>
      <c r="K286" t="s">
        <v>5843</v>
      </c>
      <c r="M286" t="s">
        <v>6475</v>
      </c>
      <c r="P286" t="str">
        <f>"Update Project Set Organisation = '"&amp;H286&amp;"' where Project_ID = '"&amp;A286&amp;"'; "</f>
        <v xml:space="preserve">Update Project Set Organisation = 'University of Colombo' where Project_ID = 'P0277'; </v>
      </c>
      <c r="Q286" t="str">
        <f>"Update Project Set Library_name = '"&amp;L286&amp;"' , COADD_ID = '"&amp;M286&amp;"' where Project_ID = '"&amp;A286&amp;"'; "</f>
        <v xml:space="preserve">Update Project Set Library_name = '' , COADD_ID = 'CO-ADD:PC0277' where Project_ID = 'P0277'; </v>
      </c>
    </row>
    <row r="287" spans="1:17">
      <c r="A287" t="s">
        <v>6478</v>
      </c>
      <c r="C287" t="s">
        <v>5633</v>
      </c>
      <c r="D287" t="s">
        <v>1504</v>
      </c>
      <c r="E287" t="s">
        <v>1503</v>
      </c>
      <c r="G287" t="s">
        <v>8989</v>
      </c>
      <c r="H287" t="s">
        <v>1507</v>
      </c>
      <c r="I287" t="s">
        <v>1510</v>
      </c>
      <c r="K287" t="s">
        <v>5828</v>
      </c>
      <c r="L287" t="s">
        <v>8211</v>
      </c>
      <c r="M287" t="s">
        <v>6477</v>
      </c>
      <c r="N287" s="2">
        <v>45657</v>
      </c>
      <c r="P287" t="str">
        <f>"Update Project Set Organisation = '"&amp;H287&amp;"' where Project_ID = '"&amp;A287&amp;"'; "</f>
        <v xml:space="preserve">Update Project Set Organisation = 'KU Leuven' where Project_ID = 'P0278'; </v>
      </c>
      <c r="Q287" t="str">
        <f>"Update Project Set Library_name = '"&amp;L287&amp;"' , COADD_ID = '"&amp;M287&amp;"' where Project_ID = '"&amp;A287&amp;"'; "</f>
        <v xml:space="preserve">Update Project Set Library_name = 'KU Leuven (Belgium)' , COADD_ID = 'CO-ADD:PC0278' where Project_ID = 'P0278'; </v>
      </c>
    </row>
    <row r="288" spans="1:17">
      <c r="A288" t="s">
        <v>6480</v>
      </c>
      <c r="C288" t="s">
        <v>5633</v>
      </c>
      <c r="D288" t="s">
        <v>3198</v>
      </c>
      <c r="E288" t="s">
        <v>3301</v>
      </c>
      <c r="F288" t="s">
        <v>3197</v>
      </c>
      <c r="G288" t="s">
        <v>9020</v>
      </c>
      <c r="H288" t="s">
        <v>517</v>
      </c>
      <c r="I288" t="s">
        <v>14</v>
      </c>
      <c r="K288" t="s">
        <v>5828</v>
      </c>
      <c r="L288" t="s">
        <v>8212</v>
      </c>
      <c r="M288" t="s">
        <v>6479</v>
      </c>
      <c r="N288" s="2">
        <v>45657</v>
      </c>
      <c r="P288" t="str">
        <f>"Update Project Set Organisation = '"&amp;H288&amp;"' where Project_ID = '"&amp;A288&amp;"'; "</f>
        <v xml:space="preserve">Update Project Set Organisation = 'Monash University' where Project_ID = 'P0279'; </v>
      </c>
      <c r="Q288" t="str">
        <f>"Update Project Set Library_name = '"&amp;L288&amp;"' , COADD_ID = '"&amp;M288&amp;"' where Project_ID = '"&amp;A288&amp;"'; "</f>
        <v xml:space="preserve">Update Project Set Library_name = 'Monash University (Australia)' , COADD_ID = 'CO-ADD:PC0279' where Project_ID = 'P0279'; </v>
      </c>
    </row>
    <row r="289" spans="1:17">
      <c r="A289" t="s">
        <v>6483</v>
      </c>
      <c r="C289" t="s">
        <v>5633</v>
      </c>
      <c r="D289" t="s">
        <v>1624</v>
      </c>
      <c r="E289" t="s">
        <v>1623</v>
      </c>
      <c r="F289" t="s">
        <v>5268</v>
      </c>
      <c r="G289" t="s">
        <v>8939</v>
      </c>
      <c r="H289" t="s">
        <v>1627</v>
      </c>
      <c r="I289" t="s">
        <v>117</v>
      </c>
      <c r="J289" t="s">
        <v>6482</v>
      </c>
      <c r="K289" t="s">
        <v>5828</v>
      </c>
      <c r="L289" t="s">
        <v>8213</v>
      </c>
      <c r="M289" t="s">
        <v>6481</v>
      </c>
      <c r="N289" s="2">
        <v>45657</v>
      </c>
      <c r="P289" t="str">
        <f>"Update Project Set Organisation = '"&amp;H289&amp;"' where Project_ID = '"&amp;A289&amp;"'; "</f>
        <v xml:space="preserve">Update Project Set Organisation = 'George Washington University' where Project_ID = 'P0280'; </v>
      </c>
      <c r="Q289" t="str">
        <f>"Update Project Set Library_name = '"&amp;L289&amp;"' , COADD_ID = '"&amp;M289&amp;"' where Project_ID = '"&amp;A289&amp;"'; "</f>
        <v xml:space="preserve">Update Project Set Library_name = 'George Washington University (United States)' , COADD_ID = 'CO-ADD:PC0280' where Project_ID = 'P0280'; </v>
      </c>
    </row>
    <row r="290" spans="1:17">
      <c r="A290" t="s">
        <v>6485</v>
      </c>
      <c r="C290" t="s">
        <v>5633</v>
      </c>
      <c r="D290" t="s">
        <v>5345</v>
      </c>
      <c r="E290" t="s">
        <v>5344</v>
      </c>
      <c r="G290" t="s">
        <v>9163</v>
      </c>
      <c r="H290" t="s">
        <v>5348</v>
      </c>
      <c r="I290" t="s">
        <v>117</v>
      </c>
      <c r="K290" t="s">
        <v>5828</v>
      </c>
      <c r="L290" t="s">
        <v>8214</v>
      </c>
      <c r="M290" t="s">
        <v>6484</v>
      </c>
      <c r="N290" s="2">
        <v>45657</v>
      </c>
      <c r="P290" t="str">
        <f>"Update Project Set Organisation = '"&amp;H290&amp;"' where Project_ID = '"&amp;A290&amp;"'; "</f>
        <v xml:space="preserve">Update Project Set Organisation = 'University of Massachusetts Lowell' where Project_ID = 'P0281'; </v>
      </c>
      <c r="Q290" t="str">
        <f>"Update Project Set Library_name = '"&amp;L290&amp;"' , COADD_ID = '"&amp;M290&amp;"' where Project_ID = '"&amp;A290&amp;"'; "</f>
        <v xml:space="preserve">Update Project Set Library_name = 'University of Massachusetts Lowell (United States)' , COADD_ID = 'CO-ADD:PC0281' where Project_ID = 'P0281'; </v>
      </c>
    </row>
    <row r="291" spans="1:17">
      <c r="A291" t="s">
        <v>6487</v>
      </c>
      <c r="C291" t="s">
        <v>5633</v>
      </c>
      <c r="D291" t="s">
        <v>4536</v>
      </c>
      <c r="E291" t="s">
        <v>4535</v>
      </c>
      <c r="G291" t="s">
        <v>9167</v>
      </c>
      <c r="H291" t="s">
        <v>1271</v>
      </c>
      <c r="I291" t="s">
        <v>14</v>
      </c>
      <c r="K291" t="s">
        <v>5843</v>
      </c>
      <c r="M291" t="s">
        <v>6486</v>
      </c>
      <c r="P291" t="str">
        <f>"Update Project Set Organisation = '"&amp;H291&amp;"' where Project_ID = '"&amp;A291&amp;"'; "</f>
        <v xml:space="preserve">Update Project Set Organisation = 'University of Melbourne' where Project_ID = 'P0282'; </v>
      </c>
      <c r="Q291" t="str">
        <f>"Update Project Set Library_name = '"&amp;L291&amp;"' , COADD_ID = '"&amp;M291&amp;"' where Project_ID = '"&amp;A291&amp;"'; "</f>
        <v xml:space="preserve">Update Project Set Library_name = '' , COADD_ID = 'CO-ADD:PC0282' where Project_ID = 'P0282'; </v>
      </c>
    </row>
    <row r="292" spans="1:17">
      <c r="A292" t="s">
        <v>6489</v>
      </c>
      <c r="C292" t="s">
        <v>5633</v>
      </c>
      <c r="D292" t="s">
        <v>3277</v>
      </c>
      <c r="E292" t="s">
        <v>3276</v>
      </c>
      <c r="G292" t="s">
        <v>8909</v>
      </c>
      <c r="H292" t="s">
        <v>3281</v>
      </c>
      <c r="I292" t="s">
        <v>3284</v>
      </c>
      <c r="K292" t="s">
        <v>5828</v>
      </c>
      <c r="L292" t="s">
        <v>8198</v>
      </c>
      <c r="M292" t="s">
        <v>6488</v>
      </c>
      <c r="N292" s="2">
        <v>45657</v>
      </c>
      <c r="P292" t="str">
        <f>"Update Project Set Organisation = '"&amp;H292&amp;"' where Project_ID = '"&amp;A292&amp;"'; "</f>
        <v xml:space="preserve">Update Project Set Organisation = 'Chulalongkorn University' where Project_ID = 'P0283'; </v>
      </c>
      <c r="Q292" t="str">
        <f>"Update Project Set Library_name = '"&amp;L292&amp;"' , COADD_ID = '"&amp;M292&amp;"' where Project_ID = '"&amp;A292&amp;"'; "</f>
        <v xml:space="preserve">Update Project Set Library_name = 'Chulalongkorn University (Thailand)' , COADD_ID = 'CO-ADD:PC0283' where Project_ID = 'P0283'; </v>
      </c>
    </row>
    <row r="293" spans="1:17">
      <c r="A293" t="s">
        <v>6492</v>
      </c>
      <c r="B293" t="s">
        <v>6491</v>
      </c>
      <c r="C293" t="s">
        <v>5633</v>
      </c>
      <c r="D293" t="s">
        <v>3128</v>
      </c>
      <c r="E293" t="s">
        <v>4739</v>
      </c>
      <c r="G293" t="s">
        <v>8949</v>
      </c>
      <c r="H293" t="s">
        <v>1327</v>
      </c>
      <c r="I293" t="s">
        <v>14</v>
      </c>
      <c r="K293" t="s">
        <v>5843</v>
      </c>
      <c r="L293" t="s">
        <v>6235</v>
      </c>
      <c r="M293" t="s">
        <v>6490</v>
      </c>
      <c r="P293" t="str">
        <f>"Update Project Set Organisation = '"&amp;H293&amp;"' where Project_ID = '"&amp;A293&amp;"'; "</f>
        <v xml:space="preserve">Update Project Set Organisation = 'Griffith University' where Project_ID = 'P0284'; </v>
      </c>
      <c r="Q293" t="str">
        <f>"Update Project Set Library_name = '"&amp;L293&amp;"' , COADD_ID = '"&amp;M293&amp;"' where Project_ID = '"&amp;A293&amp;"'; "</f>
        <v xml:space="preserve">Update Project Set Library_name = 'Griffith University Compounds Australia (Australia) - Open Library' , COADD_ID = 'CO-ADD:PL0054' where Project_ID = 'P0284'; </v>
      </c>
    </row>
    <row r="294" spans="1:17">
      <c r="A294" t="s">
        <v>6494</v>
      </c>
      <c r="C294" t="s">
        <v>5633</v>
      </c>
      <c r="D294" t="s">
        <v>3058</v>
      </c>
      <c r="E294" t="s">
        <v>3169</v>
      </c>
      <c r="G294" t="s">
        <v>8994</v>
      </c>
      <c r="H294" t="s">
        <v>3062</v>
      </c>
      <c r="I294" t="s">
        <v>557</v>
      </c>
      <c r="K294" t="s">
        <v>5806</v>
      </c>
      <c r="M294" t="s">
        <v>6493</v>
      </c>
      <c r="P294" t="str">
        <f>"Update Project Set Organisation = '"&amp;H294&amp;"' where Project_ID = '"&amp;A294&amp;"'; "</f>
        <v xml:space="preserve">Update Project Set Organisation = 'Leuphana University Lueneburg' where Project_ID = 'P0285'; </v>
      </c>
      <c r="Q294" t="str">
        <f>"Update Project Set Library_name = '"&amp;L294&amp;"' , COADD_ID = '"&amp;M294&amp;"' where Project_ID = '"&amp;A294&amp;"'; "</f>
        <v xml:space="preserve">Update Project Set Library_name = '' , COADD_ID = 'CO-ADD:PC0285' where Project_ID = 'P0285'; </v>
      </c>
    </row>
    <row r="295" spans="1:17">
      <c r="A295" t="s">
        <v>6496</v>
      </c>
      <c r="C295" t="s">
        <v>5633</v>
      </c>
      <c r="D295" t="s">
        <v>1725</v>
      </c>
      <c r="E295" t="s">
        <v>1896</v>
      </c>
      <c r="G295" t="s">
        <v>8965</v>
      </c>
      <c r="H295" t="s">
        <v>8152</v>
      </c>
      <c r="I295" t="s">
        <v>1256</v>
      </c>
      <c r="K295" t="s">
        <v>5828</v>
      </c>
      <c r="L295" t="s">
        <v>8332</v>
      </c>
      <c r="M295" t="s">
        <v>6495</v>
      </c>
      <c r="N295" s="2">
        <v>43770</v>
      </c>
      <c r="P295" t="str">
        <f>"Update Project Set Organisation = '"&amp;H295&amp;"' where Project_ID = '"&amp;A295&amp;"'; "</f>
        <v xml:space="preserve">Update Project Set Organisation = 'Institut Català Investigació Química (ICIQ)' where Project_ID = 'P0286'; </v>
      </c>
      <c r="Q295" t="str">
        <f>"Update Project Set Library_name = '"&amp;L295&amp;"' , COADD_ID = '"&amp;M295&amp;"' where Project_ID = '"&amp;A295&amp;"'; "</f>
        <v xml:space="preserve">Update Project Set Library_name = 'Institut Català Investigació Química (Spain)' , COADD_ID = 'CO-ADD:PC0286' where Project_ID = 'P0286'; </v>
      </c>
    </row>
    <row r="296" spans="1:17">
      <c r="A296" t="s">
        <v>6498</v>
      </c>
      <c r="C296" t="s">
        <v>5633</v>
      </c>
      <c r="D296" t="s">
        <v>3660</v>
      </c>
      <c r="E296" t="s">
        <v>3659</v>
      </c>
      <c r="G296" t="s">
        <v>9188</v>
      </c>
      <c r="H296" t="s">
        <v>3663</v>
      </c>
      <c r="I296" t="s">
        <v>269</v>
      </c>
      <c r="K296" t="s">
        <v>5828</v>
      </c>
      <c r="L296" t="s">
        <v>8207</v>
      </c>
      <c r="M296" t="s">
        <v>6497</v>
      </c>
      <c r="N296" s="2">
        <v>45657</v>
      </c>
      <c r="P296" t="str">
        <f>"Update Project Set Organisation = '"&amp;H296&amp;"' where Project_ID = '"&amp;A296&amp;"'; "</f>
        <v xml:space="preserve">Update Project Set Organisation = 'University of Oxford' where Project_ID = 'P0287'; </v>
      </c>
      <c r="Q296" t="str">
        <f>"Update Project Set Library_name = '"&amp;L296&amp;"' , COADD_ID = '"&amp;M296&amp;"' where Project_ID = '"&amp;A296&amp;"'; "</f>
        <v xml:space="preserve">Update Project Set Library_name = 'University of Oxford (United Kingdom)' , COADD_ID = 'CO-ADD:PC0287' where Project_ID = 'P0287'; </v>
      </c>
    </row>
    <row r="297" spans="1:17">
      <c r="A297" t="s">
        <v>6502</v>
      </c>
      <c r="B297" t="s">
        <v>6501</v>
      </c>
      <c r="C297" t="s">
        <v>5633</v>
      </c>
      <c r="D297" t="s">
        <v>1733</v>
      </c>
      <c r="E297" t="s">
        <v>5063</v>
      </c>
      <c r="G297" t="s">
        <v>9034</v>
      </c>
      <c r="H297" t="s">
        <v>4809</v>
      </c>
      <c r="I297" t="s">
        <v>117</v>
      </c>
      <c r="K297" t="s">
        <v>5828</v>
      </c>
      <c r="L297" t="s">
        <v>6500</v>
      </c>
      <c r="M297" t="s">
        <v>6499</v>
      </c>
      <c r="N297" s="2">
        <v>43617</v>
      </c>
      <c r="P297" t="str">
        <f>"Update Project Set Organisation = '"&amp;H297&amp;"' where Project_ID = '"&amp;A297&amp;"'; "</f>
        <v xml:space="preserve">Update Project Set Organisation = 'National Institute of Health (NIH)' where Project_ID = 'P0288'; </v>
      </c>
      <c r="Q297" t="str">
        <f>"Update Project Set Library_name = '"&amp;L297&amp;"' , COADD_ID = '"&amp;M297&amp;"' where Project_ID = '"&amp;A297&amp;"'; "</f>
        <v xml:space="preserve">Update Project Set Library_name = 'NIH/NCI (USA) - Natural Product Set III' , COADD_ID = 'CO-ADD:PL0012' where Project_ID = 'P0288'; </v>
      </c>
    </row>
    <row r="298" spans="1:17">
      <c r="A298" t="s">
        <v>6505</v>
      </c>
      <c r="B298" t="s">
        <v>6504</v>
      </c>
      <c r="C298" t="s">
        <v>5633</v>
      </c>
      <c r="D298" t="s">
        <v>4643</v>
      </c>
      <c r="E298" t="s">
        <v>4642</v>
      </c>
      <c r="G298" t="s">
        <v>9068</v>
      </c>
      <c r="H298" t="s">
        <v>4646</v>
      </c>
      <c r="I298" t="s">
        <v>1600</v>
      </c>
      <c r="K298" t="s">
        <v>5828</v>
      </c>
      <c r="L298" t="s">
        <v>5995</v>
      </c>
      <c r="M298" t="s">
        <v>6503</v>
      </c>
      <c r="N298" s="2">
        <v>43862</v>
      </c>
      <c r="P298" t="str">
        <f>"Update Project Set Organisation = '"&amp;H298&amp;"' where Project_ID = '"&amp;A298&amp;"'; "</f>
        <v xml:space="preserve">Update Project Set Organisation = 'Russian Academy of Science' where Project_ID = 'P0289'; </v>
      </c>
      <c r="Q298" t="str">
        <f>"Update Project Set Library_name = '"&amp;L298&amp;"' , COADD_ID = '"&amp;M298&amp;"' where Project_ID = '"&amp;A298&amp;"'; "</f>
        <v xml:space="preserve">Update Project Set Library_name = 'Russian Academy of Science (Russia)' , COADD_ID = 'CO-ADD:PC0289' where Project_ID = 'P0289'; </v>
      </c>
    </row>
    <row r="299" spans="1:17">
      <c r="A299" t="s">
        <v>6508</v>
      </c>
      <c r="B299" t="s">
        <v>6507</v>
      </c>
      <c r="C299" t="s">
        <v>5633</v>
      </c>
      <c r="D299" t="s">
        <v>4643</v>
      </c>
      <c r="E299" t="s">
        <v>4642</v>
      </c>
      <c r="G299" t="s">
        <v>9068</v>
      </c>
      <c r="H299" t="s">
        <v>4646</v>
      </c>
      <c r="I299" t="s">
        <v>1600</v>
      </c>
      <c r="K299" t="s">
        <v>5828</v>
      </c>
      <c r="L299" t="s">
        <v>5995</v>
      </c>
      <c r="M299" t="s">
        <v>6506</v>
      </c>
      <c r="N299" s="2">
        <v>43862</v>
      </c>
      <c r="P299" t="str">
        <f>"Update Project Set Organisation = '"&amp;H299&amp;"' where Project_ID = '"&amp;A299&amp;"'; "</f>
        <v xml:space="preserve">Update Project Set Organisation = 'Russian Academy of Science' where Project_ID = 'P0290'; </v>
      </c>
      <c r="Q299" t="str">
        <f>"Update Project Set Library_name = '"&amp;L299&amp;"' , COADD_ID = '"&amp;M299&amp;"' where Project_ID = '"&amp;A299&amp;"'; "</f>
        <v xml:space="preserve">Update Project Set Library_name = 'Russian Academy of Science (Russia)' , COADD_ID = 'CO-ADD:PC0290' where Project_ID = 'P0290'; </v>
      </c>
    </row>
    <row r="300" spans="1:17">
      <c r="A300" t="s">
        <v>6511</v>
      </c>
      <c r="B300" t="s">
        <v>6510</v>
      </c>
      <c r="C300" t="s">
        <v>5633</v>
      </c>
      <c r="D300" t="s">
        <v>4643</v>
      </c>
      <c r="E300" t="s">
        <v>4642</v>
      </c>
      <c r="G300" t="s">
        <v>9068</v>
      </c>
      <c r="H300" t="s">
        <v>4646</v>
      </c>
      <c r="I300" t="s">
        <v>1600</v>
      </c>
      <c r="K300" t="s">
        <v>5828</v>
      </c>
      <c r="L300" t="s">
        <v>5995</v>
      </c>
      <c r="M300" t="s">
        <v>6509</v>
      </c>
      <c r="N300" s="2">
        <v>43862</v>
      </c>
      <c r="P300" t="str">
        <f>"Update Project Set Organisation = '"&amp;H300&amp;"' where Project_ID = '"&amp;A300&amp;"'; "</f>
        <v xml:space="preserve">Update Project Set Organisation = 'Russian Academy of Science' where Project_ID = 'P0291'; </v>
      </c>
      <c r="Q300" t="str">
        <f>"Update Project Set Library_name = '"&amp;L300&amp;"' , COADD_ID = '"&amp;M300&amp;"' where Project_ID = '"&amp;A300&amp;"'; "</f>
        <v xml:space="preserve">Update Project Set Library_name = 'Russian Academy of Science (Russia)' , COADD_ID = 'CO-ADD:PC0291' where Project_ID = 'P0291'; </v>
      </c>
    </row>
    <row r="301" spans="1:17">
      <c r="A301" t="s">
        <v>6514</v>
      </c>
      <c r="B301" t="s">
        <v>6513</v>
      </c>
      <c r="C301" t="s">
        <v>5633</v>
      </c>
      <c r="D301" t="s">
        <v>4643</v>
      </c>
      <c r="E301" t="s">
        <v>4642</v>
      </c>
      <c r="G301" t="s">
        <v>9068</v>
      </c>
      <c r="H301" t="s">
        <v>4646</v>
      </c>
      <c r="I301" t="s">
        <v>1600</v>
      </c>
      <c r="K301" t="s">
        <v>5828</v>
      </c>
      <c r="L301" t="s">
        <v>5995</v>
      </c>
      <c r="M301" t="s">
        <v>6512</v>
      </c>
      <c r="N301" s="2">
        <v>43862</v>
      </c>
      <c r="P301" t="str">
        <f>"Update Project Set Organisation = '"&amp;H301&amp;"' where Project_ID = '"&amp;A301&amp;"'; "</f>
        <v xml:space="preserve">Update Project Set Organisation = 'Russian Academy of Science' where Project_ID = 'P0292'; </v>
      </c>
      <c r="Q301" t="str">
        <f>"Update Project Set Library_name = '"&amp;L301&amp;"' , COADD_ID = '"&amp;M301&amp;"' where Project_ID = '"&amp;A301&amp;"'; "</f>
        <v xml:space="preserve">Update Project Set Library_name = 'Russian Academy of Science (Russia)' , COADD_ID = 'CO-ADD:PC0292' where Project_ID = 'P0292'; </v>
      </c>
    </row>
    <row r="302" spans="1:17">
      <c r="A302" t="s">
        <v>6516</v>
      </c>
      <c r="C302" t="s">
        <v>5633</v>
      </c>
      <c r="D302" t="s">
        <v>448</v>
      </c>
      <c r="E302" t="s">
        <v>2398</v>
      </c>
      <c r="G302" t="s">
        <v>8900</v>
      </c>
      <c r="H302" t="s">
        <v>362</v>
      </c>
      <c r="I302" t="s">
        <v>14</v>
      </c>
      <c r="K302" t="s">
        <v>5828</v>
      </c>
      <c r="L302" t="s">
        <v>5922</v>
      </c>
      <c r="M302" t="s">
        <v>6515</v>
      </c>
      <c r="N302" s="2">
        <v>45657</v>
      </c>
      <c r="P302" t="str">
        <f>"Update Project Set Organisation = '"&amp;H302&amp;"' where Project_ID = '"&amp;A302&amp;"'; "</f>
        <v xml:space="preserve">Update Project Set Organisation = 'University of Queensland' where Project_ID = 'P0294'; </v>
      </c>
      <c r="Q302" t="str">
        <f>"Update Project Set Library_name = '"&amp;L302&amp;"' , COADD_ID = '"&amp;M302&amp;"' where Project_ID = '"&amp;A302&amp;"'; "</f>
        <v xml:space="preserve">Update Project Set Library_name = 'University of Queensland (Australia)' , COADD_ID = 'CO-ADD:PC0294' where Project_ID = 'P0294'; </v>
      </c>
    </row>
    <row r="303" spans="1:17">
      <c r="A303" t="s">
        <v>6519</v>
      </c>
      <c r="B303" t="s">
        <v>6518</v>
      </c>
      <c r="C303" t="s">
        <v>5633</v>
      </c>
      <c r="D303" t="s">
        <v>448</v>
      </c>
      <c r="E303" t="s">
        <v>447</v>
      </c>
      <c r="G303" t="s">
        <v>8900</v>
      </c>
      <c r="H303" t="s">
        <v>362</v>
      </c>
      <c r="I303" t="s">
        <v>14</v>
      </c>
      <c r="K303" t="s">
        <v>5828</v>
      </c>
      <c r="L303" t="s">
        <v>5922</v>
      </c>
      <c r="M303" t="s">
        <v>6517</v>
      </c>
      <c r="N303" s="2">
        <v>45657</v>
      </c>
      <c r="P303" t="str">
        <f>"Update Project Set Organisation = '"&amp;H303&amp;"' where Project_ID = '"&amp;A303&amp;"'; "</f>
        <v xml:space="preserve">Update Project Set Organisation = 'University of Queensland' where Project_ID = 'P0295'; </v>
      </c>
      <c r="Q303" t="str">
        <f>"Update Project Set Library_name = '"&amp;L303&amp;"' , COADD_ID = '"&amp;M303&amp;"' where Project_ID = '"&amp;A303&amp;"'; "</f>
        <v xml:space="preserve">Update Project Set Library_name = 'University of Queensland (Australia)' , COADD_ID = 'CO-ADD:PC0295' where Project_ID = 'P0295'; </v>
      </c>
    </row>
    <row r="304" spans="1:17">
      <c r="A304" t="s">
        <v>6522</v>
      </c>
      <c r="C304" t="s">
        <v>5633</v>
      </c>
      <c r="D304" t="s">
        <v>2388</v>
      </c>
      <c r="E304" t="s">
        <v>2387</v>
      </c>
      <c r="G304" t="s">
        <v>8985</v>
      </c>
      <c r="H304" t="s">
        <v>1890</v>
      </c>
      <c r="I304" t="s">
        <v>1893</v>
      </c>
      <c r="J304" t="s">
        <v>6521</v>
      </c>
      <c r="K304" t="s">
        <v>5828</v>
      </c>
      <c r="L304" t="s">
        <v>8215</v>
      </c>
      <c r="M304" t="s">
        <v>6520</v>
      </c>
      <c r="N304" s="2">
        <v>45657</v>
      </c>
      <c r="P304" t="str">
        <f>"Update Project Set Organisation = '"&amp;H304&amp;"' where Project_ID = '"&amp;A304&amp;"'; "</f>
        <v xml:space="preserve">Update Project Set Organisation = 'Karolinska Institute' where Project_ID = 'P0296'; </v>
      </c>
      <c r="Q304" t="str">
        <f>"Update Project Set Library_name = '"&amp;L304&amp;"' , COADD_ID = '"&amp;M304&amp;"' where Project_ID = '"&amp;A304&amp;"'; "</f>
        <v xml:space="preserve">Update Project Set Library_name = 'Karolinska Institute (Sweden)' , COADD_ID = 'CO-ADD:PC0296' where Project_ID = 'P0296'; </v>
      </c>
    </row>
    <row r="305" spans="1:17">
      <c r="A305" t="s">
        <v>6525</v>
      </c>
      <c r="C305" t="s">
        <v>5633</v>
      </c>
      <c r="D305" t="s">
        <v>743</v>
      </c>
      <c r="E305" t="s">
        <v>742</v>
      </c>
      <c r="F305" t="s">
        <v>3237</v>
      </c>
      <c r="G305" t="s">
        <v>9268</v>
      </c>
      <c r="H305" t="s">
        <v>746</v>
      </c>
      <c r="I305" t="s">
        <v>748</v>
      </c>
      <c r="K305" t="s">
        <v>5828</v>
      </c>
      <c r="L305" t="s">
        <v>6524</v>
      </c>
      <c r="M305" t="s">
        <v>6523</v>
      </c>
      <c r="N305" s="2">
        <v>43770</v>
      </c>
      <c r="P305" t="str">
        <f>"Update Project Set Organisation = '"&amp;H305&amp;"' where Project_ID = '"&amp;A305&amp;"'; "</f>
        <v xml:space="preserve">Update Project Set Organisation = 'Yantai University' where Project_ID = 'P0297'; </v>
      </c>
      <c r="Q305" t="str">
        <f>"Update Project Set Library_name = '"&amp;L305&amp;"' , COADD_ID = '"&amp;M305&amp;"' where Project_ID = '"&amp;A305&amp;"'; "</f>
        <v xml:space="preserve">Update Project Set Library_name = 'Yantai University (China)' , COADD_ID = 'CO-ADD:PC0297' where Project_ID = 'P0297'; </v>
      </c>
    </row>
    <row r="306" spans="1:17">
      <c r="A306" t="s">
        <v>6527</v>
      </c>
      <c r="C306" t="s">
        <v>5633</v>
      </c>
      <c r="D306" t="s">
        <v>2475</v>
      </c>
      <c r="E306" t="s">
        <v>2474</v>
      </c>
      <c r="G306" t="s">
        <v>9213</v>
      </c>
      <c r="H306" t="s">
        <v>2479</v>
      </c>
      <c r="I306" t="s">
        <v>14</v>
      </c>
      <c r="K306" t="s">
        <v>5828</v>
      </c>
      <c r="L306" t="s">
        <v>8216</v>
      </c>
      <c r="M306" t="s">
        <v>6526</v>
      </c>
      <c r="N306" s="2">
        <v>45657</v>
      </c>
      <c r="P306" t="str">
        <f>"Update Project Set Organisation = '"&amp;H306&amp;"' where Project_ID = '"&amp;A306&amp;"'; "</f>
        <v xml:space="preserve">Update Project Set Organisation = 'University of South Australia' where Project_ID = 'P0298'; </v>
      </c>
      <c r="Q306" t="str">
        <f>"Update Project Set Library_name = '"&amp;L306&amp;"' , COADD_ID = '"&amp;M306&amp;"' where Project_ID = '"&amp;A306&amp;"'; "</f>
        <v xml:space="preserve">Update Project Set Library_name = 'University of South Australia (Australia)' , COADD_ID = 'CO-ADD:PC0298' where Project_ID = 'P0298'; </v>
      </c>
    </row>
    <row r="307" spans="1:17">
      <c r="A307" t="s">
        <v>6529</v>
      </c>
      <c r="C307" t="s">
        <v>5633</v>
      </c>
      <c r="D307" t="s">
        <v>769</v>
      </c>
      <c r="E307" t="s">
        <v>2155</v>
      </c>
      <c r="G307" t="s">
        <v>8954</v>
      </c>
      <c r="H307" t="s">
        <v>8151</v>
      </c>
      <c r="I307" t="s">
        <v>704</v>
      </c>
      <c r="K307" t="s">
        <v>5843</v>
      </c>
      <c r="M307" t="s">
        <v>6528</v>
      </c>
      <c r="P307" t="str">
        <f>"Update Project Set Organisation = '"&amp;H307&amp;"' where Project_ID = '"&amp;A307&amp;"'; "</f>
        <v xml:space="preserve">Update Project Set Organisation = 'Hautes Etudes Ingénieur (HEI)' where Project_ID = 'P0300'; </v>
      </c>
      <c r="Q307" t="str">
        <f>"Update Project Set Library_name = '"&amp;L307&amp;"' , COADD_ID = '"&amp;M307&amp;"' where Project_ID = '"&amp;A307&amp;"'; "</f>
        <v xml:space="preserve">Update Project Set Library_name = '' , COADD_ID = 'CO-ADD:PC0300' where Project_ID = 'P0300'; </v>
      </c>
    </row>
    <row r="308" spans="1:17">
      <c r="A308" t="s">
        <v>6532</v>
      </c>
      <c r="B308" t="s">
        <v>6531</v>
      </c>
      <c r="C308" t="s">
        <v>5633</v>
      </c>
      <c r="D308" t="s">
        <v>4643</v>
      </c>
      <c r="E308" t="s">
        <v>4642</v>
      </c>
      <c r="G308" t="s">
        <v>9068</v>
      </c>
      <c r="H308" t="s">
        <v>4646</v>
      </c>
      <c r="I308" t="s">
        <v>1600</v>
      </c>
      <c r="K308" t="s">
        <v>5828</v>
      </c>
      <c r="L308" t="s">
        <v>5995</v>
      </c>
      <c r="M308" t="s">
        <v>6530</v>
      </c>
      <c r="N308" s="2">
        <v>43862</v>
      </c>
      <c r="P308" t="str">
        <f>"Update Project Set Organisation = '"&amp;H308&amp;"' where Project_ID = '"&amp;A308&amp;"'; "</f>
        <v xml:space="preserve">Update Project Set Organisation = 'Russian Academy of Science' where Project_ID = 'P0301'; </v>
      </c>
      <c r="Q308" t="str">
        <f>"Update Project Set Library_name = '"&amp;L308&amp;"' , COADD_ID = '"&amp;M308&amp;"' where Project_ID = '"&amp;A308&amp;"'; "</f>
        <v xml:space="preserve">Update Project Set Library_name = 'Russian Academy of Science (Russia)' , COADD_ID = 'CO-ADD:PC0301' where Project_ID = 'P0301'; </v>
      </c>
    </row>
    <row r="309" spans="1:17">
      <c r="A309" t="s">
        <v>6534</v>
      </c>
      <c r="C309" t="s">
        <v>5633</v>
      </c>
      <c r="D309" t="s">
        <v>835</v>
      </c>
      <c r="E309" t="s">
        <v>2013</v>
      </c>
      <c r="G309" t="s">
        <v>9125</v>
      </c>
      <c r="H309" t="s">
        <v>838</v>
      </c>
      <c r="I309" t="s">
        <v>75</v>
      </c>
      <c r="K309" t="s">
        <v>5806</v>
      </c>
      <c r="M309" t="s">
        <v>6533</v>
      </c>
      <c r="P309" t="str">
        <f>"Update Project Set Organisation = '"&amp;H309&amp;"' where Project_ID = '"&amp;A309&amp;"'; "</f>
        <v xml:space="preserve">Update Project Set Organisation = 'University of Alberta' where Project_ID = 'P0303'; </v>
      </c>
      <c r="Q309" t="str">
        <f>"Update Project Set Library_name = '"&amp;L309&amp;"' , COADD_ID = '"&amp;M309&amp;"' where Project_ID = '"&amp;A309&amp;"'; "</f>
        <v xml:space="preserve">Update Project Set Library_name = '' , COADD_ID = 'CO-ADD:PC0303' where Project_ID = 'P0303'; </v>
      </c>
    </row>
    <row r="310" spans="1:17">
      <c r="A310" t="s">
        <v>6536</v>
      </c>
      <c r="C310" t="s">
        <v>5633</v>
      </c>
      <c r="D310" t="s">
        <v>385</v>
      </c>
      <c r="E310" t="s">
        <v>2289</v>
      </c>
      <c r="G310" t="s">
        <v>9218</v>
      </c>
      <c r="H310" t="s">
        <v>389</v>
      </c>
      <c r="I310" t="s">
        <v>14</v>
      </c>
      <c r="K310" t="s">
        <v>5843</v>
      </c>
      <c r="M310" t="s">
        <v>6535</v>
      </c>
      <c r="P310" t="str">
        <f>"Update Project Set Organisation = '"&amp;H310&amp;"' where Project_ID = '"&amp;A310&amp;"'; "</f>
        <v xml:space="preserve">Update Project Set Organisation = 'University of Sydney' where Project_ID = 'P0305'; </v>
      </c>
      <c r="Q310" t="str">
        <f>"Update Project Set Library_name = '"&amp;L310&amp;"' , COADD_ID = '"&amp;M310&amp;"' where Project_ID = '"&amp;A310&amp;"'; "</f>
        <v xml:space="preserve">Update Project Set Library_name = '' , COADD_ID = 'CO-ADD:PC0305' where Project_ID = 'P0305'; </v>
      </c>
    </row>
    <row r="311" spans="1:17">
      <c r="A311" t="s">
        <v>6539</v>
      </c>
      <c r="B311" t="s">
        <v>6538</v>
      </c>
      <c r="C311" t="s">
        <v>5633</v>
      </c>
      <c r="D311" t="s">
        <v>4643</v>
      </c>
      <c r="E311" t="s">
        <v>4642</v>
      </c>
      <c r="G311" t="s">
        <v>9068</v>
      </c>
      <c r="H311" t="s">
        <v>4646</v>
      </c>
      <c r="I311" t="s">
        <v>1600</v>
      </c>
      <c r="K311" t="s">
        <v>5828</v>
      </c>
      <c r="L311" t="s">
        <v>5995</v>
      </c>
      <c r="M311" t="s">
        <v>6537</v>
      </c>
      <c r="N311" s="2">
        <v>43862</v>
      </c>
      <c r="P311" t="str">
        <f>"Update Project Set Organisation = '"&amp;H311&amp;"' where Project_ID = '"&amp;A311&amp;"'; "</f>
        <v xml:space="preserve">Update Project Set Organisation = 'Russian Academy of Science' where Project_ID = 'P0306'; </v>
      </c>
      <c r="Q311" t="str">
        <f>"Update Project Set Library_name = '"&amp;L311&amp;"' , COADD_ID = '"&amp;M311&amp;"' where Project_ID = '"&amp;A311&amp;"'; "</f>
        <v xml:space="preserve">Update Project Set Library_name = 'Russian Academy of Science (Russia)' , COADD_ID = 'CO-ADD:PC0306' where Project_ID = 'P0306'; </v>
      </c>
    </row>
    <row r="312" spans="1:17">
      <c r="A312" t="s">
        <v>6541</v>
      </c>
      <c r="C312" t="s">
        <v>5633</v>
      </c>
      <c r="D312" t="s">
        <v>4014</v>
      </c>
      <c r="E312" t="s">
        <v>4013</v>
      </c>
      <c r="G312" t="s">
        <v>9064</v>
      </c>
      <c r="H312" t="s">
        <v>4017</v>
      </c>
      <c r="I312" t="s">
        <v>117</v>
      </c>
      <c r="K312" t="s">
        <v>5828</v>
      </c>
      <c r="L312" t="s">
        <v>8210</v>
      </c>
      <c r="M312" t="s">
        <v>6540</v>
      </c>
      <c r="N312" s="2">
        <v>45657</v>
      </c>
      <c r="P312" t="str">
        <f>"Update Project Set Organisation = '"&amp;H312&amp;"' where Project_ID = '"&amp;A312&amp;"'; "</f>
        <v xml:space="preserve">Update Project Set Organisation = 'Rosalind Franklin University of Medicine and Science' where Project_ID = 'P0307'; </v>
      </c>
      <c r="Q312" t="str">
        <f>"Update Project Set Library_name = '"&amp;L312&amp;"' , COADD_ID = '"&amp;M312&amp;"' where Project_ID = '"&amp;A312&amp;"'; "</f>
        <v xml:space="preserve">Update Project Set Library_name = 'Rosalind Franklin University of Medicine and Science (United States)' , COADD_ID = 'CO-ADD:PC0307' where Project_ID = 'P0307'; </v>
      </c>
    </row>
    <row r="313" spans="1:17">
      <c r="A313" t="s">
        <v>6543</v>
      </c>
      <c r="C313" t="s">
        <v>5633</v>
      </c>
      <c r="D313" t="s">
        <v>2939</v>
      </c>
      <c r="E313" t="s">
        <v>4477</v>
      </c>
      <c r="G313" t="s">
        <v>9045</v>
      </c>
      <c r="H313" t="s">
        <v>2942</v>
      </c>
      <c r="I313" t="s">
        <v>211</v>
      </c>
      <c r="K313" t="s">
        <v>5843</v>
      </c>
      <c r="M313" t="s">
        <v>6542</v>
      </c>
      <c r="P313" t="str">
        <f>"Update Project Set Organisation = '"&amp;H313&amp;"' where Project_ID = '"&amp;A313&amp;"'; "</f>
        <v xml:space="preserve">Update Project Set Organisation = 'NMIMS' where Project_ID = 'P0308'; </v>
      </c>
      <c r="Q313" t="str">
        <f>"Update Project Set Library_name = '"&amp;L313&amp;"' , COADD_ID = '"&amp;M313&amp;"' where Project_ID = '"&amp;A313&amp;"'; "</f>
        <v xml:space="preserve">Update Project Set Library_name = '' , COADD_ID = 'CO-ADD:PC0308' where Project_ID = 'P0308'; </v>
      </c>
    </row>
    <row r="314" spans="1:17">
      <c r="A314" t="s">
        <v>6545</v>
      </c>
      <c r="C314" t="s">
        <v>5633</v>
      </c>
      <c r="D314" t="s">
        <v>322</v>
      </c>
      <c r="E314" t="s">
        <v>321</v>
      </c>
      <c r="G314" t="s">
        <v>8881</v>
      </c>
      <c r="H314" t="s">
        <v>324</v>
      </c>
      <c r="I314" t="s">
        <v>117</v>
      </c>
      <c r="K314" t="s">
        <v>5843</v>
      </c>
      <c r="M314" t="s">
        <v>6544</v>
      </c>
      <c r="P314" t="str">
        <f>"Update Project Set Organisation = '"&amp;H314&amp;"' where Project_ID = '"&amp;A314&amp;"'; "</f>
        <v xml:space="preserve">Update Project Set Organisation = 'Arkansas State University Jonesboro' where Project_ID = 'P0309'; </v>
      </c>
      <c r="Q314" t="str">
        <f>"Update Project Set Library_name = '"&amp;L314&amp;"' , COADD_ID = '"&amp;M314&amp;"' where Project_ID = '"&amp;A314&amp;"'; "</f>
        <v xml:space="preserve">Update Project Set Library_name = '' , COADD_ID = 'CO-ADD:PC0309' where Project_ID = 'P0309'; </v>
      </c>
    </row>
    <row r="315" spans="1:17">
      <c r="A315" t="s">
        <v>6547</v>
      </c>
      <c r="C315" t="s">
        <v>5633</v>
      </c>
      <c r="D315" t="s">
        <v>5280</v>
      </c>
      <c r="E315" t="s">
        <v>5279</v>
      </c>
      <c r="G315" t="s">
        <v>9147</v>
      </c>
      <c r="H315" t="s">
        <v>5283</v>
      </c>
      <c r="I315" t="s">
        <v>117</v>
      </c>
      <c r="K315" t="s">
        <v>5828</v>
      </c>
      <c r="L315" t="s">
        <v>8217</v>
      </c>
      <c r="M315" t="s">
        <v>6546</v>
      </c>
      <c r="N315" s="2">
        <v>45657</v>
      </c>
      <c r="P315" t="str">
        <f>"Update Project Set Organisation = '"&amp;H315&amp;"' where Project_ID = '"&amp;A315&amp;"'; "</f>
        <v xml:space="preserve">Update Project Set Organisation = 'University of Delaware' where Project_ID = 'P0310'; </v>
      </c>
      <c r="Q315" t="str">
        <f>"Update Project Set Library_name = '"&amp;L315&amp;"' , COADD_ID = '"&amp;M315&amp;"' where Project_ID = '"&amp;A315&amp;"'; "</f>
        <v xml:space="preserve">Update Project Set Library_name = 'University of Delaware (United States)' , COADD_ID = 'CO-ADD:PC0310' where Project_ID = 'P0310'; </v>
      </c>
    </row>
    <row r="316" spans="1:17">
      <c r="A316" t="s">
        <v>6549</v>
      </c>
      <c r="C316" t="s">
        <v>5633</v>
      </c>
      <c r="D316" t="s">
        <v>1392</v>
      </c>
      <c r="E316" t="s">
        <v>4039</v>
      </c>
      <c r="G316" t="s">
        <v>9127</v>
      </c>
      <c r="H316" t="s">
        <v>1394</v>
      </c>
      <c r="I316" t="s">
        <v>117</v>
      </c>
      <c r="K316" t="s">
        <v>5828</v>
      </c>
      <c r="L316" t="s">
        <v>8203</v>
      </c>
      <c r="M316" t="s">
        <v>6548</v>
      </c>
      <c r="N316" s="2">
        <v>45657</v>
      </c>
      <c r="P316" t="str">
        <f>"Update Project Set Organisation = '"&amp;H316&amp;"' where Project_ID = '"&amp;A316&amp;"'; "</f>
        <v xml:space="preserve">Update Project Set Organisation = 'University of Arkansas For Medical Sciences' where Project_ID = 'P0311'; </v>
      </c>
      <c r="Q316" t="str">
        <f>"Update Project Set Library_name = '"&amp;L316&amp;"' , COADD_ID = '"&amp;M316&amp;"' where Project_ID = '"&amp;A316&amp;"'; "</f>
        <v xml:space="preserve">Update Project Set Library_name = 'University of Arkansas For Medical Sciences (United States)' , COADD_ID = 'CO-ADD:PC0311' where Project_ID = 'P0311'; </v>
      </c>
    </row>
    <row r="317" spans="1:17">
      <c r="A317" t="s">
        <v>6551</v>
      </c>
      <c r="C317" t="s">
        <v>5633</v>
      </c>
      <c r="D317" t="s">
        <v>2569</v>
      </c>
      <c r="E317" t="s">
        <v>5437</v>
      </c>
      <c r="F317" t="s">
        <v>5076</v>
      </c>
      <c r="G317" t="s">
        <v>9168</v>
      </c>
      <c r="H317" t="s">
        <v>2571</v>
      </c>
      <c r="I317" t="s">
        <v>117</v>
      </c>
      <c r="K317" t="s">
        <v>5837</v>
      </c>
      <c r="M317" t="s">
        <v>6550</v>
      </c>
      <c r="P317" t="str">
        <f>"Update Project Set Organisation = '"&amp;H317&amp;"' where Project_ID = '"&amp;A317&amp;"'; "</f>
        <v xml:space="preserve">Update Project Set Organisation = 'University of Minnesota' where Project_ID = 'P0312'; </v>
      </c>
      <c r="Q317" t="str">
        <f>"Update Project Set Library_name = '"&amp;L317&amp;"' , COADD_ID = '"&amp;M317&amp;"' where Project_ID = '"&amp;A317&amp;"'; "</f>
        <v xml:space="preserve">Update Project Set Library_name = '' , COADD_ID = 'CO-ADD:PC0312' where Project_ID = 'P0312'; </v>
      </c>
    </row>
    <row r="318" spans="1:17">
      <c r="A318" t="s">
        <v>6553</v>
      </c>
      <c r="C318" t="s">
        <v>5633</v>
      </c>
      <c r="D318" t="s">
        <v>1581</v>
      </c>
      <c r="E318" t="s">
        <v>2986</v>
      </c>
      <c r="G318" t="s">
        <v>8976</v>
      </c>
      <c r="H318" t="s">
        <v>208</v>
      </c>
      <c r="I318" t="s">
        <v>211</v>
      </c>
      <c r="K318" t="s">
        <v>5843</v>
      </c>
      <c r="M318" t="s">
        <v>6552</v>
      </c>
      <c r="P318" t="str">
        <f>"Update Project Set Organisation = '"&amp;H318&amp;"' where Project_ID = '"&amp;A318&amp;"'; "</f>
        <v xml:space="preserve">Update Project Set Organisation = 'Jain University' where Project_ID = 'P0313'; </v>
      </c>
      <c r="Q318" t="str">
        <f>"Update Project Set Library_name = '"&amp;L318&amp;"' , COADD_ID = '"&amp;M318&amp;"' where Project_ID = '"&amp;A318&amp;"'; "</f>
        <v xml:space="preserve">Update Project Set Library_name = '' , COADD_ID = 'CO-ADD:PC0313' where Project_ID = 'P0313'; </v>
      </c>
    </row>
    <row r="319" spans="1:17">
      <c r="A319" t="s">
        <v>6555</v>
      </c>
      <c r="C319" t="s">
        <v>5633</v>
      </c>
      <c r="D319" t="s">
        <v>717</v>
      </c>
      <c r="E319" t="s">
        <v>716</v>
      </c>
      <c r="G319" t="s">
        <v>8967</v>
      </c>
      <c r="H319" t="s">
        <v>721</v>
      </c>
      <c r="I319" t="s">
        <v>211</v>
      </c>
      <c r="K319" t="s">
        <v>5843</v>
      </c>
      <c r="M319" t="s">
        <v>6554</v>
      </c>
      <c r="P319" t="str">
        <f>"Update Project Set Organisation = '"&amp;H319&amp;"' where Project_ID = '"&amp;A319&amp;"'; "</f>
        <v xml:space="preserve">Update Project Set Organisation = 'Institute of Chemical Technology Mumbai' where Project_ID = 'P0314'; </v>
      </c>
      <c r="Q319" t="str">
        <f>"Update Project Set Library_name = '"&amp;L319&amp;"' , COADD_ID = '"&amp;M319&amp;"' where Project_ID = '"&amp;A319&amp;"'; "</f>
        <v xml:space="preserve">Update Project Set Library_name = '' , COADD_ID = 'CO-ADD:PC0314' where Project_ID = 'P0314'; </v>
      </c>
    </row>
    <row r="320" spans="1:17">
      <c r="A320" t="s">
        <v>6557</v>
      </c>
      <c r="C320" t="s">
        <v>5633</v>
      </c>
      <c r="D320" t="s">
        <v>79</v>
      </c>
      <c r="E320" t="s">
        <v>78</v>
      </c>
      <c r="G320" t="s">
        <v>9085</v>
      </c>
      <c r="H320" t="s">
        <v>83</v>
      </c>
      <c r="I320" t="s">
        <v>86</v>
      </c>
      <c r="K320" t="s">
        <v>5828</v>
      </c>
      <c r="L320" t="s">
        <v>8218</v>
      </c>
      <c r="M320" t="s">
        <v>6556</v>
      </c>
      <c r="N320" s="2">
        <v>45657</v>
      </c>
      <c r="P320" t="str">
        <f>"Update Project Set Organisation = '"&amp;H320&amp;"' where Project_ID = '"&amp;A320&amp;"'; "</f>
        <v xml:space="preserve">Update Project Set Organisation = 'Sultan Qaboos University' where Project_ID = 'P0315'; </v>
      </c>
      <c r="Q320" t="str">
        <f>"Update Project Set Library_name = '"&amp;L320&amp;"' , COADD_ID = '"&amp;M320&amp;"' where Project_ID = '"&amp;A320&amp;"'; "</f>
        <v xml:space="preserve">Update Project Set Library_name = 'Sultan Qaboos University (Oman)' , COADD_ID = 'CO-ADD:PC0315' where Project_ID = 'P0315'; </v>
      </c>
    </row>
    <row r="321" spans="1:17">
      <c r="A321" t="s">
        <v>6560</v>
      </c>
      <c r="B321" t="s">
        <v>6559</v>
      </c>
      <c r="C321" t="s">
        <v>5633</v>
      </c>
      <c r="D321" t="s">
        <v>4643</v>
      </c>
      <c r="E321" t="s">
        <v>4642</v>
      </c>
      <c r="G321" t="s">
        <v>9068</v>
      </c>
      <c r="H321" t="s">
        <v>4646</v>
      </c>
      <c r="I321" t="s">
        <v>1600</v>
      </c>
      <c r="K321" t="s">
        <v>5828</v>
      </c>
      <c r="L321" t="s">
        <v>5995</v>
      </c>
      <c r="M321" t="s">
        <v>6558</v>
      </c>
      <c r="N321" s="2">
        <v>43862</v>
      </c>
      <c r="P321" t="str">
        <f>"Update Project Set Organisation = '"&amp;H321&amp;"' where Project_ID = '"&amp;A321&amp;"'; "</f>
        <v xml:space="preserve">Update Project Set Organisation = 'Russian Academy of Science' where Project_ID = 'P0316'; </v>
      </c>
      <c r="Q321" t="str">
        <f>"Update Project Set Library_name = '"&amp;L321&amp;"' , COADD_ID = '"&amp;M321&amp;"' where Project_ID = '"&amp;A321&amp;"'; "</f>
        <v xml:space="preserve">Update Project Set Library_name = 'Russian Academy of Science (Russia)' , COADD_ID = 'CO-ADD:PC0316' where Project_ID = 'P0316'; </v>
      </c>
    </row>
    <row r="322" spans="1:17">
      <c r="A322" t="s">
        <v>6563</v>
      </c>
      <c r="C322" t="s">
        <v>5633</v>
      </c>
      <c r="D322" t="s">
        <v>1647</v>
      </c>
      <c r="E322" t="s">
        <v>1646</v>
      </c>
      <c r="G322" t="s">
        <v>9183</v>
      </c>
      <c r="H322" t="s">
        <v>5801</v>
      </c>
      <c r="I322" t="s">
        <v>117</v>
      </c>
      <c r="K322" t="s">
        <v>5828</v>
      </c>
      <c r="L322" t="s">
        <v>6562</v>
      </c>
      <c r="M322" t="s">
        <v>6561</v>
      </c>
      <c r="N322" s="2">
        <v>43770</v>
      </c>
      <c r="P322" t="str">
        <f>"Update Project Set Organisation = '"&amp;H322&amp;"' where Project_ID = '"&amp;A322&amp;"'; "</f>
        <v xml:space="preserve">Update Project Set Organisation = 'University of Northwestern St Paul' where Project_ID = 'P0317'; </v>
      </c>
      <c r="Q322" t="str">
        <f>"Update Project Set Library_name = '"&amp;L322&amp;"' , COADD_ID = '"&amp;M322&amp;"' where Project_ID = '"&amp;A322&amp;"'; "</f>
        <v xml:space="preserve">Update Project Set Library_name = 'University of Northwestern St. Paul (MN, USA)' , COADD_ID = 'CO-ADD:PC0317' where Project_ID = 'P0317'; </v>
      </c>
    </row>
    <row r="323" spans="1:17">
      <c r="A323" t="s">
        <v>6565</v>
      </c>
      <c r="C323" t="s">
        <v>5633</v>
      </c>
      <c r="D323" t="s">
        <v>2537</v>
      </c>
      <c r="E323" t="s">
        <v>2536</v>
      </c>
      <c r="G323" t="s">
        <v>9174</v>
      </c>
      <c r="H323" t="s">
        <v>1262</v>
      </c>
      <c r="I323" t="s">
        <v>117</v>
      </c>
      <c r="K323" t="s">
        <v>5843</v>
      </c>
      <c r="M323" t="s">
        <v>6564</v>
      </c>
      <c r="P323" t="str">
        <f>"Update Project Set Organisation = '"&amp;H323&amp;"' where Project_ID = '"&amp;A323&amp;"'; "</f>
        <v xml:space="preserve">Update Project Set Organisation = 'University of Nebraska Medical Center' where Project_ID = 'P0318'; </v>
      </c>
      <c r="Q323" t="str">
        <f>"Update Project Set Library_name = '"&amp;L323&amp;"' , COADD_ID = '"&amp;M323&amp;"' where Project_ID = '"&amp;A323&amp;"'; "</f>
        <v xml:space="preserve">Update Project Set Library_name = '' , COADD_ID = 'CO-ADD:PC0318' where Project_ID = 'P0318'; </v>
      </c>
    </row>
    <row r="324" spans="1:17">
      <c r="A324" t="s">
        <v>6568</v>
      </c>
      <c r="B324" t="s">
        <v>6567</v>
      </c>
      <c r="C324" t="s">
        <v>5633</v>
      </c>
      <c r="D324" t="s">
        <v>4046</v>
      </c>
      <c r="E324" t="s">
        <v>4045</v>
      </c>
      <c r="G324" t="s">
        <v>9060</v>
      </c>
      <c r="H324" t="s">
        <v>5647</v>
      </c>
      <c r="I324" t="s">
        <v>211</v>
      </c>
      <c r="K324" t="s">
        <v>5843</v>
      </c>
      <c r="M324" t="s">
        <v>6566</v>
      </c>
      <c r="P324" t="str">
        <f>"Update Project Set Organisation = '"&amp;H324&amp;"' where Project_ID = '"&amp;A324&amp;"'; "</f>
        <v xml:space="preserve">Update Project Set Organisation = 'Raghavendra Institute of Pharmaceutical education and Research' where Project_ID = 'P0319'; </v>
      </c>
      <c r="Q324" t="str">
        <f>"Update Project Set Library_name = '"&amp;L324&amp;"' , COADD_ID = '"&amp;M324&amp;"' where Project_ID = '"&amp;A324&amp;"'; "</f>
        <v xml:space="preserve">Update Project Set Library_name = '' , COADD_ID = 'CO-ADD:PC0319' where Project_ID = 'P0319'; </v>
      </c>
    </row>
    <row r="325" spans="1:17">
      <c r="A325" t="s">
        <v>6570</v>
      </c>
      <c r="C325" t="s">
        <v>5633</v>
      </c>
      <c r="D325" t="s">
        <v>448</v>
      </c>
      <c r="E325" t="s">
        <v>1157</v>
      </c>
      <c r="G325" t="s">
        <v>8900</v>
      </c>
      <c r="H325" t="s">
        <v>362</v>
      </c>
      <c r="I325" t="s">
        <v>14</v>
      </c>
      <c r="K325" t="s">
        <v>5828</v>
      </c>
      <c r="L325" t="s">
        <v>5922</v>
      </c>
      <c r="M325" t="s">
        <v>6569</v>
      </c>
      <c r="N325" s="2">
        <v>45657</v>
      </c>
      <c r="P325" t="str">
        <f>"Update Project Set Organisation = '"&amp;H325&amp;"' where Project_ID = '"&amp;A325&amp;"'; "</f>
        <v xml:space="preserve">Update Project Set Organisation = 'University of Queensland' where Project_ID = 'P0320'; </v>
      </c>
      <c r="Q325" t="str">
        <f>"Update Project Set Library_name = '"&amp;L325&amp;"' , COADD_ID = '"&amp;M325&amp;"' where Project_ID = '"&amp;A325&amp;"'; "</f>
        <v xml:space="preserve">Update Project Set Library_name = 'University of Queensland (Australia)' , COADD_ID = 'CO-ADD:PC0320' where Project_ID = 'P0320'; </v>
      </c>
    </row>
    <row r="326" spans="1:17">
      <c r="A326" t="s">
        <v>6573</v>
      </c>
      <c r="C326" t="s">
        <v>5633</v>
      </c>
      <c r="D326" t="s">
        <v>4023</v>
      </c>
      <c r="E326" t="s">
        <v>4022</v>
      </c>
      <c r="G326" t="s">
        <v>8975</v>
      </c>
      <c r="H326" t="s">
        <v>208</v>
      </c>
      <c r="I326" t="s">
        <v>211</v>
      </c>
      <c r="K326" t="s">
        <v>5828</v>
      </c>
      <c r="L326" t="s">
        <v>6572</v>
      </c>
      <c r="M326" t="s">
        <v>6571</v>
      </c>
      <c r="N326" s="2">
        <v>43770</v>
      </c>
      <c r="P326" t="str">
        <f>"Update Project Set Organisation = '"&amp;H326&amp;"' where Project_ID = '"&amp;A326&amp;"'; "</f>
        <v xml:space="preserve">Update Project Set Organisation = 'Jain University' where Project_ID = 'P0321'; </v>
      </c>
      <c r="Q326" t="str">
        <f>"Update Project Set Library_name = '"&amp;L326&amp;"' , COADD_ID = '"&amp;M326&amp;"' where Project_ID = '"&amp;A326&amp;"'; "</f>
        <v xml:space="preserve">Update Project Set Library_name = 'Jain University (India)' , COADD_ID = 'CO-ADD:PC0321' where Project_ID = 'P0321'; </v>
      </c>
    </row>
    <row r="327" spans="1:17">
      <c r="A327" t="s">
        <v>6575</v>
      </c>
      <c r="C327" t="s">
        <v>5633</v>
      </c>
      <c r="D327" t="s">
        <v>322</v>
      </c>
      <c r="E327" t="s">
        <v>321</v>
      </c>
      <c r="G327" t="s">
        <v>8881</v>
      </c>
      <c r="H327" t="s">
        <v>324</v>
      </c>
      <c r="I327" t="s">
        <v>117</v>
      </c>
      <c r="K327" t="s">
        <v>5843</v>
      </c>
      <c r="M327" t="s">
        <v>6574</v>
      </c>
      <c r="P327" t="str">
        <f>"Update Project Set Organisation = '"&amp;H327&amp;"' where Project_ID = '"&amp;A327&amp;"'; "</f>
        <v xml:space="preserve">Update Project Set Organisation = 'Arkansas State University Jonesboro' where Project_ID = 'P0322'; </v>
      </c>
      <c r="Q327" t="str">
        <f>"Update Project Set Library_name = '"&amp;L327&amp;"' , COADD_ID = '"&amp;M327&amp;"' where Project_ID = '"&amp;A327&amp;"'; "</f>
        <v xml:space="preserve">Update Project Set Library_name = '' , COADD_ID = 'CO-ADD:PC0322' where Project_ID = 'P0322'; </v>
      </c>
    </row>
    <row r="328" spans="1:17">
      <c r="A328" t="s">
        <v>6577</v>
      </c>
      <c r="C328" t="s">
        <v>5633</v>
      </c>
      <c r="D328" t="s">
        <v>1604</v>
      </c>
      <c r="E328" t="s">
        <v>5010</v>
      </c>
      <c r="G328" t="s">
        <v>9244</v>
      </c>
      <c r="H328" t="s">
        <v>1422</v>
      </c>
      <c r="I328" t="s">
        <v>14</v>
      </c>
      <c r="K328" t="s">
        <v>5843</v>
      </c>
      <c r="M328" t="s">
        <v>6576</v>
      </c>
      <c r="P328" t="str">
        <f>"Update Project Set Organisation = '"&amp;H328&amp;"' where Project_ID = '"&amp;A328&amp;"'; "</f>
        <v xml:space="preserve">Update Project Set Organisation = 'University of Wollongong' where Project_ID = 'P0323'; </v>
      </c>
      <c r="Q328" t="str">
        <f>"Update Project Set Library_name = '"&amp;L328&amp;"' , COADD_ID = '"&amp;M328&amp;"' where Project_ID = '"&amp;A328&amp;"'; "</f>
        <v xml:space="preserve">Update Project Set Library_name = '' , COADD_ID = 'CO-ADD:PC0323' where Project_ID = 'P0323'; </v>
      </c>
    </row>
    <row r="329" spans="1:17">
      <c r="A329" t="s">
        <v>6579</v>
      </c>
      <c r="C329" t="s">
        <v>5633</v>
      </c>
      <c r="D329" t="s">
        <v>4630</v>
      </c>
      <c r="E329" t="s">
        <v>4629</v>
      </c>
      <c r="G329" t="s">
        <v>9215</v>
      </c>
      <c r="H329" t="s">
        <v>4633</v>
      </c>
      <c r="I329" t="s">
        <v>269</v>
      </c>
      <c r="K329" t="s">
        <v>5843</v>
      </c>
      <c r="M329" t="s">
        <v>6578</v>
      </c>
      <c r="P329" t="str">
        <f>"Update Project Set Organisation = '"&amp;H329&amp;"' where Project_ID = '"&amp;A329&amp;"'; "</f>
        <v xml:space="preserve">Update Project Set Organisation = 'University of Strathclyde' where Project_ID = 'P0324'; </v>
      </c>
      <c r="Q329" t="str">
        <f>"Update Project Set Library_name = '"&amp;L329&amp;"' , COADD_ID = '"&amp;M329&amp;"' where Project_ID = '"&amp;A329&amp;"'; "</f>
        <v xml:space="preserve">Update Project Set Library_name = '' , COADD_ID = 'CO-ADD:PC0324' where Project_ID = 'P0324'; </v>
      </c>
    </row>
    <row r="330" spans="1:17">
      <c r="A330" t="s">
        <v>6582</v>
      </c>
      <c r="C330" t="s">
        <v>5633</v>
      </c>
      <c r="D330" t="s">
        <v>3004</v>
      </c>
      <c r="E330" t="s">
        <v>4847</v>
      </c>
      <c r="G330" t="s">
        <v>9219</v>
      </c>
      <c r="H330" t="s">
        <v>389</v>
      </c>
      <c r="I330" t="s">
        <v>14</v>
      </c>
      <c r="K330" t="s">
        <v>5828</v>
      </c>
      <c r="L330" t="s">
        <v>6581</v>
      </c>
      <c r="M330" t="s">
        <v>6580</v>
      </c>
      <c r="N330" s="2">
        <v>43770</v>
      </c>
      <c r="P330" t="str">
        <f>"Update Project Set Organisation = '"&amp;H330&amp;"' where Project_ID = '"&amp;A330&amp;"'; "</f>
        <v xml:space="preserve">Update Project Set Organisation = 'University of Sydney' where Project_ID = 'P0325'; </v>
      </c>
      <c r="Q330" t="str">
        <f>"Update Project Set Library_name = '"&amp;L330&amp;"' , COADD_ID = '"&amp;M330&amp;"' where Project_ID = '"&amp;A330&amp;"'; "</f>
        <v xml:space="preserve">Update Project Set Library_name = 'University of Sydney (Australia)' , COADD_ID = 'CO-ADD:PC0325' where Project_ID = 'P0325'; </v>
      </c>
    </row>
    <row r="331" spans="1:17">
      <c r="A331" t="s">
        <v>6584</v>
      </c>
      <c r="C331" t="s">
        <v>5633</v>
      </c>
      <c r="D331" t="s">
        <v>448</v>
      </c>
      <c r="E331" t="s">
        <v>2398</v>
      </c>
      <c r="G331" t="s">
        <v>8900</v>
      </c>
      <c r="H331" t="s">
        <v>362</v>
      </c>
      <c r="I331" t="s">
        <v>14</v>
      </c>
      <c r="K331" t="s">
        <v>5828</v>
      </c>
      <c r="L331" t="s">
        <v>5922</v>
      </c>
      <c r="M331" t="s">
        <v>6583</v>
      </c>
      <c r="N331" s="2">
        <v>45657</v>
      </c>
      <c r="P331" t="str">
        <f>"Update Project Set Organisation = '"&amp;H331&amp;"' where Project_ID = '"&amp;A331&amp;"'; "</f>
        <v xml:space="preserve">Update Project Set Organisation = 'University of Queensland' where Project_ID = 'P0326'; </v>
      </c>
      <c r="Q331" t="str">
        <f>"Update Project Set Library_name = '"&amp;L331&amp;"' , COADD_ID = '"&amp;M331&amp;"' where Project_ID = '"&amp;A331&amp;"'; "</f>
        <v xml:space="preserve">Update Project Set Library_name = 'University of Queensland (Australia)' , COADD_ID = 'CO-ADD:PC0326' where Project_ID = 'P0326'; </v>
      </c>
    </row>
    <row r="332" spans="1:17">
      <c r="A332" t="s">
        <v>6587</v>
      </c>
      <c r="B332" t="s">
        <v>6586</v>
      </c>
      <c r="C332" t="s">
        <v>5633</v>
      </c>
      <c r="D332" t="s">
        <v>769</v>
      </c>
      <c r="E332" t="s">
        <v>2155</v>
      </c>
      <c r="G332" t="s">
        <v>8954</v>
      </c>
      <c r="H332" t="s">
        <v>8151</v>
      </c>
      <c r="I332" t="s">
        <v>704</v>
      </c>
      <c r="K332" t="s">
        <v>5843</v>
      </c>
      <c r="M332" t="s">
        <v>6585</v>
      </c>
      <c r="P332" t="str">
        <f>"Update Project Set Organisation = '"&amp;H332&amp;"' where Project_ID = '"&amp;A332&amp;"'; "</f>
        <v xml:space="preserve">Update Project Set Organisation = 'Hautes Etudes Ingénieur (HEI)' where Project_ID = 'P0327'; </v>
      </c>
      <c r="Q332" t="str">
        <f>"Update Project Set Library_name = '"&amp;L332&amp;"' , COADD_ID = '"&amp;M332&amp;"' where Project_ID = '"&amp;A332&amp;"'; "</f>
        <v xml:space="preserve">Update Project Set Library_name = '' , COADD_ID = 'CO-ADD:PC0327' where Project_ID = 'P0327'; </v>
      </c>
    </row>
    <row r="333" spans="1:17">
      <c r="A333" t="s">
        <v>6590</v>
      </c>
      <c r="B333" t="s">
        <v>6589</v>
      </c>
      <c r="C333" t="s">
        <v>5633</v>
      </c>
      <c r="D333" t="s">
        <v>4643</v>
      </c>
      <c r="E333" t="s">
        <v>4642</v>
      </c>
      <c r="G333" t="s">
        <v>9068</v>
      </c>
      <c r="H333" t="s">
        <v>4646</v>
      </c>
      <c r="I333" t="s">
        <v>1600</v>
      </c>
      <c r="K333" t="s">
        <v>5828</v>
      </c>
      <c r="L333" t="s">
        <v>5995</v>
      </c>
      <c r="M333" t="s">
        <v>6588</v>
      </c>
      <c r="N333" s="2">
        <v>43862</v>
      </c>
      <c r="P333" t="str">
        <f>"Update Project Set Organisation = '"&amp;H333&amp;"' where Project_ID = '"&amp;A333&amp;"'; "</f>
        <v xml:space="preserve">Update Project Set Organisation = 'Russian Academy of Science' where Project_ID = 'P0328'; </v>
      </c>
      <c r="Q333" t="str">
        <f>"Update Project Set Library_name = '"&amp;L333&amp;"' , COADD_ID = '"&amp;M333&amp;"' where Project_ID = '"&amp;A333&amp;"'; "</f>
        <v xml:space="preserve">Update Project Set Library_name = 'Russian Academy of Science (Russia)' , COADD_ID = 'CO-ADD:PC0328' where Project_ID = 'P0328'; </v>
      </c>
    </row>
    <row r="334" spans="1:17">
      <c r="A334" t="s">
        <v>6593</v>
      </c>
      <c r="C334" t="s">
        <v>5633</v>
      </c>
      <c r="D334" t="s">
        <v>2080</v>
      </c>
      <c r="E334" t="s">
        <v>4512</v>
      </c>
      <c r="F334" t="s">
        <v>2079</v>
      </c>
      <c r="G334" t="s">
        <v>8963</v>
      </c>
      <c r="H334" t="s">
        <v>3881</v>
      </c>
      <c r="I334" t="s">
        <v>117</v>
      </c>
      <c r="J334" t="s">
        <v>6592</v>
      </c>
      <c r="K334" t="s">
        <v>5828</v>
      </c>
      <c r="L334" t="s">
        <v>8208</v>
      </c>
      <c r="M334" t="s">
        <v>6591</v>
      </c>
      <c r="N334" s="2">
        <v>45657</v>
      </c>
      <c r="P334" t="str">
        <f>"Update Project Set Organisation = '"&amp;H334&amp;"' where Project_ID = '"&amp;A334&amp;"'; "</f>
        <v xml:space="preserve">Update Project Set Organisation = 'Indiana University-Purdue University Indianapolis' where Project_ID = 'P0329'; </v>
      </c>
      <c r="Q334" t="str">
        <f>"Update Project Set Library_name = '"&amp;L334&amp;"' , COADD_ID = '"&amp;M334&amp;"' where Project_ID = '"&amp;A334&amp;"'; "</f>
        <v xml:space="preserve">Update Project Set Library_name = 'Indiana University-Purdue University Indianapolis (United States)' , COADD_ID = 'CO-ADD:PC0329' where Project_ID = 'P0329'; </v>
      </c>
    </row>
    <row r="335" spans="1:17">
      <c r="A335" t="s">
        <v>6595</v>
      </c>
      <c r="C335" t="s">
        <v>5633</v>
      </c>
      <c r="D335" t="s">
        <v>448</v>
      </c>
      <c r="E335" t="s">
        <v>1157</v>
      </c>
      <c r="G335" t="s">
        <v>8900</v>
      </c>
      <c r="H335" t="s">
        <v>362</v>
      </c>
      <c r="I335" t="s">
        <v>14</v>
      </c>
      <c r="K335" t="s">
        <v>5843</v>
      </c>
      <c r="M335" t="s">
        <v>6594</v>
      </c>
      <c r="P335" t="str">
        <f>"Update Project Set Organisation = '"&amp;H335&amp;"' where Project_ID = '"&amp;A335&amp;"'; "</f>
        <v xml:space="preserve">Update Project Set Organisation = 'University of Queensland' where Project_ID = 'P0330'; </v>
      </c>
      <c r="Q335" t="str">
        <f>"Update Project Set Library_name = '"&amp;L335&amp;"' , COADD_ID = '"&amp;M335&amp;"' where Project_ID = '"&amp;A335&amp;"'; "</f>
        <v xml:space="preserve">Update Project Set Library_name = '' , COADD_ID = 'CO-ADD:PC0330' where Project_ID = 'P0330'; </v>
      </c>
    </row>
    <row r="336" spans="1:17">
      <c r="A336" t="s">
        <v>6597</v>
      </c>
      <c r="C336" t="s">
        <v>5633</v>
      </c>
      <c r="D336" t="s">
        <v>448</v>
      </c>
      <c r="E336" t="s">
        <v>4373</v>
      </c>
      <c r="F336" t="s">
        <v>3517</v>
      </c>
      <c r="G336" t="s">
        <v>8900</v>
      </c>
      <c r="H336" t="s">
        <v>362</v>
      </c>
      <c r="I336" t="s">
        <v>14</v>
      </c>
      <c r="K336" t="s">
        <v>5837</v>
      </c>
      <c r="M336" t="s">
        <v>6596</v>
      </c>
      <c r="P336" t="str">
        <f>"Update Project Set Organisation = '"&amp;H336&amp;"' where Project_ID = '"&amp;A336&amp;"'; "</f>
        <v xml:space="preserve">Update Project Set Organisation = 'University of Queensland' where Project_ID = 'P0331'; </v>
      </c>
      <c r="Q336" t="str">
        <f>"Update Project Set Library_name = '"&amp;L336&amp;"' , COADD_ID = '"&amp;M336&amp;"' where Project_ID = '"&amp;A336&amp;"'; "</f>
        <v xml:space="preserve">Update Project Set Library_name = '' , COADD_ID = 'CO-ADD:PC0331' where Project_ID = 'P0331'; </v>
      </c>
    </row>
    <row r="337" spans="1:17">
      <c r="A337" t="s">
        <v>6600</v>
      </c>
      <c r="B337" t="s">
        <v>6599</v>
      </c>
      <c r="C337" t="s">
        <v>5633</v>
      </c>
      <c r="D337" t="s">
        <v>4643</v>
      </c>
      <c r="E337" t="s">
        <v>4642</v>
      </c>
      <c r="G337" t="s">
        <v>9068</v>
      </c>
      <c r="H337" t="s">
        <v>4646</v>
      </c>
      <c r="I337" t="s">
        <v>1600</v>
      </c>
      <c r="K337" t="s">
        <v>5828</v>
      </c>
      <c r="L337" t="s">
        <v>5995</v>
      </c>
      <c r="M337" t="s">
        <v>6598</v>
      </c>
      <c r="N337" s="2">
        <v>43862</v>
      </c>
      <c r="P337" t="str">
        <f>"Update Project Set Organisation = '"&amp;H337&amp;"' where Project_ID = '"&amp;A337&amp;"'; "</f>
        <v xml:space="preserve">Update Project Set Organisation = 'Russian Academy of Science' where Project_ID = 'P0332'; </v>
      </c>
      <c r="Q337" t="str">
        <f>"Update Project Set Library_name = '"&amp;L337&amp;"' , COADD_ID = '"&amp;M337&amp;"' where Project_ID = '"&amp;A337&amp;"'; "</f>
        <v xml:space="preserve">Update Project Set Library_name = 'Russian Academy of Science (Russia)' , COADD_ID = 'CO-ADD:PC0332' where Project_ID = 'P0332'; </v>
      </c>
    </row>
    <row r="338" spans="1:17">
      <c r="A338" t="s">
        <v>6602</v>
      </c>
      <c r="B338" t="s">
        <v>5834</v>
      </c>
      <c r="C338" t="s">
        <v>5633</v>
      </c>
      <c r="D338" t="s">
        <v>1664</v>
      </c>
      <c r="E338" t="s">
        <v>1663</v>
      </c>
      <c r="F338" t="s">
        <v>2637</v>
      </c>
      <c r="G338" t="s">
        <v>9016</v>
      </c>
      <c r="H338" t="s">
        <v>1667</v>
      </c>
      <c r="I338" t="s">
        <v>1600</v>
      </c>
      <c r="K338" t="s">
        <v>5828</v>
      </c>
      <c r="L338" t="s">
        <v>8219</v>
      </c>
      <c r="M338" t="s">
        <v>6601</v>
      </c>
      <c r="N338" s="2">
        <v>45657</v>
      </c>
      <c r="P338" t="str">
        <f>"Update Project Set Organisation = '"&amp;H338&amp;"' where Project_ID = '"&amp;A338&amp;"'; "</f>
        <v xml:space="preserve">Update Project Set Organisation = 'Mendeleev University of Chemical Technology of Russia' where Project_ID = 'P0333'; </v>
      </c>
      <c r="Q338" t="str">
        <f>"Update Project Set Library_name = '"&amp;L338&amp;"' , COADD_ID = '"&amp;M338&amp;"' where Project_ID = '"&amp;A338&amp;"'; "</f>
        <v xml:space="preserve">Update Project Set Library_name = 'Mendeleev University of Chemical Technology of Russia (Russia)' , COADD_ID = 'CO-ADD:PC0333' where Project_ID = 'P0333'; </v>
      </c>
    </row>
    <row r="339" spans="1:17">
      <c r="A339" t="s">
        <v>6605</v>
      </c>
      <c r="B339" t="s">
        <v>6604</v>
      </c>
      <c r="C339" t="s">
        <v>5633</v>
      </c>
      <c r="D339" t="s">
        <v>4643</v>
      </c>
      <c r="E339" t="s">
        <v>4642</v>
      </c>
      <c r="G339" t="s">
        <v>9068</v>
      </c>
      <c r="H339" t="s">
        <v>4646</v>
      </c>
      <c r="I339" t="s">
        <v>1600</v>
      </c>
      <c r="K339" t="s">
        <v>5828</v>
      </c>
      <c r="L339" t="s">
        <v>5995</v>
      </c>
      <c r="M339" t="s">
        <v>6603</v>
      </c>
      <c r="N339" s="2">
        <v>45657</v>
      </c>
      <c r="P339" t="str">
        <f>"Update Project Set Organisation = '"&amp;H339&amp;"' where Project_ID = '"&amp;A339&amp;"'; "</f>
        <v xml:space="preserve">Update Project Set Organisation = 'Russian Academy of Science' where Project_ID = 'P0334'; </v>
      </c>
      <c r="Q339" t="str">
        <f>"Update Project Set Library_name = '"&amp;L339&amp;"' , COADD_ID = '"&amp;M339&amp;"' where Project_ID = '"&amp;A339&amp;"'; "</f>
        <v xml:space="preserve">Update Project Set Library_name = 'Russian Academy of Science (Russia)' , COADD_ID = 'CO-ADD:PC0334' where Project_ID = 'P0334'; </v>
      </c>
    </row>
    <row r="340" spans="1:17">
      <c r="A340" t="s">
        <v>6608</v>
      </c>
      <c r="B340" t="s">
        <v>6607</v>
      </c>
      <c r="C340" t="s">
        <v>5633</v>
      </c>
      <c r="D340" t="s">
        <v>4109</v>
      </c>
      <c r="E340" t="s">
        <v>4108</v>
      </c>
      <c r="G340" t="s">
        <v>9240</v>
      </c>
      <c r="H340" t="s">
        <v>4111</v>
      </c>
      <c r="I340" t="s">
        <v>14</v>
      </c>
      <c r="K340" t="s">
        <v>5828</v>
      </c>
      <c r="L340" t="s">
        <v>8206</v>
      </c>
      <c r="M340" t="s">
        <v>6606</v>
      </c>
      <c r="N340" s="2">
        <v>45657</v>
      </c>
      <c r="P340" t="str">
        <f>"Update Project Set Organisation = '"&amp;H340&amp;"' where Project_ID = '"&amp;A340&amp;"'; "</f>
        <v xml:space="preserve">Update Project Set Organisation = 'University of Western Australia' where Project_ID = 'P0335'; </v>
      </c>
      <c r="Q340" t="str">
        <f>"Update Project Set Library_name = '"&amp;L340&amp;"' , COADD_ID = '"&amp;M340&amp;"' where Project_ID = '"&amp;A340&amp;"'; "</f>
        <v xml:space="preserve">Update Project Set Library_name = 'University of Western Australia (Australia)' , COADD_ID = 'CO-ADD:PC0335' where Project_ID = 'P0335'; </v>
      </c>
    </row>
    <row r="341" spans="1:17">
      <c r="A341" t="s">
        <v>6610</v>
      </c>
      <c r="C341" t="s">
        <v>5633</v>
      </c>
      <c r="D341" t="s">
        <v>4971</v>
      </c>
      <c r="E341" t="s">
        <v>4970</v>
      </c>
      <c r="G341" t="s">
        <v>8915</v>
      </c>
      <c r="H341" t="s">
        <v>731</v>
      </c>
      <c r="I341" t="s">
        <v>14</v>
      </c>
      <c r="K341" t="s">
        <v>5843</v>
      </c>
      <c r="M341" t="s">
        <v>6609</v>
      </c>
      <c r="P341" t="str">
        <f>"Update Project Set Organisation = '"&amp;H341&amp;"' where Project_ID = '"&amp;A341&amp;"'; "</f>
        <v xml:space="preserve">Update Project Set Organisation = 'Commonwealth Scientific and Industrial Research (CSIRO)' where Project_ID = 'P0336'; </v>
      </c>
      <c r="Q341" t="str">
        <f>"Update Project Set Library_name = '"&amp;L341&amp;"' , COADD_ID = '"&amp;M341&amp;"' where Project_ID = '"&amp;A341&amp;"'; "</f>
        <v xml:space="preserve">Update Project Set Library_name = '' , COADD_ID = 'CO-ADD:PC0336' where Project_ID = 'P0336'; </v>
      </c>
    </row>
    <row r="342" spans="1:17">
      <c r="A342" t="s">
        <v>6613</v>
      </c>
      <c r="B342" t="s">
        <v>6612</v>
      </c>
      <c r="C342" t="s">
        <v>5633</v>
      </c>
      <c r="D342" t="s">
        <v>4643</v>
      </c>
      <c r="E342" t="s">
        <v>4642</v>
      </c>
      <c r="G342" t="s">
        <v>9068</v>
      </c>
      <c r="H342" t="s">
        <v>4646</v>
      </c>
      <c r="I342" t="s">
        <v>1600</v>
      </c>
      <c r="K342" t="s">
        <v>5828</v>
      </c>
      <c r="L342" t="s">
        <v>5995</v>
      </c>
      <c r="M342" t="s">
        <v>6611</v>
      </c>
      <c r="N342" s="2">
        <v>43862</v>
      </c>
      <c r="P342" t="str">
        <f>"Update Project Set Organisation = '"&amp;H342&amp;"' where Project_ID = '"&amp;A342&amp;"'; "</f>
        <v xml:space="preserve">Update Project Set Organisation = 'Russian Academy of Science' where Project_ID = 'P0337'; </v>
      </c>
      <c r="Q342" t="str">
        <f>"Update Project Set Library_name = '"&amp;L342&amp;"' , COADD_ID = '"&amp;M342&amp;"' where Project_ID = '"&amp;A342&amp;"'; "</f>
        <v xml:space="preserve">Update Project Set Library_name = 'Russian Academy of Science (Russia)' , COADD_ID = 'CO-ADD:PC0337' where Project_ID = 'P0337'; </v>
      </c>
    </row>
    <row r="343" spans="1:17">
      <c r="A343" t="s">
        <v>6616</v>
      </c>
      <c r="B343" t="s">
        <v>6615</v>
      </c>
      <c r="C343" t="s">
        <v>5633</v>
      </c>
      <c r="D343" t="s">
        <v>4643</v>
      </c>
      <c r="E343" t="s">
        <v>4642</v>
      </c>
      <c r="G343" t="s">
        <v>9068</v>
      </c>
      <c r="H343" t="s">
        <v>4646</v>
      </c>
      <c r="I343" t="s">
        <v>1600</v>
      </c>
      <c r="K343" t="s">
        <v>5828</v>
      </c>
      <c r="L343" t="s">
        <v>5995</v>
      </c>
      <c r="M343" t="s">
        <v>6614</v>
      </c>
      <c r="N343" s="2">
        <v>43862</v>
      </c>
      <c r="P343" t="str">
        <f>"Update Project Set Organisation = '"&amp;H343&amp;"' where Project_ID = '"&amp;A343&amp;"'; "</f>
        <v xml:space="preserve">Update Project Set Organisation = 'Russian Academy of Science' where Project_ID = 'P0338'; </v>
      </c>
      <c r="Q343" t="str">
        <f>"Update Project Set Library_name = '"&amp;L343&amp;"' , COADD_ID = '"&amp;M343&amp;"' where Project_ID = '"&amp;A343&amp;"'; "</f>
        <v xml:space="preserve">Update Project Set Library_name = 'Russian Academy of Science (Russia)' , COADD_ID = 'CO-ADD:PC0338' where Project_ID = 'P0338'; </v>
      </c>
    </row>
    <row r="344" spans="1:17">
      <c r="A344" t="s">
        <v>6619</v>
      </c>
      <c r="B344" t="s">
        <v>6618</v>
      </c>
      <c r="C344" t="s">
        <v>5633</v>
      </c>
      <c r="D344" t="s">
        <v>2816</v>
      </c>
      <c r="E344" t="s">
        <v>2815</v>
      </c>
      <c r="G344" t="s">
        <v>8997</v>
      </c>
      <c r="H344" t="s">
        <v>1114</v>
      </c>
      <c r="I344" t="s">
        <v>14</v>
      </c>
      <c r="K344" t="s">
        <v>5828</v>
      </c>
      <c r="L344" t="s">
        <v>6195</v>
      </c>
      <c r="M344" t="s">
        <v>6617</v>
      </c>
      <c r="N344" s="2">
        <v>45657</v>
      </c>
      <c r="P344" t="str">
        <f>"Update Project Set Organisation = '"&amp;H344&amp;"' where Project_ID = '"&amp;A344&amp;"'; "</f>
        <v xml:space="preserve">Update Project Set Organisation = 'Macquarie University' where Project_ID = 'P0339'; </v>
      </c>
      <c r="Q344" t="str">
        <f>"Update Project Set Library_name = '"&amp;L344&amp;"' , COADD_ID = '"&amp;M344&amp;"' where Project_ID = '"&amp;A344&amp;"'; "</f>
        <v xml:space="preserve">Update Project Set Library_name = 'Macquarie University (Australia)' , COADD_ID = 'CO-ADD:PC0339' where Project_ID = 'P0339'; </v>
      </c>
    </row>
    <row r="345" spans="1:17">
      <c r="A345" t="s">
        <v>6622</v>
      </c>
      <c r="B345" t="s">
        <v>6621</v>
      </c>
      <c r="C345" t="s">
        <v>5633</v>
      </c>
      <c r="D345" t="s">
        <v>4643</v>
      </c>
      <c r="E345" t="s">
        <v>4642</v>
      </c>
      <c r="G345" t="s">
        <v>9068</v>
      </c>
      <c r="H345" t="s">
        <v>4646</v>
      </c>
      <c r="I345" t="s">
        <v>1600</v>
      </c>
      <c r="K345" t="s">
        <v>5828</v>
      </c>
      <c r="L345" t="s">
        <v>5995</v>
      </c>
      <c r="M345" t="s">
        <v>6620</v>
      </c>
      <c r="N345" s="2">
        <v>43862</v>
      </c>
      <c r="P345" t="str">
        <f>"Update Project Set Organisation = '"&amp;H345&amp;"' where Project_ID = '"&amp;A345&amp;"'; "</f>
        <v xml:space="preserve">Update Project Set Organisation = 'Russian Academy of Science' where Project_ID = 'P0340'; </v>
      </c>
      <c r="Q345" t="str">
        <f>"Update Project Set Library_name = '"&amp;L345&amp;"' , COADD_ID = '"&amp;M345&amp;"' where Project_ID = '"&amp;A345&amp;"'; "</f>
        <v xml:space="preserve">Update Project Set Library_name = 'Russian Academy of Science (Russia)' , COADD_ID = 'CO-ADD:PC0340' where Project_ID = 'P0340'; </v>
      </c>
    </row>
    <row r="346" spans="1:17">
      <c r="A346" t="s">
        <v>6624</v>
      </c>
      <c r="C346" t="s">
        <v>5633</v>
      </c>
      <c r="D346" t="s">
        <v>2872</v>
      </c>
      <c r="E346" t="s">
        <v>5020</v>
      </c>
      <c r="G346" t="s">
        <v>9245</v>
      </c>
      <c r="H346" t="s">
        <v>1422</v>
      </c>
      <c r="I346" t="s">
        <v>14</v>
      </c>
      <c r="K346" t="s">
        <v>5843</v>
      </c>
      <c r="M346" t="s">
        <v>6623</v>
      </c>
      <c r="P346" t="str">
        <f>"Update Project Set Organisation = '"&amp;H346&amp;"' where Project_ID = '"&amp;A346&amp;"'; "</f>
        <v xml:space="preserve">Update Project Set Organisation = 'University of Wollongong' where Project_ID = 'P0341'; </v>
      </c>
      <c r="Q346" t="str">
        <f>"Update Project Set Library_name = '"&amp;L346&amp;"' , COADD_ID = '"&amp;M346&amp;"' where Project_ID = '"&amp;A346&amp;"'; "</f>
        <v xml:space="preserve">Update Project Set Library_name = '' , COADD_ID = 'CO-ADD:PC0341' where Project_ID = 'P0341'; </v>
      </c>
    </row>
    <row r="347" spans="1:17">
      <c r="A347" t="s">
        <v>6627</v>
      </c>
      <c r="B347" t="s">
        <v>6626</v>
      </c>
      <c r="C347" t="s">
        <v>5633</v>
      </c>
      <c r="D347" t="s">
        <v>4643</v>
      </c>
      <c r="E347" t="s">
        <v>4642</v>
      </c>
      <c r="G347" t="s">
        <v>9068</v>
      </c>
      <c r="H347" t="s">
        <v>4646</v>
      </c>
      <c r="I347" t="s">
        <v>1600</v>
      </c>
      <c r="K347" t="s">
        <v>5828</v>
      </c>
      <c r="L347" t="s">
        <v>5995</v>
      </c>
      <c r="M347" t="s">
        <v>6625</v>
      </c>
      <c r="N347" s="2">
        <v>43862</v>
      </c>
      <c r="P347" t="str">
        <f>"Update Project Set Organisation = '"&amp;H347&amp;"' where Project_ID = '"&amp;A347&amp;"'; "</f>
        <v xml:space="preserve">Update Project Set Organisation = 'Russian Academy of Science' where Project_ID = 'P0342'; </v>
      </c>
      <c r="Q347" t="str">
        <f>"Update Project Set Library_name = '"&amp;L347&amp;"' , COADD_ID = '"&amp;M347&amp;"' where Project_ID = '"&amp;A347&amp;"'; "</f>
        <v xml:space="preserve">Update Project Set Library_name = 'Russian Academy of Science (Russia)' , COADD_ID = 'CO-ADD:PC0342' where Project_ID = 'P0342'; </v>
      </c>
    </row>
    <row r="348" spans="1:17">
      <c r="A348" t="s">
        <v>6630</v>
      </c>
      <c r="B348" t="s">
        <v>6629</v>
      </c>
      <c r="C348" t="s">
        <v>5633</v>
      </c>
      <c r="D348" t="s">
        <v>4643</v>
      </c>
      <c r="E348" t="s">
        <v>4642</v>
      </c>
      <c r="G348" t="s">
        <v>9068</v>
      </c>
      <c r="H348" t="s">
        <v>4646</v>
      </c>
      <c r="I348" t="s">
        <v>1600</v>
      </c>
      <c r="K348" t="s">
        <v>5828</v>
      </c>
      <c r="L348" t="s">
        <v>5995</v>
      </c>
      <c r="M348" t="s">
        <v>6628</v>
      </c>
      <c r="N348" s="2">
        <v>43862</v>
      </c>
      <c r="P348" t="str">
        <f>"Update Project Set Organisation = '"&amp;H348&amp;"' where Project_ID = '"&amp;A348&amp;"'; "</f>
        <v xml:space="preserve">Update Project Set Organisation = 'Russian Academy of Science' where Project_ID = 'P0343'; </v>
      </c>
      <c r="Q348" t="str">
        <f>"Update Project Set Library_name = '"&amp;L348&amp;"' , COADD_ID = '"&amp;M348&amp;"' where Project_ID = '"&amp;A348&amp;"'; "</f>
        <v xml:space="preserve">Update Project Set Library_name = 'Russian Academy of Science (Russia)' , COADD_ID = 'CO-ADD:PC0343' where Project_ID = 'P0343'; </v>
      </c>
    </row>
    <row r="349" spans="1:17">
      <c r="A349" t="s">
        <v>6633</v>
      </c>
      <c r="B349" t="s">
        <v>6632</v>
      </c>
      <c r="C349" t="s">
        <v>5633</v>
      </c>
      <c r="D349" t="s">
        <v>4643</v>
      </c>
      <c r="E349" t="s">
        <v>4642</v>
      </c>
      <c r="G349" t="s">
        <v>9068</v>
      </c>
      <c r="H349" t="s">
        <v>4646</v>
      </c>
      <c r="I349" t="s">
        <v>1600</v>
      </c>
      <c r="K349" t="s">
        <v>5828</v>
      </c>
      <c r="L349" t="s">
        <v>5995</v>
      </c>
      <c r="M349" t="s">
        <v>6631</v>
      </c>
      <c r="N349" s="2">
        <v>43862</v>
      </c>
      <c r="P349" t="str">
        <f>"Update Project Set Organisation = '"&amp;H349&amp;"' where Project_ID = '"&amp;A349&amp;"'; "</f>
        <v xml:space="preserve">Update Project Set Organisation = 'Russian Academy of Science' where Project_ID = 'P0344'; </v>
      </c>
      <c r="Q349" t="str">
        <f>"Update Project Set Library_name = '"&amp;L349&amp;"' , COADD_ID = '"&amp;M349&amp;"' where Project_ID = '"&amp;A349&amp;"'; "</f>
        <v xml:space="preserve">Update Project Set Library_name = 'Russian Academy of Science (Russia)' , COADD_ID = 'CO-ADD:PC0344' where Project_ID = 'P0344'; </v>
      </c>
    </row>
    <row r="350" spans="1:17">
      <c r="A350" t="s">
        <v>6635</v>
      </c>
      <c r="C350" t="s">
        <v>5633</v>
      </c>
      <c r="D350" t="s">
        <v>530</v>
      </c>
      <c r="E350" t="s">
        <v>529</v>
      </c>
      <c r="F350" t="s">
        <v>4926</v>
      </c>
      <c r="G350" t="s">
        <v>9048</v>
      </c>
      <c r="H350" t="s">
        <v>534</v>
      </c>
      <c r="I350" t="s">
        <v>537</v>
      </c>
      <c r="K350" t="s">
        <v>5806</v>
      </c>
      <c r="M350" t="s">
        <v>6634</v>
      </c>
      <c r="P350" t="str">
        <f>"Update Project Set Organisation = '"&amp;H350&amp;"' where Project_ID = '"&amp;A350&amp;"'; "</f>
        <v xml:space="preserve">Update Project Set Organisation = 'Norwegian University of Science and Technology' where Project_ID = 'P0345'; </v>
      </c>
      <c r="Q350" t="str">
        <f>"Update Project Set Library_name = '"&amp;L350&amp;"' , COADD_ID = '"&amp;M350&amp;"' where Project_ID = '"&amp;A350&amp;"'; "</f>
        <v xml:space="preserve">Update Project Set Library_name = '' , COADD_ID = 'CO-ADD:PC0345' where Project_ID = 'P0345'; </v>
      </c>
    </row>
    <row r="351" spans="1:17">
      <c r="A351" t="s">
        <v>6637</v>
      </c>
      <c r="C351" t="s">
        <v>5633</v>
      </c>
      <c r="D351" t="s">
        <v>602</v>
      </c>
      <c r="E351" t="s">
        <v>4921</v>
      </c>
      <c r="F351" t="s">
        <v>601</v>
      </c>
      <c r="G351" t="s">
        <v>9083</v>
      </c>
      <c r="H351" t="s">
        <v>606</v>
      </c>
      <c r="I351" t="s">
        <v>609</v>
      </c>
      <c r="K351" t="s">
        <v>5843</v>
      </c>
      <c r="M351" t="s">
        <v>6636</v>
      </c>
      <c r="P351" t="str">
        <f>"Update Project Set Organisation = '"&amp;H351&amp;"' where Project_ID = '"&amp;A351&amp;"'; "</f>
        <v xml:space="preserve">Update Project Set Organisation = 'Stellenbosch University' where Project_ID = 'P0346'; </v>
      </c>
      <c r="Q351" t="str">
        <f>"Update Project Set Library_name = '"&amp;L351&amp;"' , COADD_ID = '"&amp;M351&amp;"' where Project_ID = '"&amp;A351&amp;"'; "</f>
        <v xml:space="preserve">Update Project Set Library_name = '' , COADD_ID = 'CO-ADD:PC0346' where Project_ID = 'P0346'; </v>
      </c>
    </row>
    <row r="352" spans="1:17">
      <c r="A352" t="s">
        <v>6639</v>
      </c>
      <c r="C352" t="s">
        <v>5633</v>
      </c>
      <c r="D352" t="s">
        <v>3334</v>
      </c>
      <c r="E352" t="s">
        <v>3333</v>
      </c>
      <c r="F352" t="s">
        <v>4167</v>
      </c>
      <c r="G352" t="s">
        <v>8935</v>
      </c>
      <c r="H352" t="s">
        <v>3337</v>
      </c>
      <c r="I352" t="s">
        <v>2054</v>
      </c>
      <c r="K352" t="s">
        <v>5828</v>
      </c>
      <c r="L352" t="s">
        <v>8220</v>
      </c>
      <c r="M352" t="s">
        <v>6638</v>
      </c>
      <c r="N352" s="2">
        <v>45657</v>
      </c>
      <c r="P352" t="str">
        <f>"Update Project Set Organisation = '"&amp;H352&amp;"' where Project_ID = '"&amp;A352&amp;"'; "</f>
        <v xml:space="preserve">Update Project Set Organisation = 'Facultad de Química Universidad de la República' where Project_ID = 'P0347'; </v>
      </c>
      <c r="Q352" t="str">
        <f>"Update Project Set Library_name = '"&amp;L352&amp;"' , COADD_ID = '"&amp;M352&amp;"' where Project_ID = '"&amp;A352&amp;"'; "</f>
        <v xml:space="preserve">Update Project Set Library_name = 'Facultad de Química Universidad de la República (Uruguay)' , COADD_ID = 'CO-ADD:PC0347' where Project_ID = 'P0347'; </v>
      </c>
    </row>
    <row r="353" spans="1:17">
      <c r="A353" t="s">
        <v>6641</v>
      </c>
      <c r="C353" t="s">
        <v>5633</v>
      </c>
      <c r="D353" t="s">
        <v>448</v>
      </c>
      <c r="E353" t="s">
        <v>4373</v>
      </c>
      <c r="F353" t="s">
        <v>1811</v>
      </c>
      <c r="G353" t="s">
        <v>8900</v>
      </c>
      <c r="H353" t="s">
        <v>362</v>
      </c>
      <c r="I353" t="s">
        <v>14</v>
      </c>
      <c r="K353" t="s">
        <v>5828</v>
      </c>
      <c r="L353" t="s">
        <v>5922</v>
      </c>
      <c r="M353" t="s">
        <v>6640</v>
      </c>
      <c r="N353" s="2">
        <v>45657</v>
      </c>
      <c r="P353" t="str">
        <f>"Update Project Set Organisation = '"&amp;H353&amp;"' where Project_ID = '"&amp;A353&amp;"'; "</f>
        <v xml:space="preserve">Update Project Set Organisation = 'University of Queensland' where Project_ID = 'P0348'; </v>
      </c>
      <c r="Q353" t="str">
        <f>"Update Project Set Library_name = '"&amp;L353&amp;"' , COADD_ID = '"&amp;M353&amp;"' where Project_ID = '"&amp;A353&amp;"'; "</f>
        <v xml:space="preserve">Update Project Set Library_name = 'University of Queensland (Australia)' , COADD_ID = 'CO-ADD:PC0348' where Project_ID = 'P0348'; </v>
      </c>
    </row>
    <row r="354" spans="1:17">
      <c r="A354" t="s">
        <v>6644</v>
      </c>
      <c r="B354" t="s">
        <v>6643</v>
      </c>
      <c r="C354" t="s">
        <v>5633</v>
      </c>
      <c r="D354" t="s">
        <v>4643</v>
      </c>
      <c r="E354" t="s">
        <v>4642</v>
      </c>
      <c r="G354" t="s">
        <v>9068</v>
      </c>
      <c r="H354" t="s">
        <v>4646</v>
      </c>
      <c r="I354" t="s">
        <v>1600</v>
      </c>
      <c r="K354" t="s">
        <v>5828</v>
      </c>
      <c r="L354" t="s">
        <v>5995</v>
      </c>
      <c r="M354" t="s">
        <v>6642</v>
      </c>
      <c r="N354" s="2">
        <v>43862</v>
      </c>
      <c r="P354" t="str">
        <f>"Update Project Set Organisation = '"&amp;H354&amp;"' where Project_ID = '"&amp;A354&amp;"'; "</f>
        <v xml:space="preserve">Update Project Set Organisation = 'Russian Academy of Science' where Project_ID = 'P0349'; </v>
      </c>
      <c r="Q354" t="str">
        <f>"Update Project Set Library_name = '"&amp;L354&amp;"' , COADD_ID = '"&amp;M354&amp;"' where Project_ID = '"&amp;A354&amp;"'; "</f>
        <v xml:space="preserve">Update Project Set Library_name = 'Russian Academy of Science (Russia)' , COADD_ID = 'CO-ADD:PC0349' where Project_ID = 'P0349'; </v>
      </c>
    </row>
    <row r="355" spans="1:17">
      <c r="A355" t="s">
        <v>6647</v>
      </c>
      <c r="B355" t="s">
        <v>6646</v>
      </c>
      <c r="C355" t="s">
        <v>5633</v>
      </c>
      <c r="D355" t="s">
        <v>4643</v>
      </c>
      <c r="E355" t="s">
        <v>4642</v>
      </c>
      <c r="G355" t="s">
        <v>9068</v>
      </c>
      <c r="H355" t="s">
        <v>4646</v>
      </c>
      <c r="I355" t="s">
        <v>1600</v>
      </c>
      <c r="K355" t="s">
        <v>5828</v>
      </c>
      <c r="L355" t="s">
        <v>5995</v>
      </c>
      <c r="M355" t="s">
        <v>6645</v>
      </c>
      <c r="N355" s="2">
        <v>43862</v>
      </c>
      <c r="P355" t="str">
        <f>"Update Project Set Organisation = '"&amp;H355&amp;"' where Project_ID = '"&amp;A355&amp;"'; "</f>
        <v xml:space="preserve">Update Project Set Organisation = 'Russian Academy of Science' where Project_ID = 'P0350'; </v>
      </c>
      <c r="Q355" t="str">
        <f>"Update Project Set Library_name = '"&amp;L355&amp;"' , COADD_ID = '"&amp;M355&amp;"' where Project_ID = '"&amp;A355&amp;"'; "</f>
        <v xml:space="preserve">Update Project Set Library_name = 'Russian Academy of Science (Russia)' , COADD_ID = 'CO-ADD:PC0350' where Project_ID = 'P0350'; </v>
      </c>
    </row>
    <row r="356" spans="1:17">
      <c r="A356" t="s">
        <v>6651</v>
      </c>
      <c r="B356" t="s">
        <v>6650</v>
      </c>
      <c r="C356" t="s">
        <v>5633</v>
      </c>
      <c r="D356" t="s">
        <v>2529</v>
      </c>
      <c r="E356" t="s">
        <v>2528</v>
      </c>
      <c r="G356" t="s">
        <v>9148</v>
      </c>
      <c r="H356" t="s">
        <v>2321</v>
      </c>
      <c r="I356" t="s">
        <v>269</v>
      </c>
      <c r="K356" t="s">
        <v>5843</v>
      </c>
      <c r="L356" t="s">
        <v>6649</v>
      </c>
      <c r="M356" t="s">
        <v>6648</v>
      </c>
      <c r="P356" t="str">
        <f>"Update Project Set Organisation = '"&amp;H356&amp;"' where Project_ID = '"&amp;A356&amp;"'; "</f>
        <v xml:space="preserve">Update Project Set Organisation = 'University of Dundee' where Project_ID = 'P0351'; </v>
      </c>
      <c r="Q356" t="str">
        <f>"Update Project Set Library_name = '"&amp;L356&amp;"' , COADD_ID = '"&amp;M356&amp;"' where Project_ID = '"&amp;A356&amp;"'; "</f>
        <v xml:space="preserve">Update Project Set Library_name = 'University of Dundee BMGF (UK) - Small Polar Library' , COADD_ID = 'CO-ADD:PL0031' where Project_ID = 'P0351'; </v>
      </c>
    </row>
    <row r="357" spans="1:17">
      <c r="A357" t="s">
        <v>6653</v>
      </c>
      <c r="C357" t="s">
        <v>5633</v>
      </c>
      <c r="D357" t="s">
        <v>812</v>
      </c>
      <c r="E357" t="s">
        <v>811</v>
      </c>
      <c r="G357" t="s">
        <v>8958</v>
      </c>
      <c r="H357" t="s">
        <v>815</v>
      </c>
      <c r="I357" t="s">
        <v>269</v>
      </c>
      <c r="K357" t="s">
        <v>5828</v>
      </c>
      <c r="L357" t="s">
        <v>8161</v>
      </c>
      <c r="M357" t="s">
        <v>6652</v>
      </c>
      <c r="N357" s="2">
        <v>45657</v>
      </c>
      <c r="P357" t="str">
        <f>"Update Project Set Organisation = '"&amp;H357&amp;"' where Project_ID = '"&amp;A357&amp;"'; "</f>
        <v xml:space="preserve">Update Project Set Organisation = 'Imperial College London' where Project_ID = 'P0352'; </v>
      </c>
      <c r="Q357" t="str">
        <f>"Update Project Set Library_name = '"&amp;L357&amp;"' , COADD_ID = '"&amp;M357&amp;"' where Project_ID = '"&amp;A357&amp;"'; "</f>
        <v xml:space="preserve">Update Project Set Library_name = 'Imperial College London (United Kingdom)' , COADD_ID = 'CO-ADD:PC0352' where Project_ID = 'P0352'; </v>
      </c>
    </row>
    <row r="358" spans="1:17">
      <c r="A358" t="s">
        <v>6655</v>
      </c>
      <c r="C358" t="s">
        <v>5633</v>
      </c>
      <c r="D358" t="s">
        <v>3987</v>
      </c>
      <c r="E358" t="s">
        <v>4679</v>
      </c>
      <c r="G358" t="s">
        <v>9071</v>
      </c>
      <c r="H358" t="s">
        <v>3990</v>
      </c>
      <c r="I358" t="s">
        <v>211</v>
      </c>
      <c r="K358" t="s">
        <v>5837</v>
      </c>
      <c r="M358" t="s">
        <v>6654</v>
      </c>
      <c r="P358" t="str">
        <f>"Update Project Set Organisation = '"&amp;H358&amp;"' where Project_ID = '"&amp;A358&amp;"'; "</f>
        <v xml:space="preserve">Update Project Set Organisation = 'Sardar Patel University' where Project_ID = 'P0353'; </v>
      </c>
      <c r="Q358" t="str">
        <f>"Update Project Set Library_name = '"&amp;L358&amp;"' , COADD_ID = '"&amp;M358&amp;"' where Project_ID = '"&amp;A358&amp;"'; "</f>
        <v xml:space="preserve">Update Project Set Library_name = '' , COADD_ID = 'CO-ADD:PC0353' where Project_ID = 'P0353'; </v>
      </c>
    </row>
    <row r="359" spans="1:17">
      <c r="A359" t="s">
        <v>6657</v>
      </c>
      <c r="C359" t="s">
        <v>5633</v>
      </c>
      <c r="D359" t="s">
        <v>1786</v>
      </c>
      <c r="E359" t="s">
        <v>1901</v>
      </c>
      <c r="G359" t="s">
        <v>9004</v>
      </c>
      <c r="H359" t="s">
        <v>1790</v>
      </c>
      <c r="I359" t="s">
        <v>55</v>
      </c>
      <c r="K359" t="s">
        <v>5828</v>
      </c>
      <c r="L359" t="s">
        <v>8221</v>
      </c>
      <c r="M359" t="s">
        <v>6656</v>
      </c>
      <c r="N359" s="2">
        <v>45657</v>
      </c>
      <c r="P359" t="str">
        <f>"Update Project Set Organisation = '"&amp;H359&amp;"' where Project_ID = '"&amp;A359&amp;"'; "</f>
        <v xml:space="preserve">Update Project Set Organisation = 'Mansoura University' where Project_ID = 'P0354'; </v>
      </c>
      <c r="Q359" t="str">
        <f>"Update Project Set Library_name = '"&amp;L359&amp;"' , COADD_ID = '"&amp;M359&amp;"' where Project_ID = '"&amp;A359&amp;"'; "</f>
        <v xml:space="preserve">Update Project Set Library_name = 'Mansoura University (Egypt)' , COADD_ID = 'CO-ADD:PC0354' where Project_ID = 'P0354'; </v>
      </c>
    </row>
    <row r="360" spans="1:17">
      <c r="A360" t="s">
        <v>6660</v>
      </c>
      <c r="B360" t="s">
        <v>6659</v>
      </c>
      <c r="C360" t="s">
        <v>5633</v>
      </c>
      <c r="D360" t="s">
        <v>3128</v>
      </c>
      <c r="E360" t="s">
        <v>4739</v>
      </c>
      <c r="G360" t="s">
        <v>8949</v>
      </c>
      <c r="H360" t="s">
        <v>1327</v>
      </c>
      <c r="I360" t="s">
        <v>14</v>
      </c>
      <c r="K360" t="s">
        <v>5843</v>
      </c>
      <c r="L360" t="s">
        <v>6235</v>
      </c>
      <c r="M360" t="s">
        <v>6658</v>
      </c>
      <c r="P360" t="str">
        <f>"Update Project Set Organisation = '"&amp;H360&amp;"' where Project_ID = '"&amp;A360&amp;"'; "</f>
        <v xml:space="preserve">Update Project Set Organisation = 'Griffith University' where Project_ID = 'P0355'; </v>
      </c>
      <c r="Q360" t="str">
        <f>"Update Project Set Library_name = '"&amp;L360&amp;"' , COADD_ID = '"&amp;M360&amp;"' where Project_ID = '"&amp;A360&amp;"'; "</f>
        <v xml:space="preserve">Update Project Set Library_name = 'Griffith University Compounds Australia (Australia) - Open Library' , COADD_ID = 'CO-ADD:PL0055' where Project_ID = 'P0355'; </v>
      </c>
    </row>
    <row r="361" spans="1:17">
      <c r="A361" t="s">
        <v>6663</v>
      </c>
      <c r="C361" t="s">
        <v>5633</v>
      </c>
      <c r="D361" t="s">
        <v>2080</v>
      </c>
      <c r="E361" t="s">
        <v>4512</v>
      </c>
      <c r="F361" t="s">
        <v>3878</v>
      </c>
      <c r="G361" t="s">
        <v>8963</v>
      </c>
      <c r="H361" t="s">
        <v>3881</v>
      </c>
      <c r="I361" t="s">
        <v>117</v>
      </c>
      <c r="J361" t="s">
        <v>6662</v>
      </c>
      <c r="K361" t="s">
        <v>5828</v>
      </c>
      <c r="L361" t="s">
        <v>8208</v>
      </c>
      <c r="M361" t="s">
        <v>6661</v>
      </c>
      <c r="N361" s="2">
        <v>45657</v>
      </c>
      <c r="P361" t="str">
        <f>"Update Project Set Organisation = '"&amp;H361&amp;"' where Project_ID = '"&amp;A361&amp;"'; "</f>
        <v xml:space="preserve">Update Project Set Organisation = 'Indiana University-Purdue University Indianapolis' where Project_ID = 'P0356'; </v>
      </c>
      <c r="Q361" t="str">
        <f>"Update Project Set Library_name = '"&amp;L361&amp;"' , COADD_ID = '"&amp;M361&amp;"' where Project_ID = '"&amp;A361&amp;"'; "</f>
        <v xml:space="preserve">Update Project Set Library_name = 'Indiana University-Purdue University Indianapolis (United States)' , COADD_ID = 'CO-ADD:PC0356' where Project_ID = 'P0356'; </v>
      </c>
    </row>
    <row r="362" spans="1:17">
      <c r="A362" t="s">
        <v>6665</v>
      </c>
      <c r="C362" t="s">
        <v>5633</v>
      </c>
      <c r="D362" t="s">
        <v>988</v>
      </c>
      <c r="E362" t="s">
        <v>4890</v>
      </c>
      <c r="G362" t="s">
        <v>9134</v>
      </c>
      <c r="H362" t="s">
        <v>991</v>
      </c>
      <c r="I362" t="s">
        <v>269</v>
      </c>
      <c r="K362" t="s">
        <v>5806</v>
      </c>
      <c r="M362" t="s">
        <v>6664</v>
      </c>
      <c r="P362" t="str">
        <f>"Update Project Set Organisation = '"&amp;H362&amp;"' where Project_ID = '"&amp;A362&amp;"'; "</f>
        <v xml:space="preserve">Update Project Set Organisation = 'University of Bath' where Project_ID = 'P0357'; </v>
      </c>
      <c r="Q362" t="str">
        <f>"Update Project Set Library_name = '"&amp;L362&amp;"' , COADD_ID = '"&amp;M362&amp;"' where Project_ID = '"&amp;A362&amp;"'; "</f>
        <v xml:space="preserve">Update Project Set Library_name = '' , COADD_ID = 'CO-ADD:PC0357' where Project_ID = 'P0357'; </v>
      </c>
    </row>
    <row r="363" spans="1:17">
      <c r="A363" t="s">
        <v>6667</v>
      </c>
      <c r="C363" t="s">
        <v>5633</v>
      </c>
      <c r="D363" t="s">
        <v>3691</v>
      </c>
      <c r="E363" t="s">
        <v>4571</v>
      </c>
      <c r="F363" t="s">
        <v>3690</v>
      </c>
      <c r="G363" t="s">
        <v>9239</v>
      </c>
      <c r="H363" t="s">
        <v>3693</v>
      </c>
      <c r="I363" t="s">
        <v>75</v>
      </c>
      <c r="K363" t="s">
        <v>5843</v>
      </c>
      <c r="M363" t="s">
        <v>6666</v>
      </c>
      <c r="P363" t="str">
        <f>"Update Project Set Organisation = '"&amp;H363&amp;"' where Project_ID = '"&amp;A363&amp;"'; "</f>
        <v xml:space="preserve">Update Project Set Organisation = 'University of Waterloo' where Project_ID = 'P0358'; </v>
      </c>
      <c r="Q363" t="str">
        <f>"Update Project Set Library_name = '"&amp;L363&amp;"' , COADD_ID = '"&amp;M363&amp;"' where Project_ID = '"&amp;A363&amp;"'; "</f>
        <v xml:space="preserve">Update Project Set Library_name = '' , COADD_ID = 'CO-ADD:PC0358' where Project_ID = 'P0358'; </v>
      </c>
    </row>
    <row r="364" spans="1:17">
      <c r="A364" t="s">
        <v>6669</v>
      </c>
      <c r="C364" t="s">
        <v>5633</v>
      </c>
      <c r="D364" t="s">
        <v>622</v>
      </c>
      <c r="E364" t="s">
        <v>4157</v>
      </c>
      <c r="G364" t="s">
        <v>9036</v>
      </c>
      <c r="H364" t="s">
        <v>472</v>
      </c>
      <c r="I364" t="s">
        <v>211</v>
      </c>
      <c r="K364" t="s">
        <v>5837</v>
      </c>
      <c r="M364" t="s">
        <v>6668</v>
      </c>
      <c r="P364" t="str">
        <f>"Update Project Set Organisation = '"&amp;H364&amp;"' where Project_ID = '"&amp;A364&amp;"'; "</f>
        <v xml:space="preserve">Update Project Set Organisation = 'National Institute of Technology (NIT) Warangal' where Project_ID = 'P0359'; </v>
      </c>
      <c r="Q364" t="str">
        <f>"Update Project Set Library_name = '"&amp;L364&amp;"' , COADD_ID = '"&amp;M364&amp;"' where Project_ID = '"&amp;A364&amp;"'; "</f>
        <v xml:space="preserve">Update Project Set Library_name = '' , COADD_ID = 'CO-ADD:PC0359' where Project_ID = 'P0359'; </v>
      </c>
    </row>
    <row r="365" spans="1:17">
      <c r="A365" t="s">
        <v>6671</v>
      </c>
      <c r="C365" t="s">
        <v>5633</v>
      </c>
      <c r="D365" t="s">
        <v>5218</v>
      </c>
      <c r="E365" t="s">
        <v>5339</v>
      </c>
      <c r="F365" t="s">
        <v>5217</v>
      </c>
      <c r="G365" t="s">
        <v>9232</v>
      </c>
      <c r="H365" t="s">
        <v>5221</v>
      </c>
      <c r="I365" t="s">
        <v>117</v>
      </c>
      <c r="K365" t="s">
        <v>5843</v>
      </c>
      <c r="M365" t="s">
        <v>6670</v>
      </c>
      <c r="P365" t="str">
        <f>"Update Project Set Organisation = '"&amp;H365&amp;"' where Project_ID = '"&amp;A365&amp;"'; "</f>
        <v xml:space="preserve">Update Project Set Organisation = 'University of Utah' where Project_ID = 'P0360'; </v>
      </c>
      <c r="Q365" t="str">
        <f>"Update Project Set Library_name = '"&amp;L365&amp;"' , COADD_ID = '"&amp;M365&amp;"' where Project_ID = '"&amp;A365&amp;"'; "</f>
        <v xml:space="preserve">Update Project Set Library_name = '' , COADD_ID = 'CO-ADD:PC0360' where Project_ID = 'P0360'; </v>
      </c>
    </row>
    <row r="366" spans="1:17">
      <c r="A366" t="s">
        <v>6674</v>
      </c>
      <c r="B366" t="s">
        <v>6673</v>
      </c>
      <c r="C366" t="s">
        <v>5633</v>
      </c>
      <c r="D366" t="s">
        <v>4643</v>
      </c>
      <c r="E366" t="s">
        <v>4642</v>
      </c>
      <c r="G366" t="s">
        <v>9068</v>
      </c>
      <c r="H366" t="s">
        <v>4646</v>
      </c>
      <c r="I366" t="s">
        <v>1600</v>
      </c>
      <c r="K366" t="s">
        <v>5828</v>
      </c>
      <c r="L366" t="s">
        <v>5995</v>
      </c>
      <c r="M366" t="s">
        <v>6672</v>
      </c>
      <c r="N366" s="2">
        <v>43862</v>
      </c>
      <c r="P366" t="str">
        <f>"Update Project Set Organisation = '"&amp;H366&amp;"' where Project_ID = '"&amp;A366&amp;"'; "</f>
        <v xml:space="preserve">Update Project Set Organisation = 'Russian Academy of Science' where Project_ID = 'P0361'; </v>
      </c>
      <c r="Q366" t="str">
        <f>"Update Project Set Library_name = '"&amp;L366&amp;"' , COADD_ID = '"&amp;M366&amp;"' where Project_ID = '"&amp;A366&amp;"'; "</f>
        <v xml:space="preserve">Update Project Set Library_name = 'Russian Academy of Science (Russia)' , COADD_ID = 'CO-ADD:PC0361' where Project_ID = 'P0361'; </v>
      </c>
    </row>
    <row r="367" spans="1:17">
      <c r="A367" t="s">
        <v>6677</v>
      </c>
      <c r="B367" t="s">
        <v>6676</v>
      </c>
      <c r="C367" t="s">
        <v>5633</v>
      </c>
      <c r="D367" t="s">
        <v>4643</v>
      </c>
      <c r="E367" t="s">
        <v>4642</v>
      </c>
      <c r="G367" t="s">
        <v>9068</v>
      </c>
      <c r="H367" t="s">
        <v>4646</v>
      </c>
      <c r="I367" t="s">
        <v>1600</v>
      </c>
      <c r="K367" t="s">
        <v>5828</v>
      </c>
      <c r="L367" t="s">
        <v>5995</v>
      </c>
      <c r="M367" t="s">
        <v>6675</v>
      </c>
      <c r="N367" s="2">
        <v>43862</v>
      </c>
      <c r="P367" t="str">
        <f>"Update Project Set Organisation = '"&amp;H367&amp;"' where Project_ID = '"&amp;A367&amp;"'; "</f>
        <v xml:space="preserve">Update Project Set Organisation = 'Russian Academy of Science' where Project_ID = 'P0362'; </v>
      </c>
      <c r="Q367" t="str">
        <f>"Update Project Set Library_name = '"&amp;L367&amp;"' , COADD_ID = '"&amp;M367&amp;"' where Project_ID = '"&amp;A367&amp;"'; "</f>
        <v xml:space="preserve">Update Project Set Library_name = 'Russian Academy of Science (Russia)' , COADD_ID = 'CO-ADD:PC0362' where Project_ID = 'P0362'; </v>
      </c>
    </row>
    <row r="368" spans="1:17">
      <c r="A368" t="s">
        <v>6679</v>
      </c>
      <c r="C368" t="s">
        <v>5633</v>
      </c>
      <c r="D368" t="s">
        <v>1186</v>
      </c>
      <c r="E368" t="s">
        <v>1185</v>
      </c>
      <c r="G368" t="s">
        <v>8961</v>
      </c>
      <c r="H368" t="s">
        <v>1190</v>
      </c>
      <c r="I368" t="s">
        <v>211</v>
      </c>
      <c r="K368" t="s">
        <v>5843</v>
      </c>
      <c r="M368" t="s">
        <v>6678</v>
      </c>
      <c r="P368" t="str">
        <f>"Update Project Set Organisation = '"&amp;H368&amp;"' where Project_ID = '"&amp;A368&amp;"'; "</f>
        <v xml:space="preserve">Update Project Set Organisation = 'Indian Institute of Chemical Biology' where Project_ID = 'P0363'; </v>
      </c>
      <c r="Q368" t="str">
        <f>"Update Project Set Library_name = '"&amp;L368&amp;"' , COADD_ID = '"&amp;M368&amp;"' where Project_ID = '"&amp;A368&amp;"'; "</f>
        <v xml:space="preserve">Update Project Set Library_name = '' , COADD_ID = 'CO-ADD:PC0363' where Project_ID = 'P0363'; </v>
      </c>
    </row>
    <row r="369" spans="1:17">
      <c r="A369" t="s">
        <v>6681</v>
      </c>
      <c r="B369" t="s">
        <v>6232</v>
      </c>
      <c r="C369" t="s">
        <v>5633</v>
      </c>
      <c r="D369" t="s">
        <v>968</v>
      </c>
      <c r="E369" t="s">
        <v>2750</v>
      </c>
      <c r="G369" t="s">
        <v>8983</v>
      </c>
      <c r="H369" t="s">
        <v>971</v>
      </c>
      <c r="I369" t="s">
        <v>557</v>
      </c>
      <c r="K369" t="s">
        <v>5828</v>
      </c>
      <c r="L369" t="s">
        <v>8169</v>
      </c>
      <c r="M369" t="s">
        <v>6680</v>
      </c>
      <c r="N369" s="2">
        <v>45657</v>
      </c>
      <c r="P369" t="str">
        <f>"Update Project Set Organisation = '"&amp;H369&amp;"' where Project_ID = '"&amp;A369&amp;"'; "</f>
        <v xml:space="preserve">Update Project Set Organisation = 'Karlsruhe Institute of Technology (KIT)' where Project_ID = 'P0364'; </v>
      </c>
      <c r="Q369" t="str">
        <f>"Update Project Set Library_name = '"&amp;L369&amp;"' , COADD_ID = '"&amp;M369&amp;"' where Project_ID = '"&amp;A369&amp;"'; "</f>
        <v xml:space="preserve">Update Project Set Library_name = 'Karlsruhe Institute of Technology (KIT) (Germany)' , COADD_ID = 'CO-ADD:PC0364' where Project_ID = 'P0364'; </v>
      </c>
    </row>
    <row r="370" spans="1:17">
      <c r="A370" t="s">
        <v>6683</v>
      </c>
      <c r="B370" t="s">
        <v>5992</v>
      </c>
      <c r="C370" t="s">
        <v>5633</v>
      </c>
      <c r="D370" t="s">
        <v>645</v>
      </c>
      <c r="E370" t="s">
        <v>644</v>
      </c>
      <c r="G370" t="s">
        <v>8968</v>
      </c>
      <c r="H370" t="s">
        <v>649</v>
      </c>
      <c r="I370" t="s">
        <v>427</v>
      </c>
      <c r="K370" t="s">
        <v>5806</v>
      </c>
      <c r="M370" t="s">
        <v>6682</v>
      </c>
      <c r="P370" t="str">
        <f>"Update Project Set Organisation = '"&amp;H370&amp;"' where Project_ID = '"&amp;A370&amp;"'; "</f>
        <v xml:space="preserve">Update Project Set Organisation = 'Institute of Molecular Biology and Genetics of NASU' where Project_ID = 'P0365'; </v>
      </c>
      <c r="Q370" t="str">
        <f>"Update Project Set Library_name = '"&amp;L370&amp;"' , COADD_ID = '"&amp;M370&amp;"' where Project_ID = '"&amp;A370&amp;"'; "</f>
        <v xml:space="preserve">Update Project Set Library_name = '' , COADD_ID = 'CO-ADD:PC0365' where Project_ID = 'P0365'; </v>
      </c>
    </row>
    <row r="371" spans="1:17">
      <c r="A371" t="s">
        <v>6685</v>
      </c>
      <c r="C371" t="s">
        <v>5633</v>
      </c>
      <c r="D371" t="s">
        <v>3385</v>
      </c>
      <c r="E371" t="s">
        <v>3384</v>
      </c>
      <c r="G371" t="s">
        <v>8953</v>
      </c>
      <c r="H371" t="s">
        <v>3388</v>
      </c>
      <c r="I371" t="s">
        <v>117</v>
      </c>
      <c r="K371" t="s">
        <v>5837</v>
      </c>
      <c r="M371" t="s">
        <v>6684</v>
      </c>
      <c r="P371" t="str">
        <f>"Update Project Set Organisation = '"&amp;H371&amp;"' where Project_ID = '"&amp;A371&amp;"'; "</f>
        <v xml:space="preserve">Update Project Set Organisation = 'Hamilton College' where Project_ID = 'P0366'; </v>
      </c>
      <c r="Q371" t="str">
        <f>"Update Project Set Library_name = '"&amp;L371&amp;"' , COADD_ID = '"&amp;M371&amp;"' where Project_ID = '"&amp;A371&amp;"'; "</f>
        <v xml:space="preserve">Update Project Set Library_name = '' , COADD_ID = 'CO-ADD:PC0366' where Project_ID = 'P0366'; </v>
      </c>
    </row>
    <row r="372" spans="1:17">
      <c r="A372" t="s">
        <v>6687</v>
      </c>
      <c r="C372" t="s">
        <v>5633</v>
      </c>
      <c r="D372" t="s">
        <v>870</v>
      </c>
      <c r="E372" t="s">
        <v>869</v>
      </c>
      <c r="G372" t="s">
        <v>9231</v>
      </c>
      <c r="H372" t="s">
        <v>875</v>
      </c>
      <c r="I372" t="s">
        <v>557</v>
      </c>
      <c r="K372" t="s">
        <v>5828</v>
      </c>
      <c r="L372" t="s">
        <v>8222</v>
      </c>
      <c r="M372" t="s">
        <v>6686</v>
      </c>
      <c r="N372" s="2">
        <v>45657</v>
      </c>
      <c r="P372" t="str">
        <f>"Update Project Set Organisation = '"&amp;H372&amp;"' where Project_ID = '"&amp;A372&amp;"'; "</f>
        <v xml:space="preserve">Update Project Set Organisation = 'University of Tuebingen' where Project_ID = 'P0367'; </v>
      </c>
      <c r="Q372" t="str">
        <f>"Update Project Set Library_name = '"&amp;L372&amp;"' , COADD_ID = '"&amp;M372&amp;"' where Project_ID = '"&amp;A372&amp;"'; "</f>
        <v xml:space="preserve">Update Project Set Library_name = 'University of Tuebingen (Germany)' , COADD_ID = 'CO-ADD:PC0367' where Project_ID = 'P0367'; </v>
      </c>
    </row>
    <row r="373" spans="1:17">
      <c r="A373" t="s">
        <v>6690</v>
      </c>
      <c r="B373" t="s">
        <v>6689</v>
      </c>
      <c r="C373" t="s">
        <v>5633</v>
      </c>
      <c r="D373" t="s">
        <v>4643</v>
      </c>
      <c r="E373" t="s">
        <v>4642</v>
      </c>
      <c r="G373" t="s">
        <v>9068</v>
      </c>
      <c r="H373" t="s">
        <v>4646</v>
      </c>
      <c r="I373" t="s">
        <v>1600</v>
      </c>
      <c r="K373" t="s">
        <v>5828</v>
      </c>
      <c r="L373" t="s">
        <v>5995</v>
      </c>
      <c r="M373" t="s">
        <v>6688</v>
      </c>
      <c r="N373" s="2">
        <v>43862</v>
      </c>
      <c r="P373" t="str">
        <f>"Update Project Set Organisation = '"&amp;H373&amp;"' where Project_ID = '"&amp;A373&amp;"'; "</f>
        <v xml:space="preserve">Update Project Set Organisation = 'Russian Academy of Science' where Project_ID = 'P0368'; </v>
      </c>
      <c r="Q373" t="str">
        <f>"Update Project Set Library_name = '"&amp;L373&amp;"' , COADD_ID = '"&amp;M373&amp;"' where Project_ID = '"&amp;A373&amp;"'; "</f>
        <v xml:space="preserve">Update Project Set Library_name = 'Russian Academy of Science (Russia)' , COADD_ID = 'CO-ADD:PC0368' where Project_ID = 'P0368'; </v>
      </c>
    </row>
    <row r="374" spans="1:17">
      <c r="A374" t="s">
        <v>6693</v>
      </c>
      <c r="B374" t="s">
        <v>6692</v>
      </c>
      <c r="C374" t="s">
        <v>5633</v>
      </c>
      <c r="D374" t="s">
        <v>4643</v>
      </c>
      <c r="E374" t="s">
        <v>4642</v>
      </c>
      <c r="G374" t="s">
        <v>9068</v>
      </c>
      <c r="H374" t="s">
        <v>4646</v>
      </c>
      <c r="I374" t="s">
        <v>1600</v>
      </c>
      <c r="K374" t="s">
        <v>5828</v>
      </c>
      <c r="L374" t="s">
        <v>5995</v>
      </c>
      <c r="M374" t="s">
        <v>6691</v>
      </c>
      <c r="N374" s="2">
        <v>43862</v>
      </c>
      <c r="P374" t="str">
        <f>"Update Project Set Organisation = '"&amp;H374&amp;"' where Project_ID = '"&amp;A374&amp;"'; "</f>
        <v xml:space="preserve">Update Project Set Organisation = 'Russian Academy of Science' where Project_ID = 'P0369'; </v>
      </c>
      <c r="Q374" t="str">
        <f>"Update Project Set Library_name = '"&amp;L374&amp;"' , COADD_ID = '"&amp;M374&amp;"' where Project_ID = '"&amp;A374&amp;"'; "</f>
        <v xml:space="preserve">Update Project Set Library_name = 'Russian Academy of Science (Russia)' , COADD_ID = 'CO-ADD:PC0369' where Project_ID = 'P0369'; </v>
      </c>
    </row>
    <row r="375" spans="1:17">
      <c r="A375" t="s">
        <v>6696</v>
      </c>
      <c r="B375" t="s">
        <v>6695</v>
      </c>
      <c r="C375" t="s">
        <v>5633</v>
      </c>
      <c r="D375" t="s">
        <v>4643</v>
      </c>
      <c r="E375" t="s">
        <v>4642</v>
      </c>
      <c r="G375" t="s">
        <v>9068</v>
      </c>
      <c r="H375" t="s">
        <v>4646</v>
      </c>
      <c r="I375" t="s">
        <v>1600</v>
      </c>
      <c r="K375" t="s">
        <v>5828</v>
      </c>
      <c r="L375" t="s">
        <v>5995</v>
      </c>
      <c r="M375" t="s">
        <v>6694</v>
      </c>
      <c r="N375" s="2">
        <v>43862</v>
      </c>
      <c r="P375" t="str">
        <f>"Update Project Set Organisation = '"&amp;H375&amp;"' where Project_ID = '"&amp;A375&amp;"'; "</f>
        <v xml:space="preserve">Update Project Set Organisation = 'Russian Academy of Science' where Project_ID = 'P0370'; </v>
      </c>
      <c r="Q375" t="str">
        <f>"Update Project Set Library_name = '"&amp;L375&amp;"' , COADD_ID = '"&amp;M375&amp;"' where Project_ID = '"&amp;A375&amp;"'; "</f>
        <v xml:space="preserve">Update Project Set Library_name = 'Russian Academy of Science (Russia)' , COADD_ID = 'CO-ADD:PC0370' where Project_ID = 'P0370'; </v>
      </c>
    </row>
    <row r="376" spans="1:17">
      <c r="A376" t="s">
        <v>6699</v>
      </c>
      <c r="C376" t="s">
        <v>5633</v>
      </c>
      <c r="D376" t="s">
        <v>3219</v>
      </c>
      <c r="E376" t="s">
        <v>5388</v>
      </c>
      <c r="G376" t="s">
        <v>8874</v>
      </c>
      <c r="H376" t="s">
        <v>3222</v>
      </c>
      <c r="I376" t="s">
        <v>459</v>
      </c>
      <c r="J376" t="s">
        <v>6698</v>
      </c>
      <c r="K376" t="s">
        <v>5843</v>
      </c>
      <c r="M376" t="s">
        <v>6697</v>
      </c>
      <c r="P376" t="str">
        <f>"Update Project Set Organisation = '"&amp;H376&amp;"' where Project_ID = '"&amp;A376&amp;"'; "</f>
        <v xml:space="preserve">Update Project Set Organisation = 'Agency for Science, Technology and Research (A*STAR)' where Project_ID = 'P0371'; </v>
      </c>
      <c r="Q376" t="str">
        <f>"Update Project Set Library_name = '"&amp;L376&amp;"' , COADD_ID = '"&amp;M376&amp;"' where Project_ID = '"&amp;A376&amp;"'; "</f>
        <v xml:space="preserve">Update Project Set Library_name = '' , COADD_ID = 'CO-ADD:PC0371' where Project_ID = 'P0371'; </v>
      </c>
    </row>
    <row r="377" spans="1:17">
      <c r="A377" t="s">
        <v>6702</v>
      </c>
      <c r="C377" t="s">
        <v>5633</v>
      </c>
      <c r="D377" t="s">
        <v>5038</v>
      </c>
      <c r="E377" t="s">
        <v>5037</v>
      </c>
      <c r="G377" t="s">
        <v>9033</v>
      </c>
      <c r="H377" t="s">
        <v>5041</v>
      </c>
      <c r="I377" t="s">
        <v>5043</v>
      </c>
      <c r="K377" t="s">
        <v>5828</v>
      </c>
      <c r="L377" t="s">
        <v>6701</v>
      </c>
      <c r="M377" t="s">
        <v>6700</v>
      </c>
      <c r="N377" s="2">
        <v>43617</v>
      </c>
      <c r="P377" t="str">
        <f>"Update Project Set Organisation = '"&amp;H377&amp;"' where Project_ID = '"&amp;A377&amp;"'; "</f>
        <v xml:space="preserve">Update Project Set Organisation = 'National Institute for Chemical-Pharmaceutical Research and Development' where Project_ID = 'P0372'; </v>
      </c>
      <c r="Q377" t="str">
        <f>"Update Project Set Library_name = '"&amp;L377&amp;"' , COADD_ID = '"&amp;M377&amp;"' where Project_ID = '"&amp;A377&amp;"'; "</f>
        <v xml:space="preserve">Update Project Set Library_name = 'NCPRI (Romania)' , COADD_ID = 'CO-ADD:PC0372' where Project_ID = 'P0372'; </v>
      </c>
    </row>
    <row r="378" spans="1:17">
      <c r="A378" t="s">
        <v>6704</v>
      </c>
      <c r="C378" t="s">
        <v>5633</v>
      </c>
      <c r="D378" t="s">
        <v>2037</v>
      </c>
      <c r="E378" t="s">
        <v>2036</v>
      </c>
      <c r="G378" t="s">
        <v>8969</v>
      </c>
      <c r="H378" t="s">
        <v>2041</v>
      </c>
      <c r="I378" t="s">
        <v>1600</v>
      </c>
      <c r="K378" t="s">
        <v>5828</v>
      </c>
      <c r="L378" t="s">
        <v>8223</v>
      </c>
      <c r="M378" t="s">
        <v>6703</v>
      </c>
      <c r="N378" s="2">
        <v>45657</v>
      </c>
      <c r="P378" t="str">
        <f>"Update Project Set Organisation = '"&amp;H378&amp;"' where Project_ID = '"&amp;A378&amp;"'; "</f>
        <v xml:space="preserve">Update Project Set Organisation = 'Institute of Petrochemistry and Catalysis' where Project_ID = 'P0373'; </v>
      </c>
      <c r="Q378" t="str">
        <f>"Update Project Set Library_name = '"&amp;L378&amp;"' , COADD_ID = '"&amp;M378&amp;"' where Project_ID = '"&amp;A378&amp;"'; "</f>
        <v xml:space="preserve">Update Project Set Library_name = 'Institute of Petrochemistry and Catalysis (Russia)' , COADD_ID = 'CO-ADD:PC0373' where Project_ID = 'P0373'; </v>
      </c>
    </row>
    <row r="379" spans="1:17">
      <c r="A379" t="s">
        <v>6707</v>
      </c>
      <c r="B379" t="s">
        <v>6706</v>
      </c>
      <c r="C379" t="s">
        <v>5633</v>
      </c>
      <c r="D379" t="s">
        <v>4643</v>
      </c>
      <c r="E379" t="s">
        <v>4642</v>
      </c>
      <c r="G379" t="s">
        <v>9068</v>
      </c>
      <c r="H379" t="s">
        <v>4646</v>
      </c>
      <c r="I379" t="s">
        <v>1600</v>
      </c>
      <c r="K379" t="s">
        <v>5828</v>
      </c>
      <c r="L379" t="s">
        <v>5995</v>
      </c>
      <c r="M379" t="s">
        <v>6705</v>
      </c>
      <c r="N379" s="2">
        <v>43862</v>
      </c>
      <c r="P379" t="str">
        <f>"Update Project Set Organisation = '"&amp;H379&amp;"' where Project_ID = '"&amp;A379&amp;"'; "</f>
        <v xml:space="preserve">Update Project Set Organisation = 'Russian Academy of Science' where Project_ID = 'P0374'; </v>
      </c>
      <c r="Q379" t="str">
        <f>"Update Project Set Library_name = '"&amp;L379&amp;"' , COADD_ID = '"&amp;M379&amp;"' where Project_ID = '"&amp;A379&amp;"'; "</f>
        <v xml:space="preserve">Update Project Set Library_name = 'Russian Academy of Science (Russia)' , COADD_ID = 'CO-ADD:PC0374' where Project_ID = 'P0374'; </v>
      </c>
    </row>
    <row r="380" spans="1:17">
      <c r="A380" t="s">
        <v>6709</v>
      </c>
      <c r="C380" t="s">
        <v>5633</v>
      </c>
      <c r="D380" t="s">
        <v>2428</v>
      </c>
      <c r="E380" t="s">
        <v>2427</v>
      </c>
      <c r="G380" t="s">
        <v>9267</v>
      </c>
      <c r="H380" t="s">
        <v>2431</v>
      </c>
      <c r="I380" t="s">
        <v>117</v>
      </c>
      <c r="K380" t="s">
        <v>5843</v>
      </c>
      <c r="M380" t="s">
        <v>6708</v>
      </c>
      <c r="P380" t="str">
        <f>"Update Project Set Organisation = '"&amp;H380&amp;"' where Project_ID = '"&amp;A380&amp;"'; "</f>
        <v xml:space="preserve">Update Project Set Organisation = 'Yale University' where Project_ID = 'P0375'; </v>
      </c>
      <c r="Q380" t="str">
        <f>"Update Project Set Library_name = '"&amp;L380&amp;"' , COADD_ID = '"&amp;M380&amp;"' where Project_ID = '"&amp;A380&amp;"'; "</f>
        <v xml:space="preserve">Update Project Set Library_name = '' , COADD_ID = 'CO-ADD:PC0375' where Project_ID = 'P0375'; </v>
      </c>
    </row>
    <row r="381" spans="1:17">
      <c r="A381" t="s">
        <v>6711</v>
      </c>
      <c r="C381" t="s">
        <v>5633</v>
      </c>
      <c r="D381" t="s">
        <v>2202</v>
      </c>
      <c r="E381" t="s">
        <v>2201</v>
      </c>
      <c r="F381" t="s">
        <v>4060</v>
      </c>
      <c r="G381" t="s">
        <v>8918</v>
      </c>
      <c r="H381" t="s">
        <v>2206</v>
      </c>
      <c r="I381" t="s">
        <v>1256</v>
      </c>
      <c r="K381" t="s">
        <v>5843</v>
      </c>
      <c r="M381" t="s">
        <v>6710</v>
      </c>
      <c r="P381" t="str">
        <f>"Update Project Set Organisation = '"&amp;H381&amp;"' where Project_ID = '"&amp;A381&amp;"'; "</f>
        <v xml:space="preserve">Update Project Set Organisation = 'Consejo Superior de Investigaciones Científicas' where Project_ID = 'P0376'; </v>
      </c>
      <c r="Q381" t="str">
        <f>"Update Project Set Library_name = '"&amp;L381&amp;"' , COADD_ID = '"&amp;M381&amp;"' where Project_ID = '"&amp;A381&amp;"'; "</f>
        <v xml:space="preserve">Update Project Set Library_name = '' , COADD_ID = 'CO-ADD:PC0376' where Project_ID = 'P0376'; </v>
      </c>
    </row>
    <row r="382" spans="1:17">
      <c r="A382" t="s">
        <v>6713</v>
      </c>
      <c r="C382" t="s">
        <v>5633</v>
      </c>
      <c r="D382" t="s">
        <v>1973</v>
      </c>
      <c r="E382" t="s">
        <v>4194</v>
      </c>
      <c r="F382" t="s">
        <v>1972</v>
      </c>
      <c r="G382" t="s">
        <v>8910</v>
      </c>
      <c r="H382" t="s">
        <v>1977</v>
      </c>
      <c r="I382" t="s">
        <v>1980</v>
      </c>
      <c r="K382" t="s">
        <v>5828</v>
      </c>
      <c r="L382" t="s">
        <v>8224</v>
      </c>
      <c r="M382" t="s">
        <v>6712</v>
      </c>
      <c r="N382" s="2">
        <v>45657</v>
      </c>
      <c r="P382" t="str">
        <f>"Update Project Set Organisation = '"&amp;H382&amp;"' where Project_ID = '"&amp;A382&amp;"'; "</f>
        <v xml:space="preserve">Update Project Set Organisation = 'Ciatej AC, Conacyt' where Project_ID = 'P0377'; </v>
      </c>
      <c r="Q382" t="str">
        <f>"Update Project Set Library_name = '"&amp;L382&amp;"' , COADD_ID = '"&amp;M382&amp;"' where Project_ID = '"&amp;A382&amp;"'; "</f>
        <v xml:space="preserve">Update Project Set Library_name = 'Ciatej AC, Conacyt (Mexico)' , COADD_ID = 'CO-ADD:PC0377' where Project_ID = 'P0377'; </v>
      </c>
    </row>
    <row r="383" spans="1:17">
      <c r="A383" t="s">
        <v>6715</v>
      </c>
      <c r="C383" t="s">
        <v>5633</v>
      </c>
      <c r="D383" t="s">
        <v>1260</v>
      </c>
      <c r="E383" t="s">
        <v>1259</v>
      </c>
      <c r="G383" t="s">
        <v>9173</v>
      </c>
      <c r="H383" t="s">
        <v>1262</v>
      </c>
      <c r="I383" t="s">
        <v>117</v>
      </c>
      <c r="K383" t="s">
        <v>5828</v>
      </c>
      <c r="L383" t="s">
        <v>8188</v>
      </c>
      <c r="M383" t="s">
        <v>6714</v>
      </c>
      <c r="N383" s="2">
        <v>45657</v>
      </c>
      <c r="P383" t="str">
        <f>"Update Project Set Organisation = '"&amp;H383&amp;"' where Project_ID = '"&amp;A383&amp;"'; "</f>
        <v xml:space="preserve">Update Project Set Organisation = 'University of Nebraska Medical Center' where Project_ID = 'P0378'; </v>
      </c>
      <c r="Q383" t="str">
        <f>"Update Project Set Library_name = '"&amp;L383&amp;"' , COADD_ID = '"&amp;M383&amp;"' where Project_ID = '"&amp;A383&amp;"'; "</f>
        <v xml:space="preserve">Update Project Set Library_name = 'University of Nebraska Medical Center (United States)' , COADD_ID = 'CO-ADD:PC0378' where Project_ID = 'P0378'; </v>
      </c>
    </row>
    <row r="384" spans="1:17">
      <c r="A384" t="s">
        <v>6718</v>
      </c>
      <c r="B384" t="s">
        <v>6717</v>
      </c>
      <c r="C384" t="s">
        <v>5633</v>
      </c>
      <c r="D384" t="s">
        <v>4643</v>
      </c>
      <c r="E384" t="s">
        <v>4642</v>
      </c>
      <c r="G384" t="s">
        <v>9068</v>
      </c>
      <c r="H384" t="s">
        <v>4646</v>
      </c>
      <c r="I384" t="s">
        <v>1600</v>
      </c>
      <c r="K384" t="s">
        <v>5828</v>
      </c>
      <c r="L384" t="s">
        <v>5995</v>
      </c>
      <c r="M384" t="s">
        <v>6716</v>
      </c>
      <c r="N384" s="2">
        <v>43862</v>
      </c>
      <c r="P384" t="str">
        <f>"Update Project Set Organisation = '"&amp;H384&amp;"' where Project_ID = '"&amp;A384&amp;"'; "</f>
        <v xml:space="preserve">Update Project Set Organisation = 'Russian Academy of Science' where Project_ID = 'P0379'; </v>
      </c>
      <c r="Q384" t="str">
        <f>"Update Project Set Library_name = '"&amp;L384&amp;"' , COADD_ID = '"&amp;M384&amp;"' where Project_ID = '"&amp;A384&amp;"'; "</f>
        <v xml:space="preserve">Update Project Set Library_name = 'Russian Academy of Science (Russia)' , COADD_ID = 'CO-ADD:PC0379' where Project_ID = 'P0379'; </v>
      </c>
    </row>
    <row r="385" spans="1:17">
      <c r="A385" t="s">
        <v>6721</v>
      </c>
      <c r="B385" t="s">
        <v>6720</v>
      </c>
      <c r="C385" t="s">
        <v>5633</v>
      </c>
      <c r="D385" t="s">
        <v>4643</v>
      </c>
      <c r="E385" t="s">
        <v>4642</v>
      </c>
      <c r="G385" t="s">
        <v>9068</v>
      </c>
      <c r="H385" t="s">
        <v>4646</v>
      </c>
      <c r="I385" t="s">
        <v>1600</v>
      </c>
      <c r="K385" t="s">
        <v>5828</v>
      </c>
      <c r="L385" t="s">
        <v>5995</v>
      </c>
      <c r="M385" t="s">
        <v>6719</v>
      </c>
      <c r="N385" s="2">
        <v>45657</v>
      </c>
      <c r="P385" t="str">
        <f>"Update Project Set Organisation = '"&amp;H385&amp;"' where Project_ID = '"&amp;A385&amp;"'; "</f>
        <v xml:space="preserve">Update Project Set Organisation = 'Russian Academy of Science' where Project_ID = 'P0380'; </v>
      </c>
      <c r="Q385" t="str">
        <f>"Update Project Set Library_name = '"&amp;L385&amp;"' , COADD_ID = '"&amp;M385&amp;"' where Project_ID = '"&amp;A385&amp;"'; "</f>
        <v xml:space="preserve">Update Project Set Library_name = 'Russian Academy of Science (Russia)' , COADD_ID = 'CO-ADD:PC0380' where Project_ID = 'P0380'; </v>
      </c>
    </row>
    <row r="386" spans="1:17">
      <c r="A386" t="s">
        <v>6723</v>
      </c>
      <c r="C386" t="s">
        <v>5633</v>
      </c>
      <c r="D386" t="s">
        <v>3312</v>
      </c>
      <c r="E386" t="s">
        <v>5231</v>
      </c>
      <c r="F386" t="s">
        <v>4964</v>
      </c>
      <c r="G386" t="s">
        <v>9049</v>
      </c>
      <c r="H386" t="s">
        <v>3315</v>
      </c>
      <c r="I386" t="s">
        <v>1600</v>
      </c>
      <c r="K386" t="s">
        <v>5828</v>
      </c>
      <c r="L386" t="s">
        <v>8182</v>
      </c>
      <c r="M386" t="s">
        <v>6722</v>
      </c>
      <c r="N386" s="2">
        <v>45657</v>
      </c>
      <c r="P386" t="str">
        <f>"Update Project Set Organisation = '"&amp;H386&amp;"' where Project_ID = '"&amp;A386&amp;"'; "</f>
        <v xml:space="preserve">Update Project Set Organisation = 'Novosibirsk Institute of Organic Chemistry' where Project_ID = 'P0381'; </v>
      </c>
      <c r="Q386" t="str">
        <f>"Update Project Set Library_name = '"&amp;L386&amp;"' , COADD_ID = '"&amp;M386&amp;"' where Project_ID = '"&amp;A386&amp;"'; "</f>
        <v xml:space="preserve">Update Project Set Library_name = 'Novosibirsk Institute of Organic Chemistry (Russia)' , COADD_ID = 'CO-ADD:PC0381' where Project_ID = 'P0381'; </v>
      </c>
    </row>
    <row r="387" spans="1:17">
      <c r="A387" t="s">
        <v>6725</v>
      </c>
      <c r="C387" t="s">
        <v>5633</v>
      </c>
      <c r="D387" t="s">
        <v>1695</v>
      </c>
      <c r="E387" t="s">
        <v>1694</v>
      </c>
      <c r="G387" t="s">
        <v>9269</v>
      </c>
      <c r="H387" t="s">
        <v>1699</v>
      </c>
      <c r="I387" t="s">
        <v>1701</v>
      </c>
      <c r="K387" t="s">
        <v>5843</v>
      </c>
      <c r="M387" t="s">
        <v>6724</v>
      </c>
      <c r="P387" t="str">
        <f>"Update Project Set Organisation = '"&amp;H387&amp;"' where Project_ID = '"&amp;A387&amp;"'; "</f>
        <v xml:space="preserve">Update Project Set Organisation = 'Yerevan State University' where Project_ID = 'P0382'; </v>
      </c>
      <c r="Q387" t="str">
        <f>"Update Project Set Library_name = '"&amp;L387&amp;"' , COADD_ID = '"&amp;M387&amp;"' where Project_ID = '"&amp;A387&amp;"'; "</f>
        <v xml:space="preserve">Update Project Set Library_name = '' , COADD_ID = 'CO-ADD:PC0382' where Project_ID = 'P0382'; </v>
      </c>
    </row>
    <row r="388" spans="1:17">
      <c r="A388" t="s">
        <v>6728</v>
      </c>
      <c r="B388" t="s">
        <v>6727</v>
      </c>
      <c r="C388" t="s">
        <v>5633</v>
      </c>
      <c r="D388" t="s">
        <v>4643</v>
      </c>
      <c r="E388" t="s">
        <v>4642</v>
      </c>
      <c r="G388" t="s">
        <v>9068</v>
      </c>
      <c r="H388" t="s">
        <v>4646</v>
      </c>
      <c r="I388" t="s">
        <v>1600</v>
      </c>
      <c r="K388" t="s">
        <v>5828</v>
      </c>
      <c r="L388" t="s">
        <v>5995</v>
      </c>
      <c r="M388" t="s">
        <v>6726</v>
      </c>
      <c r="N388" s="2">
        <v>43862</v>
      </c>
      <c r="P388" t="str">
        <f>"Update Project Set Organisation = '"&amp;H388&amp;"' where Project_ID = '"&amp;A388&amp;"'; "</f>
        <v xml:space="preserve">Update Project Set Organisation = 'Russian Academy of Science' where Project_ID = 'P0383'; </v>
      </c>
      <c r="Q388" t="str">
        <f>"Update Project Set Library_name = '"&amp;L388&amp;"' , COADD_ID = '"&amp;M388&amp;"' where Project_ID = '"&amp;A388&amp;"'; "</f>
        <v xml:space="preserve">Update Project Set Library_name = 'Russian Academy of Science (Russia)' , COADD_ID = 'CO-ADD:PC0383' where Project_ID = 'P0383'; </v>
      </c>
    </row>
    <row r="389" spans="1:17">
      <c r="A389" t="s">
        <v>6730</v>
      </c>
      <c r="C389" t="s">
        <v>5633</v>
      </c>
      <c r="D389" t="s">
        <v>2537</v>
      </c>
      <c r="E389" t="s">
        <v>2536</v>
      </c>
      <c r="F389" t="s">
        <v>4446</v>
      </c>
      <c r="G389" t="s">
        <v>9174</v>
      </c>
      <c r="H389" t="s">
        <v>1262</v>
      </c>
      <c r="I389" t="s">
        <v>117</v>
      </c>
      <c r="K389" t="s">
        <v>5843</v>
      </c>
      <c r="M389" t="s">
        <v>6729</v>
      </c>
      <c r="P389" t="str">
        <f>"Update Project Set Organisation = '"&amp;H389&amp;"' where Project_ID = '"&amp;A389&amp;"'; "</f>
        <v xml:space="preserve">Update Project Set Organisation = 'University of Nebraska Medical Center' where Project_ID = 'P0384'; </v>
      </c>
      <c r="Q389" t="str">
        <f>"Update Project Set Library_name = '"&amp;L389&amp;"' , COADD_ID = '"&amp;M389&amp;"' where Project_ID = '"&amp;A389&amp;"'; "</f>
        <v xml:space="preserve">Update Project Set Library_name = '' , COADD_ID = 'CO-ADD:PC0384' where Project_ID = 'P0384'; </v>
      </c>
    </row>
    <row r="390" spans="1:17">
      <c r="A390" t="s">
        <v>6732</v>
      </c>
      <c r="C390" t="s">
        <v>5633</v>
      </c>
      <c r="D390" t="s">
        <v>578</v>
      </c>
      <c r="E390" t="s">
        <v>577</v>
      </c>
      <c r="F390" t="s">
        <v>5271</v>
      </c>
      <c r="G390" t="s">
        <v>9075</v>
      </c>
      <c r="H390" t="s">
        <v>582</v>
      </c>
      <c r="I390" t="s">
        <v>117</v>
      </c>
      <c r="K390" t="s">
        <v>5828</v>
      </c>
      <c r="L390" t="s">
        <v>8225</v>
      </c>
      <c r="M390" t="s">
        <v>6731</v>
      </c>
      <c r="N390" s="2">
        <v>45657</v>
      </c>
      <c r="P390" t="str">
        <f>"Update Project Set Organisation = '"&amp;H390&amp;"' where Project_ID = '"&amp;A390&amp;"'; "</f>
        <v xml:space="preserve">Update Project Set Organisation = 'Scripps Research Institute' where Project_ID = 'P0385'; </v>
      </c>
      <c r="Q390" t="str">
        <f>"Update Project Set Library_name = '"&amp;L390&amp;"' , COADD_ID = '"&amp;M390&amp;"' where Project_ID = '"&amp;A390&amp;"'; "</f>
        <v xml:space="preserve">Update Project Set Library_name = 'Scripps Research Institute (United States)' , COADD_ID = 'CO-ADD:PC0385' where Project_ID = 'P0385'; </v>
      </c>
    </row>
    <row r="391" spans="1:17">
      <c r="A391" t="s">
        <v>6734</v>
      </c>
      <c r="C391" t="s">
        <v>5633</v>
      </c>
      <c r="D391" t="s">
        <v>3660</v>
      </c>
      <c r="E391" t="s">
        <v>3659</v>
      </c>
      <c r="G391" t="s">
        <v>9188</v>
      </c>
      <c r="H391" t="s">
        <v>3663</v>
      </c>
      <c r="I391" t="s">
        <v>269</v>
      </c>
      <c r="K391" t="s">
        <v>5828</v>
      </c>
      <c r="L391" t="s">
        <v>8207</v>
      </c>
      <c r="M391" t="s">
        <v>6733</v>
      </c>
      <c r="N391" s="2">
        <v>45657</v>
      </c>
      <c r="P391" t="str">
        <f>"Update Project Set Organisation = '"&amp;H391&amp;"' where Project_ID = '"&amp;A391&amp;"'; "</f>
        <v xml:space="preserve">Update Project Set Organisation = 'University of Oxford' where Project_ID = 'P0386'; </v>
      </c>
      <c r="Q391" t="str">
        <f>"Update Project Set Library_name = '"&amp;L391&amp;"' , COADD_ID = '"&amp;M391&amp;"' where Project_ID = '"&amp;A391&amp;"'; "</f>
        <v xml:space="preserve">Update Project Set Library_name = 'University of Oxford (United Kingdom)' , COADD_ID = 'CO-ADD:PC0386' where Project_ID = 'P0386'; </v>
      </c>
    </row>
    <row r="392" spans="1:17">
      <c r="A392" t="s">
        <v>6736</v>
      </c>
      <c r="C392" t="s">
        <v>5633</v>
      </c>
      <c r="D392" t="s">
        <v>143</v>
      </c>
      <c r="E392" t="s">
        <v>142</v>
      </c>
      <c r="G392" t="s">
        <v>8883</v>
      </c>
      <c r="H392" t="s">
        <v>92</v>
      </c>
      <c r="I392" t="s">
        <v>55</v>
      </c>
      <c r="K392" t="s">
        <v>5806</v>
      </c>
      <c r="M392" t="s">
        <v>6735</v>
      </c>
      <c r="P392" t="str">
        <f>"Update Project Set Organisation = '"&amp;H392&amp;"' where Project_ID = '"&amp;A392&amp;"'; "</f>
        <v xml:space="preserve">Update Project Set Organisation = 'Assiut University' where Project_ID = 'P0387'; </v>
      </c>
      <c r="Q392" t="str">
        <f>"Update Project Set Library_name = '"&amp;L392&amp;"' , COADD_ID = '"&amp;M392&amp;"' where Project_ID = '"&amp;A392&amp;"'; "</f>
        <v xml:space="preserve">Update Project Set Library_name = '' , COADD_ID = 'CO-ADD:PC0387' where Project_ID = 'P0387'; </v>
      </c>
    </row>
    <row r="393" spans="1:17">
      <c r="A393" t="s">
        <v>6738</v>
      </c>
      <c r="C393" t="s">
        <v>5633</v>
      </c>
      <c r="D393" t="s">
        <v>227</v>
      </c>
      <c r="E393" t="s">
        <v>226</v>
      </c>
      <c r="G393" t="s">
        <v>8936</v>
      </c>
      <c r="H393" t="s">
        <v>231</v>
      </c>
      <c r="I393" t="s">
        <v>234</v>
      </c>
      <c r="K393" t="s">
        <v>5828</v>
      </c>
      <c r="L393" t="s">
        <v>8226</v>
      </c>
      <c r="M393" t="s">
        <v>6737</v>
      </c>
      <c r="N393" s="2">
        <v>45657</v>
      </c>
      <c r="P393" t="str">
        <f>"Update Project Set Organisation = '"&amp;H393&amp;"' where Project_ID = '"&amp;A393&amp;"'; "</f>
        <v xml:space="preserve">Update Project Set Organisation = 'Federal University of ABC (UFABC)' where Project_ID = 'P0388'; </v>
      </c>
      <c r="Q393" t="str">
        <f>"Update Project Set Library_name = '"&amp;L393&amp;"' , COADD_ID = '"&amp;M393&amp;"' where Project_ID = '"&amp;A393&amp;"'; "</f>
        <v xml:space="preserve">Update Project Set Library_name = 'Federal University of ABC (UFABC) (Brazil)' , COADD_ID = 'CO-ADD:PC0388' where Project_ID = 'P0388'; </v>
      </c>
    </row>
    <row r="394" spans="1:17">
      <c r="A394" t="s">
        <v>6740</v>
      </c>
      <c r="C394" t="s">
        <v>5633</v>
      </c>
      <c r="D394" t="s">
        <v>1367</v>
      </c>
      <c r="E394" t="s">
        <v>1366</v>
      </c>
      <c r="F394" t="s">
        <v>1996</v>
      </c>
      <c r="G394" t="s">
        <v>9200</v>
      </c>
      <c r="H394" t="s">
        <v>362</v>
      </c>
      <c r="I394" t="s">
        <v>14</v>
      </c>
      <c r="K394" t="s">
        <v>5843</v>
      </c>
      <c r="M394" t="s">
        <v>6739</v>
      </c>
      <c r="P394" t="str">
        <f>"Update Project Set Organisation = '"&amp;H394&amp;"' where Project_ID = '"&amp;A394&amp;"'; "</f>
        <v xml:space="preserve">Update Project Set Organisation = 'University of Queensland' where Project_ID = 'P0389'; </v>
      </c>
      <c r="Q394" t="str">
        <f>"Update Project Set Library_name = '"&amp;L394&amp;"' , COADD_ID = '"&amp;M394&amp;"' where Project_ID = '"&amp;A394&amp;"'; "</f>
        <v xml:space="preserve">Update Project Set Library_name = '' , COADD_ID = 'CO-ADD:PC0389' where Project_ID = 'P0389'; </v>
      </c>
    </row>
    <row r="395" spans="1:17">
      <c r="A395" t="s">
        <v>6742</v>
      </c>
      <c r="C395" t="s">
        <v>5633</v>
      </c>
      <c r="D395" t="s">
        <v>3660</v>
      </c>
      <c r="E395" t="s">
        <v>3659</v>
      </c>
      <c r="G395" t="s">
        <v>9188</v>
      </c>
      <c r="H395" t="s">
        <v>3663</v>
      </c>
      <c r="I395" t="s">
        <v>269</v>
      </c>
      <c r="K395" t="s">
        <v>5837</v>
      </c>
      <c r="M395" t="s">
        <v>6741</v>
      </c>
      <c r="P395" t="str">
        <f>"Update Project Set Organisation = '"&amp;H395&amp;"' where Project_ID = '"&amp;A395&amp;"'; "</f>
        <v xml:space="preserve">Update Project Set Organisation = 'University of Oxford' where Project_ID = 'P0390'; </v>
      </c>
      <c r="Q395" t="str">
        <f>"Update Project Set Library_name = '"&amp;L395&amp;"' , COADD_ID = '"&amp;M395&amp;"' where Project_ID = '"&amp;A395&amp;"'; "</f>
        <v xml:space="preserve">Update Project Set Library_name = '' , COADD_ID = 'CO-ADD:PC0390' where Project_ID = 'P0390'; </v>
      </c>
    </row>
    <row r="396" spans="1:17">
      <c r="A396" t="s">
        <v>6744</v>
      </c>
      <c r="C396" t="s">
        <v>5633</v>
      </c>
      <c r="D396" t="s">
        <v>1786</v>
      </c>
      <c r="E396" t="s">
        <v>1901</v>
      </c>
      <c r="G396" t="s">
        <v>9004</v>
      </c>
      <c r="H396" t="s">
        <v>1790</v>
      </c>
      <c r="I396" t="s">
        <v>55</v>
      </c>
      <c r="K396" t="s">
        <v>5828</v>
      </c>
      <c r="L396" t="s">
        <v>8221</v>
      </c>
      <c r="M396" t="s">
        <v>6743</v>
      </c>
      <c r="N396" s="2">
        <v>45657</v>
      </c>
      <c r="P396" t="str">
        <f>"Update Project Set Organisation = '"&amp;H396&amp;"' where Project_ID = '"&amp;A396&amp;"'; "</f>
        <v xml:space="preserve">Update Project Set Organisation = 'Mansoura University' where Project_ID = 'P0391'; </v>
      </c>
      <c r="Q396" t="str">
        <f>"Update Project Set Library_name = '"&amp;L396&amp;"' , COADD_ID = '"&amp;M396&amp;"' where Project_ID = '"&amp;A396&amp;"'; "</f>
        <v xml:space="preserve">Update Project Set Library_name = 'Mansoura University (Egypt)' , COADD_ID = 'CO-ADD:PC0391' where Project_ID = 'P0391'; </v>
      </c>
    </row>
    <row r="397" spans="1:17">
      <c r="A397" t="s">
        <v>6746</v>
      </c>
      <c r="C397" t="s">
        <v>5633</v>
      </c>
      <c r="D397" t="s">
        <v>2981</v>
      </c>
      <c r="E397" t="s">
        <v>3098</v>
      </c>
      <c r="F397" t="s">
        <v>4373</v>
      </c>
      <c r="G397" t="s">
        <v>9201</v>
      </c>
      <c r="H397" t="s">
        <v>362</v>
      </c>
      <c r="I397" t="s">
        <v>14</v>
      </c>
      <c r="K397" t="s">
        <v>5828</v>
      </c>
      <c r="L397" t="s">
        <v>5922</v>
      </c>
      <c r="M397" t="s">
        <v>6745</v>
      </c>
      <c r="N397" s="2">
        <v>45657</v>
      </c>
      <c r="P397" t="str">
        <f>"Update Project Set Organisation = '"&amp;H397&amp;"' where Project_ID = '"&amp;A397&amp;"'; "</f>
        <v xml:space="preserve">Update Project Set Organisation = 'University of Queensland' where Project_ID = 'P0392'; </v>
      </c>
      <c r="Q397" t="str">
        <f>"Update Project Set Library_name = '"&amp;L397&amp;"' , COADD_ID = '"&amp;M397&amp;"' where Project_ID = '"&amp;A397&amp;"'; "</f>
        <v xml:space="preserve">Update Project Set Library_name = 'University of Queensland (Australia)' , COADD_ID = 'CO-ADD:PC0392' where Project_ID = 'P0392'; </v>
      </c>
    </row>
    <row r="398" spans="1:17">
      <c r="A398" t="s">
        <v>6749</v>
      </c>
      <c r="B398" t="s">
        <v>6748</v>
      </c>
      <c r="C398" t="s">
        <v>5633</v>
      </c>
      <c r="D398" t="s">
        <v>4643</v>
      </c>
      <c r="E398" t="s">
        <v>4642</v>
      </c>
      <c r="G398" t="s">
        <v>9068</v>
      </c>
      <c r="H398" t="s">
        <v>4646</v>
      </c>
      <c r="I398" t="s">
        <v>1600</v>
      </c>
      <c r="K398" t="s">
        <v>5828</v>
      </c>
      <c r="L398" t="s">
        <v>5995</v>
      </c>
      <c r="M398" t="s">
        <v>6747</v>
      </c>
      <c r="N398" s="2">
        <v>43862</v>
      </c>
      <c r="P398" t="str">
        <f>"Update Project Set Organisation = '"&amp;H398&amp;"' where Project_ID = '"&amp;A398&amp;"'; "</f>
        <v xml:space="preserve">Update Project Set Organisation = 'Russian Academy of Science' where Project_ID = 'P0393'; </v>
      </c>
      <c r="Q398" t="str">
        <f>"Update Project Set Library_name = '"&amp;L398&amp;"' , COADD_ID = '"&amp;M398&amp;"' where Project_ID = '"&amp;A398&amp;"'; "</f>
        <v xml:space="preserve">Update Project Set Library_name = 'Russian Academy of Science (Russia)' , COADD_ID = 'CO-ADD:PC0393' where Project_ID = 'P0393'; </v>
      </c>
    </row>
    <row r="399" spans="1:17">
      <c r="A399" t="s">
        <v>6752</v>
      </c>
      <c r="B399" t="s">
        <v>6751</v>
      </c>
      <c r="C399" t="s">
        <v>5633</v>
      </c>
      <c r="D399" t="s">
        <v>4643</v>
      </c>
      <c r="E399" t="s">
        <v>4642</v>
      </c>
      <c r="G399" t="s">
        <v>9068</v>
      </c>
      <c r="H399" t="s">
        <v>4646</v>
      </c>
      <c r="I399" t="s">
        <v>1600</v>
      </c>
      <c r="K399" t="s">
        <v>5828</v>
      </c>
      <c r="L399" t="s">
        <v>5995</v>
      </c>
      <c r="M399" t="s">
        <v>6750</v>
      </c>
      <c r="N399" s="2">
        <v>43862</v>
      </c>
      <c r="P399" t="str">
        <f>"Update Project Set Organisation = '"&amp;H399&amp;"' where Project_ID = '"&amp;A399&amp;"'; "</f>
        <v xml:space="preserve">Update Project Set Organisation = 'Russian Academy of Science' where Project_ID = 'P0394'; </v>
      </c>
      <c r="Q399" t="str">
        <f>"Update Project Set Library_name = '"&amp;L399&amp;"' , COADD_ID = '"&amp;M399&amp;"' where Project_ID = '"&amp;A399&amp;"'; "</f>
        <v xml:space="preserve">Update Project Set Library_name = 'Russian Academy of Science (Russia)' , COADD_ID = 'CO-ADD:PC0394' where Project_ID = 'P0394'; </v>
      </c>
    </row>
    <row r="400" spans="1:17">
      <c r="A400" t="s">
        <v>6755</v>
      </c>
      <c r="B400" t="s">
        <v>6754</v>
      </c>
      <c r="C400" t="s">
        <v>5633</v>
      </c>
      <c r="D400" t="s">
        <v>4643</v>
      </c>
      <c r="E400" t="s">
        <v>4642</v>
      </c>
      <c r="G400" t="s">
        <v>9068</v>
      </c>
      <c r="H400" t="s">
        <v>4646</v>
      </c>
      <c r="I400" t="s">
        <v>1600</v>
      </c>
      <c r="K400" t="s">
        <v>5828</v>
      </c>
      <c r="L400" t="s">
        <v>5995</v>
      </c>
      <c r="M400" t="s">
        <v>6753</v>
      </c>
      <c r="N400" s="2">
        <v>43862</v>
      </c>
      <c r="P400" t="str">
        <f>"Update Project Set Organisation = '"&amp;H400&amp;"' where Project_ID = '"&amp;A400&amp;"'; "</f>
        <v xml:space="preserve">Update Project Set Organisation = 'Russian Academy of Science' where Project_ID = 'P0395'; </v>
      </c>
      <c r="Q400" t="str">
        <f>"Update Project Set Library_name = '"&amp;L400&amp;"' , COADD_ID = '"&amp;M400&amp;"' where Project_ID = '"&amp;A400&amp;"'; "</f>
        <v xml:space="preserve">Update Project Set Library_name = 'Russian Academy of Science (Russia)' , COADD_ID = 'CO-ADD:PC0395' where Project_ID = 'P0395'; </v>
      </c>
    </row>
    <row r="401" spans="1:17">
      <c r="A401" t="s">
        <v>6757</v>
      </c>
      <c r="C401" t="s">
        <v>5633</v>
      </c>
      <c r="D401" t="s">
        <v>3586</v>
      </c>
      <c r="E401" t="s">
        <v>3585</v>
      </c>
      <c r="G401" t="s">
        <v>9116</v>
      </c>
      <c r="H401" t="s">
        <v>1234</v>
      </c>
      <c r="I401" t="s">
        <v>1235</v>
      </c>
      <c r="K401" t="s">
        <v>5843</v>
      </c>
      <c r="M401" t="s">
        <v>6756</v>
      </c>
      <c r="P401" t="str">
        <f>"Update Project Set Organisation = '"&amp;H401&amp;"' where Project_ID = '"&amp;A401&amp;"'; "</f>
        <v xml:space="preserve">Update Project Set Organisation = 'University College Cork' where Project_ID = 'P0396'; </v>
      </c>
      <c r="Q401" t="str">
        <f>"Update Project Set Library_name = '"&amp;L401&amp;"' , COADD_ID = '"&amp;M401&amp;"' where Project_ID = '"&amp;A401&amp;"'; "</f>
        <v xml:space="preserve">Update Project Set Library_name = '' , COADD_ID = 'CO-ADD:PC0396' where Project_ID = 'P0396'; </v>
      </c>
    </row>
    <row r="402" spans="1:17">
      <c r="A402" t="s">
        <v>6760</v>
      </c>
      <c r="B402" t="s">
        <v>6759</v>
      </c>
      <c r="C402" t="s">
        <v>5633</v>
      </c>
      <c r="D402" t="s">
        <v>4643</v>
      </c>
      <c r="E402" t="s">
        <v>4642</v>
      </c>
      <c r="G402" t="s">
        <v>9068</v>
      </c>
      <c r="H402" t="s">
        <v>4646</v>
      </c>
      <c r="I402" t="s">
        <v>1600</v>
      </c>
      <c r="K402" t="s">
        <v>5828</v>
      </c>
      <c r="L402" t="s">
        <v>5995</v>
      </c>
      <c r="M402" t="s">
        <v>6758</v>
      </c>
      <c r="N402" s="2">
        <v>43862</v>
      </c>
      <c r="P402" t="str">
        <f>"Update Project Set Organisation = '"&amp;H402&amp;"' where Project_ID = '"&amp;A402&amp;"'; "</f>
        <v xml:space="preserve">Update Project Set Organisation = 'Russian Academy of Science' where Project_ID = 'P0397'; </v>
      </c>
      <c r="Q402" t="str">
        <f>"Update Project Set Library_name = '"&amp;L402&amp;"' , COADD_ID = '"&amp;M402&amp;"' where Project_ID = '"&amp;A402&amp;"'; "</f>
        <v xml:space="preserve">Update Project Set Library_name = 'Russian Academy of Science (Russia)' , COADD_ID = 'CO-ADD:PC0397' where Project_ID = 'P0397'; </v>
      </c>
    </row>
    <row r="403" spans="1:17">
      <c r="A403" t="s">
        <v>6762</v>
      </c>
      <c r="C403" t="s">
        <v>5633</v>
      </c>
      <c r="D403" t="s">
        <v>3896</v>
      </c>
      <c r="E403" t="s">
        <v>3895</v>
      </c>
      <c r="G403" t="s">
        <v>9057</v>
      </c>
      <c r="H403" t="s">
        <v>3899</v>
      </c>
      <c r="I403" t="s">
        <v>848</v>
      </c>
      <c r="K403" t="s">
        <v>5828</v>
      </c>
      <c r="L403" t="s">
        <v>8227</v>
      </c>
      <c r="M403" t="s">
        <v>6761</v>
      </c>
      <c r="N403" s="2">
        <v>45657</v>
      </c>
      <c r="P403" t="str">
        <f>"Update Project Set Organisation = '"&amp;H403&amp;"' where Project_ID = '"&amp;A403&amp;"'; "</f>
        <v xml:space="preserve">Update Project Set Organisation = 'Polish Academy of Sciences' where Project_ID = 'P0398'; </v>
      </c>
      <c r="Q403" t="str">
        <f>"Update Project Set Library_name = '"&amp;L403&amp;"' , COADD_ID = '"&amp;M403&amp;"' where Project_ID = '"&amp;A403&amp;"'; "</f>
        <v xml:space="preserve">Update Project Set Library_name = 'Polish Academy of Sciences (Poland)' , COADD_ID = 'CO-ADD:PC0398' where Project_ID = 'P0398'; </v>
      </c>
    </row>
    <row r="404" spans="1:17">
      <c r="A404" t="s">
        <v>6764</v>
      </c>
      <c r="C404" t="s">
        <v>5633</v>
      </c>
      <c r="D404" t="s">
        <v>166</v>
      </c>
      <c r="E404" t="s">
        <v>795</v>
      </c>
      <c r="G404" t="s">
        <v>9124</v>
      </c>
      <c r="H404" t="s">
        <v>169</v>
      </c>
      <c r="I404" t="s">
        <v>14</v>
      </c>
      <c r="K404" t="s">
        <v>5828</v>
      </c>
      <c r="L404" t="s">
        <v>8228</v>
      </c>
      <c r="M404" t="s">
        <v>6763</v>
      </c>
      <c r="N404" s="2">
        <v>45657</v>
      </c>
      <c r="P404" t="str">
        <f>"Update Project Set Organisation = '"&amp;H404&amp;"' where Project_ID = '"&amp;A404&amp;"'; "</f>
        <v xml:space="preserve">Update Project Set Organisation = 'University of Adelaide' where Project_ID = 'P0399'; </v>
      </c>
      <c r="Q404" t="str">
        <f>"Update Project Set Library_name = '"&amp;L404&amp;"' , COADD_ID = '"&amp;M404&amp;"' where Project_ID = '"&amp;A404&amp;"'; "</f>
        <v xml:space="preserve">Update Project Set Library_name = 'University of Adelaide (Australia)' , COADD_ID = 'CO-ADD:PC0399' where Project_ID = 'P0399'; </v>
      </c>
    </row>
    <row r="405" spans="1:17">
      <c r="A405" t="s">
        <v>6766</v>
      </c>
      <c r="C405" t="s">
        <v>5633</v>
      </c>
      <c r="D405" t="s">
        <v>195</v>
      </c>
      <c r="E405" t="s">
        <v>1610</v>
      </c>
      <c r="G405" t="s">
        <v>8875</v>
      </c>
      <c r="H405" t="s">
        <v>199</v>
      </c>
      <c r="I405" t="s">
        <v>55</v>
      </c>
      <c r="K405" t="s">
        <v>5828</v>
      </c>
      <c r="L405" t="s">
        <v>8229</v>
      </c>
      <c r="M405" t="s">
        <v>6765</v>
      </c>
      <c r="N405" s="2">
        <v>45657</v>
      </c>
      <c r="P405" t="str">
        <f>"Update Project Set Organisation = '"&amp;H405&amp;"' where Project_ID = '"&amp;A405&amp;"'; "</f>
        <v xml:space="preserve">Update Project Set Organisation = 'Ain Shams University' where Project_ID = 'P0400'; </v>
      </c>
      <c r="Q405" t="str">
        <f>"Update Project Set Library_name = '"&amp;L405&amp;"' , COADD_ID = '"&amp;M405&amp;"' where Project_ID = '"&amp;A405&amp;"'; "</f>
        <v xml:space="preserve">Update Project Set Library_name = 'Ain Shams University (Egypt)' , COADD_ID = 'CO-ADD:PC0400' where Project_ID = 'P0400'; </v>
      </c>
    </row>
    <row r="406" spans="1:17">
      <c r="A406" t="s">
        <v>6768</v>
      </c>
      <c r="C406" t="s">
        <v>5633</v>
      </c>
      <c r="D406" t="s">
        <v>5362</v>
      </c>
      <c r="E406" t="s">
        <v>5361</v>
      </c>
      <c r="G406" t="s">
        <v>8966</v>
      </c>
      <c r="H406" t="s">
        <v>5365</v>
      </c>
      <c r="I406" t="s">
        <v>459</v>
      </c>
      <c r="K406" t="s">
        <v>5843</v>
      </c>
      <c r="M406" t="s">
        <v>6767</v>
      </c>
      <c r="P406" t="str">
        <f>"Update Project Set Organisation = '"&amp;H406&amp;"' where Project_ID = '"&amp;A406&amp;"'; "</f>
        <v xml:space="preserve">Update Project Set Organisation = 'Institute of Bioengineering and Nanotechnology' where Project_ID = 'P0401'; </v>
      </c>
      <c r="Q406" t="str">
        <f>"Update Project Set Library_name = '"&amp;L406&amp;"' , COADD_ID = '"&amp;M406&amp;"' where Project_ID = '"&amp;A406&amp;"'; "</f>
        <v xml:space="preserve">Update Project Set Library_name = '' , COADD_ID = 'CO-ADD:PC0401' where Project_ID = 'P0401'; </v>
      </c>
    </row>
    <row r="407" spans="1:17">
      <c r="A407" t="s">
        <v>6771</v>
      </c>
      <c r="B407" t="s">
        <v>6770</v>
      </c>
      <c r="C407" t="s">
        <v>5633</v>
      </c>
      <c r="D407" t="s">
        <v>4643</v>
      </c>
      <c r="E407" t="s">
        <v>4642</v>
      </c>
      <c r="G407" t="s">
        <v>9068</v>
      </c>
      <c r="H407" t="s">
        <v>4646</v>
      </c>
      <c r="I407" t="s">
        <v>1600</v>
      </c>
      <c r="K407" t="s">
        <v>5828</v>
      </c>
      <c r="L407" t="s">
        <v>5995</v>
      </c>
      <c r="M407" t="s">
        <v>6769</v>
      </c>
      <c r="N407" s="2">
        <v>43862</v>
      </c>
      <c r="P407" t="str">
        <f>"Update Project Set Organisation = '"&amp;H407&amp;"' where Project_ID = '"&amp;A407&amp;"'; "</f>
        <v xml:space="preserve">Update Project Set Organisation = 'Russian Academy of Science' where Project_ID = 'P0402'; </v>
      </c>
      <c r="Q407" t="str">
        <f>"Update Project Set Library_name = '"&amp;L407&amp;"' , COADD_ID = '"&amp;M407&amp;"' where Project_ID = '"&amp;A407&amp;"'; "</f>
        <v xml:space="preserve">Update Project Set Library_name = 'Russian Academy of Science (Russia)' , COADD_ID = 'CO-ADD:PC0402' where Project_ID = 'P0402'; </v>
      </c>
    </row>
    <row r="408" spans="1:17">
      <c r="A408" t="s">
        <v>6774</v>
      </c>
      <c r="B408" t="s">
        <v>6773</v>
      </c>
      <c r="C408" t="s">
        <v>5633</v>
      </c>
      <c r="D408" t="s">
        <v>4643</v>
      </c>
      <c r="E408" t="s">
        <v>4642</v>
      </c>
      <c r="G408" t="s">
        <v>9068</v>
      </c>
      <c r="H408" t="s">
        <v>4646</v>
      </c>
      <c r="I408" t="s">
        <v>1600</v>
      </c>
      <c r="K408" t="s">
        <v>5828</v>
      </c>
      <c r="L408" t="s">
        <v>5995</v>
      </c>
      <c r="M408" t="s">
        <v>6772</v>
      </c>
      <c r="N408" s="2">
        <v>43862</v>
      </c>
      <c r="P408" t="str">
        <f>"Update Project Set Organisation = '"&amp;H408&amp;"' where Project_ID = '"&amp;A408&amp;"'; "</f>
        <v xml:space="preserve">Update Project Set Organisation = 'Russian Academy of Science' where Project_ID = 'P0403'; </v>
      </c>
      <c r="Q408" t="str">
        <f>"Update Project Set Library_name = '"&amp;L408&amp;"' , COADD_ID = '"&amp;M408&amp;"' where Project_ID = '"&amp;A408&amp;"'; "</f>
        <v xml:space="preserve">Update Project Set Library_name = 'Russian Academy of Science (Russia)' , COADD_ID = 'CO-ADD:PC0403' where Project_ID = 'P0403'; </v>
      </c>
    </row>
    <row r="409" spans="1:17">
      <c r="A409" t="s">
        <v>6776</v>
      </c>
      <c r="C409" t="s">
        <v>5633</v>
      </c>
      <c r="D409" t="s">
        <v>3730</v>
      </c>
      <c r="E409" t="s">
        <v>3729</v>
      </c>
      <c r="G409" t="s">
        <v>8933</v>
      </c>
      <c r="H409" t="s">
        <v>823</v>
      </c>
      <c r="I409" t="s">
        <v>253</v>
      </c>
      <c r="K409" t="s">
        <v>5828</v>
      </c>
      <c r="L409" t="s">
        <v>8177</v>
      </c>
      <c r="M409" t="s">
        <v>6775</v>
      </c>
      <c r="N409" s="2">
        <v>45657</v>
      </c>
      <c r="P409" t="str">
        <f>"Update Project Set Organisation = '"&amp;H409&amp;"' where Project_ID = '"&amp;A409&amp;"'; "</f>
        <v xml:space="preserve">Update Project Set Organisation = 'ETH Zurich' where Project_ID = 'P0404'; </v>
      </c>
      <c r="Q409" t="str">
        <f>"Update Project Set Library_name = '"&amp;L409&amp;"' , COADD_ID = '"&amp;M409&amp;"' where Project_ID = '"&amp;A409&amp;"'; "</f>
        <v xml:space="preserve">Update Project Set Library_name = 'ETH Zurich (Switzerland)' , COADD_ID = 'CO-ADD:PC0404' where Project_ID = 'P0404'; </v>
      </c>
    </row>
    <row r="410" spans="1:17">
      <c r="A410" t="s">
        <v>6778</v>
      </c>
      <c r="B410" t="s">
        <v>6022</v>
      </c>
      <c r="C410" t="s">
        <v>5633</v>
      </c>
      <c r="D410" t="s">
        <v>645</v>
      </c>
      <c r="E410" t="s">
        <v>644</v>
      </c>
      <c r="G410" t="s">
        <v>8968</v>
      </c>
      <c r="H410" t="s">
        <v>649</v>
      </c>
      <c r="I410" t="s">
        <v>427</v>
      </c>
      <c r="K410" t="s">
        <v>5806</v>
      </c>
      <c r="M410" t="s">
        <v>6777</v>
      </c>
      <c r="P410" t="str">
        <f>"Update Project Set Organisation = '"&amp;H410&amp;"' where Project_ID = '"&amp;A410&amp;"'; "</f>
        <v xml:space="preserve">Update Project Set Organisation = 'Institute of Molecular Biology and Genetics of NASU' where Project_ID = 'P0405'; </v>
      </c>
      <c r="Q410" t="str">
        <f>"Update Project Set Library_name = '"&amp;L410&amp;"' , COADD_ID = '"&amp;M410&amp;"' where Project_ID = '"&amp;A410&amp;"'; "</f>
        <v xml:space="preserve">Update Project Set Library_name = '' , COADD_ID = 'CO-ADD:PC0405' where Project_ID = 'P0405'; </v>
      </c>
    </row>
    <row r="411" spans="1:17">
      <c r="A411" t="s">
        <v>6780</v>
      </c>
      <c r="C411" t="s">
        <v>5633</v>
      </c>
      <c r="D411" t="s">
        <v>1877</v>
      </c>
      <c r="E411" t="s">
        <v>1876</v>
      </c>
      <c r="G411" t="s">
        <v>8943</v>
      </c>
      <c r="H411" t="s">
        <v>1881</v>
      </c>
      <c r="I411" t="s">
        <v>117</v>
      </c>
      <c r="K411" t="s">
        <v>5828</v>
      </c>
      <c r="L411" t="s">
        <v>8230</v>
      </c>
      <c r="M411" t="s">
        <v>6779</v>
      </c>
      <c r="N411" s="2">
        <v>45657</v>
      </c>
      <c r="P411" t="str">
        <f>"Update Project Set Organisation = '"&amp;H411&amp;"' where Project_ID = '"&amp;A411&amp;"'; "</f>
        <v xml:space="preserve">Update Project Set Organisation = 'Goshen College' where Project_ID = 'P0406'; </v>
      </c>
      <c r="Q411" t="str">
        <f>"Update Project Set Library_name = '"&amp;L411&amp;"' , COADD_ID = '"&amp;M411&amp;"' where Project_ID = '"&amp;A411&amp;"'; "</f>
        <v xml:space="preserve">Update Project Set Library_name = 'Goshen College (United States)' , COADD_ID = 'CO-ADD:PC0406' where Project_ID = 'P0406'; </v>
      </c>
    </row>
    <row r="412" spans="1:17">
      <c r="A412" t="s">
        <v>6782</v>
      </c>
      <c r="B412" t="s">
        <v>6387</v>
      </c>
      <c r="C412" t="s">
        <v>5633</v>
      </c>
      <c r="D412" t="s">
        <v>1664</v>
      </c>
      <c r="E412" t="s">
        <v>1663</v>
      </c>
      <c r="F412" t="s">
        <v>2637</v>
      </c>
      <c r="G412" t="s">
        <v>9016</v>
      </c>
      <c r="H412" t="s">
        <v>1667</v>
      </c>
      <c r="I412" t="s">
        <v>1600</v>
      </c>
      <c r="K412" t="s">
        <v>5828</v>
      </c>
      <c r="L412" t="s">
        <v>8219</v>
      </c>
      <c r="M412" t="s">
        <v>6781</v>
      </c>
      <c r="N412" s="2">
        <v>45657</v>
      </c>
      <c r="P412" t="str">
        <f>"Update Project Set Organisation = '"&amp;H412&amp;"' where Project_ID = '"&amp;A412&amp;"'; "</f>
        <v xml:space="preserve">Update Project Set Organisation = 'Mendeleev University of Chemical Technology of Russia' where Project_ID = 'P0407'; </v>
      </c>
      <c r="Q412" t="str">
        <f>"Update Project Set Library_name = '"&amp;L412&amp;"' , COADD_ID = '"&amp;M412&amp;"' where Project_ID = '"&amp;A412&amp;"'; "</f>
        <v xml:space="preserve">Update Project Set Library_name = 'Mendeleev University of Chemical Technology of Russia (Russia)' , COADD_ID = 'CO-ADD:PC0407' where Project_ID = 'P0407'; </v>
      </c>
    </row>
    <row r="413" spans="1:17">
      <c r="A413" t="s">
        <v>6784</v>
      </c>
      <c r="C413" t="s">
        <v>5633</v>
      </c>
      <c r="D413" t="s">
        <v>1908</v>
      </c>
      <c r="E413" t="s">
        <v>5204</v>
      </c>
      <c r="G413" t="s">
        <v>9058</v>
      </c>
      <c r="H413" t="s">
        <v>371</v>
      </c>
      <c r="I413" t="s">
        <v>14</v>
      </c>
      <c r="K413" t="s">
        <v>5843</v>
      </c>
      <c r="M413" t="s">
        <v>6783</v>
      </c>
      <c r="P413" t="str">
        <f>"Update Project Set Organisation = '"&amp;H413&amp;"' where Project_ID = '"&amp;A413&amp;"'; "</f>
        <v xml:space="preserve">Update Project Set Organisation = 'Queensland University of Technology' where Project_ID = 'P0408'; </v>
      </c>
      <c r="Q413" t="str">
        <f>"Update Project Set Library_name = '"&amp;L413&amp;"' , COADD_ID = '"&amp;M413&amp;"' where Project_ID = '"&amp;A413&amp;"'; "</f>
        <v xml:space="preserve">Update Project Set Library_name = '' , COADD_ID = 'CO-ADD:PC0408' where Project_ID = 'P0408'; </v>
      </c>
    </row>
    <row r="414" spans="1:17">
      <c r="A414" t="s">
        <v>6786</v>
      </c>
      <c r="C414" t="s">
        <v>5633</v>
      </c>
      <c r="D414" t="s">
        <v>925</v>
      </c>
      <c r="E414" t="s">
        <v>5171</v>
      </c>
      <c r="G414" t="s">
        <v>9063</v>
      </c>
      <c r="H414" t="s">
        <v>929</v>
      </c>
      <c r="I414" t="s">
        <v>14</v>
      </c>
      <c r="K414" t="s">
        <v>5806</v>
      </c>
      <c r="M414" t="s">
        <v>6785</v>
      </c>
      <c r="P414" t="str">
        <f>"Update Project Set Organisation = '"&amp;H414&amp;"' where Project_ID = '"&amp;A414&amp;"'; "</f>
        <v xml:space="preserve">Update Project Set Organisation = 'RMIT University' where Project_ID = 'P0409'; </v>
      </c>
      <c r="Q414" t="str">
        <f>"Update Project Set Library_name = '"&amp;L414&amp;"' , COADD_ID = '"&amp;M414&amp;"' where Project_ID = '"&amp;A414&amp;"'; "</f>
        <v xml:space="preserve">Update Project Set Library_name = '' , COADD_ID = 'CO-ADD:PC0409' where Project_ID = 'P0409'; </v>
      </c>
    </row>
    <row r="415" spans="1:17">
      <c r="A415" t="s">
        <v>6789</v>
      </c>
      <c r="B415" t="s">
        <v>6788</v>
      </c>
      <c r="C415" t="s">
        <v>5633</v>
      </c>
      <c r="D415" t="s">
        <v>4643</v>
      </c>
      <c r="E415" t="s">
        <v>4642</v>
      </c>
      <c r="G415" t="s">
        <v>9068</v>
      </c>
      <c r="H415" t="s">
        <v>4646</v>
      </c>
      <c r="I415" t="s">
        <v>1600</v>
      </c>
      <c r="K415" t="s">
        <v>5828</v>
      </c>
      <c r="L415" t="s">
        <v>5995</v>
      </c>
      <c r="M415" t="s">
        <v>6787</v>
      </c>
      <c r="N415" s="2">
        <v>43862</v>
      </c>
      <c r="P415" t="str">
        <f>"Update Project Set Organisation = '"&amp;H415&amp;"' where Project_ID = '"&amp;A415&amp;"'; "</f>
        <v xml:space="preserve">Update Project Set Organisation = 'Russian Academy of Science' where Project_ID = 'P0410'; </v>
      </c>
      <c r="Q415" t="str">
        <f>"Update Project Set Library_name = '"&amp;L415&amp;"' , COADD_ID = '"&amp;M415&amp;"' where Project_ID = '"&amp;A415&amp;"'; "</f>
        <v xml:space="preserve">Update Project Set Library_name = 'Russian Academy of Science (Russia)' , COADD_ID = 'CO-ADD:PC0410' where Project_ID = 'P0410'; </v>
      </c>
    </row>
    <row r="416" spans="1:17">
      <c r="A416" t="s">
        <v>6791</v>
      </c>
      <c r="C416" t="s">
        <v>5633</v>
      </c>
      <c r="D416" t="s">
        <v>513</v>
      </c>
      <c r="E416" t="s">
        <v>4739</v>
      </c>
      <c r="G416" t="s">
        <v>9021</v>
      </c>
      <c r="H416" t="s">
        <v>517</v>
      </c>
      <c r="I416" t="s">
        <v>14</v>
      </c>
      <c r="K416" t="s">
        <v>5828</v>
      </c>
      <c r="L416" t="s">
        <v>8212</v>
      </c>
      <c r="M416" t="s">
        <v>6790</v>
      </c>
      <c r="N416" s="2">
        <v>45657</v>
      </c>
      <c r="P416" t="str">
        <f>"Update Project Set Organisation = '"&amp;H416&amp;"' where Project_ID = '"&amp;A416&amp;"'; "</f>
        <v xml:space="preserve">Update Project Set Organisation = 'Monash University' where Project_ID = 'P0411'; </v>
      </c>
      <c r="Q416" t="str">
        <f>"Update Project Set Library_name = '"&amp;L416&amp;"' , COADD_ID = '"&amp;M416&amp;"' where Project_ID = '"&amp;A416&amp;"'; "</f>
        <v xml:space="preserve">Update Project Set Library_name = 'Monash University (Australia)' , COADD_ID = 'CO-ADD:PC0411' where Project_ID = 'P0411'; </v>
      </c>
    </row>
    <row r="417" spans="1:17">
      <c r="A417" t="s">
        <v>6793</v>
      </c>
      <c r="C417" t="s">
        <v>5633</v>
      </c>
      <c r="D417" t="s">
        <v>5389</v>
      </c>
      <c r="E417" t="s">
        <v>5388</v>
      </c>
      <c r="G417" t="s">
        <v>9227</v>
      </c>
      <c r="H417" t="s">
        <v>5390</v>
      </c>
      <c r="I417" t="s">
        <v>14</v>
      </c>
      <c r="K417" t="s">
        <v>5828</v>
      </c>
      <c r="L417" t="s">
        <v>8231</v>
      </c>
      <c r="M417" t="s">
        <v>6792</v>
      </c>
      <c r="N417" s="2">
        <v>45657</v>
      </c>
      <c r="P417" t="str">
        <f>"Update Project Set Organisation = '"&amp;H417&amp;"' where Project_ID = '"&amp;A417&amp;"'; "</f>
        <v xml:space="preserve">Update Project Set Organisation = 'University of the Sunshine Coast' where Project_ID = 'P0412'; </v>
      </c>
      <c r="Q417" t="str">
        <f>"Update Project Set Library_name = '"&amp;L417&amp;"' , COADD_ID = '"&amp;M417&amp;"' where Project_ID = '"&amp;A417&amp;"'; "</f>
        <v xml:space="preserve">Update Project Set Library_name = 'University of the Sunshine Coast (Australia)' , COADD_ID = 'CO-ADD:PC0412' where Project_ID = 'P0412'; </v>
      </c>
    </row>
    <row r="418" spans="1:17">
      <c r="A418" t="s">
        <v>6795</v>
      </c>
      <c r="C418" t="s">
        <v>5633</v>
      </c>
      <c r="D418" t="s">
        <v>143</v>
      </c>
      <c r="E418" t="s">
        <v>142</v>
      </c>
      <c r="G418" t="s">
        <v>8883</v>
      </c>
      <c r="H418" t="s">
        <v>92</v>
      </c>
      <c r="I418" t="s">
        <v>55</v>
      </c>
      <c r="K418" t="s">
        <v>5828</v>
      </c>
      <c r="L418" t="s">
        <v>8232</v>
      </c>
      <c r="M418" t="s">
        <v>6794</v>
      </c>
      <c r="N418" s="2">
        <v>45657</v>
      </c>
      <c r="P418" t="str">
        <f>"Update Project Set Organisation = '"&amp;H418&amp;"' where Project_ID = '"&amp;A418&amp;"'; "</f>
        <v xml:space="preserve">Update Project Set Organisation = 'Assiut University' where Project_ID = 'P0413'; </v>
      </c>
      <c r="Q418" t="str">
        <f>"Update Project Set Library_name = '"&amp;L418&amp;"' , COADD_ID = '"&amp;M418&amp;"' where Project_ID = '"&amp;A418&amp;"'; "</f>
        <v xml:space="preserve">Update Project Set Library_name = 'Assiut University (Egypt)' , COADD_ID = 'CO-ADD:PC0413' where Project_ID = 'P0413'; </v>
      </c>
    </row>
    <row r="419" spans="1:17">
      <c r="A419" t="s">
        <v>6797</v>
      </c>
      <c r="C419" t="s">
        <v>5633</v>
      </c>
      <c r="D419" t="s">
        <v>1152</v>
      </c>
      <c r="E419" t="s">
        <v>4452</v>
      </c>
      <c r="F419" t="s">
        <v>1151</v>
      </c>
      <c r="G419" t="s">
        <v>9237</v>
      </c>
      <c r="H419" t="s">
        <v>1154</v>
      </c>
      <c r="I419" t="s">
        <v>269</v>
      </c>
      <c r="K419" t="s">
        <v>5828</v>
      </c>
      <c r="L419" t="s">
        <v>8233</v>
      </c>
      <c r="M419" t="s">
        <v>6796</v>
      </c>
      <c r="N419" s="2">
        <v>45657</v>
      </c>
      <c r="P419" t="str">
        <f>"Update Project Set Organisation = '"&amp;H419&amp;"' where Project_ID = '"&amp;A419&amp;"'; "</f>
        <v xml:space="preserve">Update Project Set Organisation = 'University of Warwick' where Project_ID = 'P0414'; </v>
      </c>
      <c r="Q419" t="str">
        <f>"Update Project Set Library_name = '"&amp;L419&amp;"' , COADD_ID = '"&amp;M419&amp;"' where Project_ID = '"&amp;A419&amp;"'; "</f>
        <v xml:space="preserve">Update Project Set Library_name = 'University of Warwick (United Kingdom)' , COADD_ID = 'CO-ADD:PC0414' where Project_ID = 'P0414'; </v>
      </c>
    </row>
    <row r="420" spans="1:17">
      <c r="A420" t="s">
        <v>6799</v>
      </c>
      <c r="C420" t="s">
        <v>5633</v>
      </c>
      <c r="D420" t="s">
        <v>613</v>
      </c>
      <c r="E420" t="s">
        <v>3712</v>
      </c>
      <c r="F420" t="s">
        <v>612</v>
      </c>
      <c r="G420" t="s">
        <v>8990</v>
      </c>
      <c r="H420" t="s">
        <v>616</v>
      </c>
      <c r="I420" t="s">
        <v>14</v>
      </c>
      <c r="K420" t="s">
        <v>5843</v>
      </c>
      <c r="M420" t="s">
        <v>6798</v>
      </c>
      <c r="P420" t="str">
        <f>"Update Project Set Organisation = '"&amp;H420&amp;"' where Project_ID = '"&amp;A420&amp;"'; "</f>
        <v xml:space="preserve">Update Project Set Organisation = 'La Trobe University' where Project_ID = 'P0415'; </v>
      </c>
      <c r="Q420" t="str">
        <f>"Update Project Set Library_name = '"&amp;L420&amp;"' , COADD_ID = '"&amp;M420&amp;"' where Project_ID = '"&amp;A420&amp;"'; "</f>
        <v xml:space="preserve">Update Project Set Library_name = '' , COADD_ID = 'CO-ADD:PC0415' where Project_ID = 'P0415'; </v>
      </c>
    </row>
    <row r="421" spans="1:17">
      <c r="A421" t="s">
        <v>6802</v>
      </c>
      <c r="B421" t="s">
        <v>6801</v>
      </c>
      <c r="C421" t="s">
        <v>5633</v>
      </c>
      <c r="D421" t="s">
        <v>4643</v>
      </c>
      <c r="E421" t="s">
        <v>4642</v>
      </c>
      <c r="G421" t="s">
        <v>9068</v>
      </c>
      <c r="H421" t="s">
        <v>4646</v>
      </c>
      <c r="I421" t="s">
        <v>1600</v>
      </c>
      <c r="K421" t="s">
        <v>5828</v>
      </c>
      <c r="L421" t="s">
        <v>5995</v>
      </c>
      <c r="M421" t="s">
        <v>6800</v>
      </c>
      <c r="N421" s="2">
        <v>43862</v>
      </c>
      <c r="P421" t="str">
        <f>"Update Project Set Organisation = '"&amp;H421&amp;"' where Project_ID = '"&amp;A421&amp;"'; "</f>
        <v xml:space="preserve">Update Project Set Organisation = 'Russian Academy of Science' where Project_ID = 'P0416'; </v>
      </c>
      <c r="Q421" t="str">
        <f>"Update Project Set Library_name = '"&amp;L421&amp;"' , COADD_ID = '"&amp;M421&amp;"' where Project_ID = '"&amp;A421&amp;"'; "</f>
        <v xml:space="preserve">Update Project Set Library_name = 'Russian Academy of Science (Russia)' , COADD_ID = 'CO-ADD:PC0416' where Project_ID = 'P0416'; </v>
      </c>
    </row>
    <row r="422" spans="1:17">
      <c r="A422" t="s">
        <v>6805</v>
      </c>
      <c r="B422" t="s">
        <v>6804</v>
      </c>
      <c r="C422" t="s">
        <v>5633</v>
      </c>
      <c r="D422" t="s">
        <v>4643</v>
      </c>
      <c r="E422" t="s">
        <v>4642</v>
      </c>
      <c r="G422" t="s">
        <v>9068</v>
      </c>
      <c r="H422" t="s">
        <v>4646</v>
      </c>
      <c r="I422" t="s">
        <v>1600</v>
      </c>
      <c r="K422" t="s">
        <v>5828</v>
      </c>
      <c r="L422" t="s">
        <v>5995</v>
      </c>
      <c r="M422" t="s">
        <v>6803</v>
      </c>
      <c r="N422" s="2">
        <v>43862</v>
      </c>
      <c r="P422" t="str">
        <f>"Update Project Set Organisation = '"&amp;H422&amp;"' where Project_ID = '"&amp;A422&amp;"'; "</f>
        <v xml:space="preserve">Update Project Set Organisation = 'Russian Academy of Science' where Project_ID = 'P0417'; </v>
      </c>
      <c r="Q422" t="str">
        <f>"Update Project Set Library_name = '"&amp;L422&amp;"' , COADD_ID = '"&amp;M422&amp;"' where Project_ID = '"&amp;A422&amp;"'; "</f>
        <v xml:space="preserve">Update Project Set Library_name = 'Russian Academy of Science (Russia)' , COADD_ID = 'CO-ADD:PC0417' where Project_ID = 'P0417'; </v>
      </c>
    </row>
    <row r="423" spans="1:17">
      <c r="A423" t="s">
        <v>6807</v>
      </c>
      <c r="C423" t="s">
        <v>5633</v>
      </c>
      <c r="D423" t="s">
        <v>769</v>
      </c>
      <c r="E423" t="s">
        <v>2155</v>
      </c>
      <c r="G423" t="s">
        <v>8954</v>
      </c>
      <c r="H423" t="s">
        <v>8151</v>
      </c>
      <c r="I423" t="s">
        <v>704</v>
      </c>
      <c r="K423" t="s">
        <v>5843</v>
      </c>
      <c r="M423" t="s">
        <v>6806</v>
      </c>
      <c r="P423" t="str">
        <f>"Update Project Set Organisation = '"&amp;H423&amp;"' where Project_ID = '"&amp;A423&amp;"'; "</f>
        <v xml:space="preserve">Update Project Set Organisation = 'Hautes Etudes Ingénieur (HEI)' where Project_ID = 'P0418'; </v>
      </c>
      <c r="Q423" t="str">
        <f>"Update Project Set Library_name = '"&amp;L423&amp;"' , COADD_ID = '"&amp;M423&amp;"' where Project_ID = '"&amp;A423&amp;"'; "</f>
        <v xml:space="preserve">Update Project Set Library_name = '' , COADD_ID = 'CO-ADD:PC0418' where Project_ID = 'P0418'; </v>
      </c>
    </row>
    <row r="424" spans="1:17">
      <c r="A424" t="s">
        <v>6809</v>
      </c>
      <c r="C424" t="s">
        <v>5633</v>
      </c>
      <c r="D424" t="s">
        <v>1856</v>
      </c>
      <c r="E424" t="s">
        <v>2619</v>
      </c>
      <c r="G424" t="s">
        <v>8877</v>
      </c>
      <c r="H424" t="s">
        <v>160</v>
      </c>
      <c r="I424" t="s">
        <v>55</v>
      </c>
      <c r="K424" t="s">
        <v>5828</v>
      </c>
      <c r="L424" t="s">
        <v>8234</v>
      </c>
      <c r="M424" t="s">
        <v>6808</v>
      </c>
      <c r="N424" s="2">
        <v>45657</v>
      </c>
      <c r="P424" t="str">
        <f>"Update Project Set Organisation = '"&amp;H424&amp;"' where Project_ID = '"&amp;A424&amp;"'; "</f>
        <v xml:space="preserve">Update Project Set Organisation = 'Al-Azhar University' where Project_ID = 'P0419'; </v>
      </c>
      <c r="Q424" t="str">
        <f>"Update Project Set Library_name = '"&amp;L424&amp;"' , COADD_ID = '"&amp;M424&amp;"' where Project_ID = '"&amp;A424&amp;"'; "</f>
        <v xml:space="preserve">Update Project Set Library_name = 'Al-Azhar University (Egypt)' , COADD_ID = 'CO-ADD:PC0419' where Project_ID = 'P0419'; </v>
      </c>
    </row>
    <row r="425" spans="1:17">
      <c r="A425" t="s">
        <v>6811</v>
      </c>
      <c r="C425" t="s">
        <v>5633</v>
      </c>
      <c r="D425" t="s">
        <v>743</v>
      </c>
      <c r="E425" t="s">
        <v>742</v>
      </c>
      <c r="F425" t="s">
        <v>3237</v>
      </c>
      <c r="G425" t="s">
        <v>9268</v>
      </c>
      <c r="H425" t="s">
        <v>746</v>
      </c>
      <c r="I425" t="s">
        <v>748</v>
      </c>
      <c r="K425" t="s">
        <v>5828</v>
      </c>
      <c r="L425" t="s">
        <v>6524</v>
      </c>
      <c r="M425" t="s">
        <v>6810</v>
      </c>
      <c r="N425" s="2">
        <v>45657</v>
      </c>
      <c r="P425" t="str">
        <f>"Update Project Set Organisation = '"&amp;H425&amp;"' where Project_ID = '"&amp;A425&amp;"'; "</f>
        <v xml:space="preserve">Update Project Set Organisation = 'Yantai University' where Project_ID = 'P0420'; </v>
      </c>
      <c r="Q425" t="str">
        <f>"Update Project Set Library_name = '"&amp;L425&amp;"' , COADD_ID = '"&amp;M425&amp;"' where Project_ID = '"&amp;A425&amp;"'; "</f>
        <v xml:space="preserve">Update Project Set Library_name = 'Yantai University (China)' , COADD_ID = 'CO-ADD:PC0420' where Project_ID = 'P0420'; </v>
      </c>
    </row>
    <row r="426" spans="1:17">
      <c r="A426" t="s">
        <v>6813</v>
      </c>
      <c r="C426" t="s">
        <v>5633</v>
      </c>
      <c r="D426" t="s">
        <v>2786</v>
      </c>
      <c r="E426" t="s">
        <v>2785</v>
      </c>
      <c r="G426" t="s">
        <v>9202</v>
      </c>
      <c r="H426" t="s">
        <v>362</v>
      </c>
      <c r="I426" t="s">
        <v>14</v>
      </c>
      <c r="K426" t="s">
        <v>5843</v>
      </c>
      <c r="M426" t="s">
        <v>6812</v>
      </c>
      <c r="P426" t="str">
        <f>"Update Project Set Organisation = '"&amp;H426&amp;"' where Project_ID = '"&amp;A426&amp;"'; "</f>
        <v xml:space="preserve">Update Project Set Organisation = 'University of Queensland' where Project_ID = 'P0421'; </v>
      </c>
      <c r="Q426" t="str">
        <f>"Update Project Set Library_name = '"&amp;L426&amp;"' , COADD_ID = '"&amp;M426&amp;"' where Project_ID = '"&amp;A426&amp;"'; "</f>
        <v xml:space="preserve">Update Project Set Library_name = '' , COADD_ID = 'CO-ADD:PC0421' where Project_ID = 'P0421'; </v>
      </c>
    </row>
    <row r="427" spans="1:17">
      <c r="A427" t="s">
        <v>6816</v>
      </c>
      <c r="B427" t="s">
        <v>6815</v>
      </c>
      <c r="C427" t="s">
        <v>5633</v>
      </c>
      <c r="D427" t="s">
        <v>4643</v>
      </c>
      <c r="E427" t="s">
        <v>4642</v>
      </c>
      <c r="G427" t="s">
        <v>9068</v>
      </c>
      <c r="H427" t="s">
        <v>4646</v>
      </c>
      <c r="I427" t="s">
        <v>1600</v>
      </c>
      <c r="K427" t="s">
        <v>5828</v>
      </c>
      <c r="L427" t="s">
        <v>5995</v>
      </c>
      <c r="M427" t="s">
        <v>6814</v>
      </c>
      <c r="N427" s="2">
        <v>43862</v>
      </c>
      <c r="P427" t="str">
        <f>"Update Project Set Organisation = '"&amp;H427&amp;"' where Project_ID = '"&amp;A427&amp;"'; "</f>
        <v xml:space="preserve">Update Project Set Organisation = 'Russian Academy of Science' where Project_ID = 'P0422'; </v>
      </c>
      <c r="Q427" t="str">
        <f>"Update Project Set Library_name = '"&amp;L427&amp;"' , COADD_ID = '"&amp;M427&amp;"' where Project_ID = '"&amp;A427&amp;"'; "</f>
        <v xml:space="preserve">Update Project Set Library_name = 'Russian Academy of Science (Russia)' , COADD_ID = 'CO-ADD:PC0422' where Project_ID = 'P0422'; </v>
      </c>
    </row>
    <row r="428" spans="1:17">
      <c r="A428" t="s">
        <v>6819</v>
      </c>
      <c r="B428" t="s">
        <v>6818</v>
      </c>
      <c r="C428" t="s">
        <v>5633</v>
      </c>
      <c r="D428" t="s">
        <v>578</v>
      </c>
      <c r="E428" t="s">
        <v>577</v>
      </c>
      <c r="F428" t="s">
        <v>5271</v>
      </c>
      <c r="G428" t="s">
        <v>9075</v>
      </c>
      <c r="H428" t="s">
        <v>582</v>
      </c>
      <c r="I428" t="s">
        <v>117</v>
      </c>
      <c r="K428" t="s">
        <v>5828</v>
      </c>
      <c r="L428" t="s">
        <v>8225</v>
      </c>
      <c r="M428" t="s">
        <v>6817</v>
      </c>
      <c r="N428" s="2">
        <v>45657</v>
      </c>
      <c r="P428" t="str">
        <f>"Update Project Set Organisation = '"&amp;H428&amp;"' where Project_ID = '"&amp;A428&amp;"'; "</f>
        <v xml:space="preserve">Update Project Set Organisation = 'Scripps Research Institute' where Project_ID = 'P0423'; </v>
      </c>
      <c r="Q428" t="str">
        <f>"Update Project Set Library_name = '"&amp;L428&amp;"' , COADD_ID = '"&amp;M428&amp;"' where Project_ID = '"&amp;A428&amp;"'; "</f>
        <v xml:space="preserve">Update Project Set Library_name = 'Scripps Research Institute (United States)' , COADD_ID = 'CO-ADD:PC0423' where Project_ID = 'P0423'; </v>
      </c>
    </row>
    <row r="429" spans="1:17">
      <c r="A429" t="s">
        <v>6822</v>
      </c>
      <c r="B429" t="s">
        <v>6821</v>
      </c>
      <c r="C429" t="s">
        <v>5633</v>
      </c>
      <c r="D429" t="s">
        <v>2886</v>
      </c>
      <c r="E429" t="s">
        <v>2885</v>
      </c>
      <c r="G429" t="s">
        <v>9246</v>
      </c>
      <c r="H429" t="s">
        <v>1422</v>
      </c>
      <c r="I429" t="s">
        <v>14</v>
      </c>
      <c r="K429" t="s">
        <v>5806</v>
      </c>
      <c r="M429" t="s">
        <v>6820</v>
      </c>
      <c r="P429" t="str">
        <f>"Update Project Set Organisation = '"&amp;H429&amp;"' where Project_ID = '"&amp;A429&amp;"'; "</f>
        <v xml:space="preserve">Update Project Set Organisation = 'University of Wollongong' where Project_ID = 'P0424'; </v>
      </c>
      <c r="Q429" t="str">
        <f>"Update Project Set Library_name = '"&amp;L429&amp;"' , COADD_ID = '"&amp;M429&amp;"' where Project_ID = '"&amp;A429&amp;"'; "</f>
        <v xml:space="preserve">Update Project Set Library_name = '' , COADD_ID = 'CO-ADD:PC0424' where Project_ID = 'P0424'; </v>
      </c>
    </row>
    <row r="430" spans="1:17">
      <c r="A430" t="s">
        <v>6824</v>
      </c>
      <c r="C430" t="s">
        <v>5633</v>
      </c>
      <c r="D430" t="s">
        <v>2187</v>
      </c>
      <c r="E430" t="s">
        <v>3742</v>
      </c>
      <c r="G430" t="s">
        <v>9000</v>
      </c>
      <c r="H430" t="s">
        <v>2189</v>
      </c>
      <c r="I430" t="s">
        <v>211</v>
      </c>
      <c r="K430" t="s">
        <v>5828</v>
      </c>
      <c r="L430" t="s">
        <v>8235</v>
      </c>
      <c r="M430" t="s">
        <v>6823</v>
      </c>
      <c r="N430" s="2">
        <v>45657</v>
      </c>
      <c r="P430" t="str">
        <f>"Update Project Set Organisation = '"&amp;H430&amp;"' where Project_ID = '"&amp;A430&amp;"'; "</f>
        <v xml:space="preserve">Update Project Set Organisation = 'Maharaja Krishnakumarsinhji Bhavnagar University' where Project_ID = 'P0425'; </v>
      </c>
      <c r="Q430" t="str">
        <f>"Update Project Set Library_name = '"&amp;L430&amp;"' , COADD_ID = '"&amp;M430&amp;"' where Project_ID = '"&amp;A430&amp;"'; "</f>
        <v xml:space="preserve">Update Project Set Library_name = 'Maharaja Krishnakumarsinhji Bhavnagar University (India)' , COADD_ID = 'CO-ADD:PC0425' where Project_ID = 'P0425'; </v>
      </c>
    </row>
    <row r="431" spans="1:17">
      <c r="A431" t="s">
        <v>6826</v>
      </c>
      <c r="C431" t="s">
        <v>5633</v>
      </c>
      <c r="D431" t="s">
        <v>2194</v>
      </c>
      <c r="E431" t="s">
        <v>3360</v>
      </c>
      <c r="G431" t="s">
        <v>9194</v>
      </c>
      <c r="H431" t="s">
        <v>362</v>
      </c>
      <c r="I431" t="s">
        <v>14</v>
      </c>
      <c r="K431" t="s">
        <v>5828</v>
      </c>
      <c r="L431" t="s">
        <v>5922</v>
      </c>
      <c r="M431" t="s">
        <v>6825</v>
      </c>
      <c r="N431" s="2">
        <v>45657</v>
      </c>
      <c r="P431" t="str">
        <f>"Update Project Set Organisation = '"&amp;H431&amp;"' where Project_ID = '"&amp;A431&amp;"'; "</f>
        <v xml:space="preserve">Update Project Set Organisation = 'University of Queensland' where Project_ID = 'P0426'; </v>
      </c>
      <c r="Q431" t="str">
        <f>"Update Project Set Library_name = '"&amp;L431&amp;"' , COADD_ID = '"&amp;M431&amp;"' where Project_ID = '"&amp;A431&amp;"'; "</f>
        <v xml:space="preserve">Update Project Set Library_name = 'University of Queensland (Australia)' , COADD_ID = 'CO-ADD:PC0426' where Project_ID = 'P0426'; </v>
      </c>
    </row>
    <row r="432" spans="1:17">
      <c r="A432" t="s">
        <v>6828</v>
      </c>
      <c r="C432" t="s">
        <v>5633</v>
      </c>
      <c r="D432" t="s">
        <v>835</v>
      </c>
      <c r="E432" t="s">
        <v>2013</v>
      </c>
      <c r="G432" t="s">
        <v>9125</v>
      </c>
      <c r="H432" t="s">
        <v>838</v>
      </c>
      <c r="I432" t="s">
        <v>75</v>
      </c>
      <c r="K432" t="s">
        <v>5806</v>
      </c>
      <c r="M432" t="s">
        <v>6827</v>
      </c>
      <c r="P432" t="str">
        <f>"Update Project Set Organisation = '"&amp;H432&amp;"' where Project_ID = '"&amp;A432&amp;"'; "</f>
        <v xml:space="preserve">Update Project Set Organisation = 'University of Alberta' where Project_ID = 'P0427'; </v>
      </c>
      <c r="Q432" t="str">
        <f>"Update Project Set Library_name = '"&amp;L432&amp;"' , COADD_ID = '"&amp;M432&amp;"' where Project_ID = '"&amp;A432&amp;"'; "</f>
        <v xml:space="preserve">Update Project Set Library_name = '' , COADD_ID = 'CO-ADD:PC0427' where Project_ID = 'P0427'; </v>
      </c>
    </row>
    <row r="433" spans="1:17">
      <c r="A433" t="s">
        <v>6830</v>
      </c>
      <c r="C433" t="s">
        <v>5633</v>
      </c>
      <c r="D433" t="s">
        <v>3004</v>
      </c>
      <c r="E433" t="s">
        <v>4847</v>
      </c>
      <c r="F433" t="s">
        <v>4430</v>
      </c>
      <c r="G433" t="s">
        <v>9219</v>
      </c>
      <c r="H433" t="s">
        <v>389</v>
      </c>
      <c r="I433" t="s">
        <v>14</v>
      </c>
      <c r="K433" t="s">
        <v>5828</v>
      </c>
      <c r="L433" t="s">
        <v>6581</v>
      </c>
      <c r="M433" t="s">
        <v>6829</v>
      </c>
      <c r="N433" s="2">
        <v>45657</v>
      </c>
      <c r="P433" t="str">
        <f>"Update Project Set Organisation = '"&amp;H433&amp;"' where Project_ID = '"&amp;A433&amp;"'; "</f>
        <v xml:space="preserve">Update Project Set Organisation = 'University of Sydney' where Project_ID = 'P0428'; </v>
      </c>
      <c r="Q433" t="str">
        <f>"Update Project Set Library_name = '"&amp;L433&amp;"' , COADD_ID = '"&amp;M433&amp;"' where Project_ID = '"&amp;A433&amp;"'; "</f>
        <v xml:space="preserve">Update Project Set Library_name = 'University of Sydney (Australia)' , COADD_ID = 'CO-ADD:PC0428' where Project_ID = 'P0428'; </v>
      </c>
    </row>
    <row r="434" spans="1:17">
      <c r="A434" t="s">
        <v>6833</v>
      </c>
      <c r="B434" t="s">
        <v>6832</v>
      </c>
      <c r="C434" t="s">
        <v>5633</v>
      </c>
      <c r="D434" t="s">
        <v>4643</v>
      </c>
      <c r="E434" t="s">
        <v>4642</v>
      </c>
      <c r="G434" t="s">
        <v>9068</v>
      </c>
      <c r="H434" t="s">
        <v>4646</v>
      </c>
      <c r="I434" t="s">
        <v>1600</v>
      </c>
      <c r="K434" t="s">
        <v>5828</v>
      </c>
      <c r="L434" t="s">
        <v>5995</v>
      </c>
      <c r="M434" t="s">
        <v>6831</v>
      </c>
      <c r="N434" s="2">
        <v>43862</v>
      </c>
      <c r="P434" t="str">
        <f>"Update Project Set Organisation = '"&amp;H434&amp;"' where Project_ID = '"&amp;A434&amp;"'; "</f>
        <v xml:space="preserve">Update Project Set Organisation = 'Russian Academy of Science' where Project_ID = 'P0429'; </v>
      </c>
      <c r="Q434" t="str">
        <f>"Update Project Set Library_name = '"&amp;L434&amp;"' , COADD_ID = '"&amp;M434&amp;"' where Project_ID = '"&amp;A434&amp;"'; "</f>
        <v xml:space="preserve">Update Project Set Library_name = 'Russian Academy of Science (Russia)' , COADD_ID = 'CO-ADD:PC0429' where Project_ID = 'P0429'; </v>
      </c>
    </row>
    <row r="435" spans="1:17">
      <c r="A435" t="s">
        <v>6836</v>
      </c>
      <c r="B435" t="s">
        <v>6835</v>
      </c>
      <c r="C435" t="s">
        <v>5633</v>
      </c>
      <c r="D435" t="s">
        <v>4643</v>
      </c>
      <c r="E435" t="s">
        <v>4642</v>
      </c>
      <c r="G435" t="s">
        <v>9068</v>
      </c>
      <c r="H435" t="s">
        <v>4646</v>
      </c>
      <c r="I435" t="s">
        <v>1600</v>
      </c>
      <c r="K435" t="s">
        <v>5828</v>
      </c>
      <c r="L435" t="s">
        <v>5995</v>
      </c>
      <c r="M435" t="s">
        <v>6834</v>
      </c>
      <c r="N435" s="2">
        <v>43862</v>
      </c>
      <c r="P435" t="str">
        <f>"Update Project Set Organisation = '"&amp;H435&amp;"' where Project_ID = '"&amp;A435&amp;"'; "</f>
        <v xml:space="preserve">Update Project Set Organisation = 'Russian Academy of Science' where Project_ID = 'P0430'; </v>
      </c>
      <c r="Q435" t="str">
        <f>"Update Project Set Library_name = '"&amp;L435&amp;"' , COADD_ID = '"&amp;M435&amp;"' where Project_ID = '"&amp;A435&amp;"'; "</f>
        <v xml:space="preserve">Update Project Set Library_name = 'Russian Academy of Science (Russia)' , COADD_ID = 'CO-ADD:PC0430' where Project_ID = 'P0430'; </v>
      </c>
    </row>
    <row r="436" spans="1:17">
      <c r="A436" t="s">
        <v>6838</v>
      </c>
      <c r="C436" t="s">
        <v>5633</v>
      </c>
      <c r="D436" t="s">
        <v>2611</v>
      </c>
      <c r="E436" t="s">
        <v>2610</v>
      </c>
      <c r="G436" t="s">
        <v>8924</v>
      </c>
      <c r="H436" t="s">
        <v>2614</v>
      </c>
      <c r="I436" t="s">
        <v>748</v>
      </c>
      <c r="K436" t="s">
        <v>5837</v>
      </c>
      <c r="M436" t="s">
        <v>6837</v>
      </c>
      <c r="P436" t="str">
        <f>"Update Project Set Organisation = '"&amp;H436&amp;"' where Project_ID = '"&amp;A436&amp;"'; "</f>
        <v xml:space="preserve">Update Project Set Organisation = 'Dalain University of Technology' where Project_ID = 'P0431'; </v>
      </c>
      <c r="Q436" t="str">
        <f>"Update Project Set Library_name = '"&amp;L436&amp;"' , COADD_ID = '"&amp;M436&amp;"' where Project_ID = '"&amp;A436&amp;"'; "</f>
        <v xml:space="preserve">Update Project Set Library_name = '' , COADD_ID = 'CO-ADD:PC0431' where Project_ID = 'P0431'; </v>
      </c>
    </row>
    <row r="437" spans="1:17">
      <c r="A437" t="s">
        <v>6841</v>
      </c>
      <c r="B437" t="s">
        <v>6840</v>
      </c>
      <c r="C437" t="s">
        <v>5633</v>
      </c>
      <c r="D437" t="s">
        <v>4643</v>
      </c>
      <c r="E437" t="s">
        <v>4642</v>
      </c>
      <c r="G437" t="s">
        <v>9068</v>
      </c>
      <c r="H437" t="s">
        <v>4646</v>
      </c>
      <c r="I437" t="s">
        <v>1600</v>
      </c>
      <c r="K437" t="s">
        <v>5828</v>
      </c>
      <c r="L437" t="s">
        <v>5995</v>
      </c>
      <c r="M437" t="s">
        <v>6839</v>
      </c>
      <c r="N437" s="2">
        <v>43862</v>
      </c>
      <c r="P437" t="str">
        <f>"Update Project Set Organisation = '"&amp;H437&amp;"' where Project_ID = '"&amp;A437&amp;"'; "</f>
        <v xml:space="preserve">Update Project Set Organisation = 'Russian Academy of Science' where Project_ID = 'P0432'; </v>
      </c>
      <c r="Q437" t="str">
        <f>"Update Project Set Library_name = '"&amp;L437&amp;"' , COADD_ID = '"&amp;M437&amp;"' where Project_ID = '"&amp;A437&amp;"'; "</f>
        <v xml:space="preserve">Update Project Set Library_name = 'Russian Academy of Science (Russia)' , COADD_ID = 'CO-ADD:PC0432' where Project_ID = 'P0432'; </v>
      </c>
    </row>
    <row r="438" spans="1:17">
      <c r="A438" t="s">
        <v>6844</v>
      </c>
      <c r="B438" t="s">
        <v>6843</v>
      </c>
      <c r="C438" t="s">
        <v>5633</v>
      </c>
      <c r="D438" t="s">
        <v>3128</v>
      </c>
      <c r="E438" t="s">
        <v>4739</v>
      </c>
      <c r="G438" t="s">
        <v>8949</v>
      </c>
      <c r="H438" t="s">
        <v>1327</v>
      </c>
      <c r="I438" t="s">
        <v>14</v>
      </c>
      <c r="K438" t="s">
        <v>5828</v>
      </c>
      <c r="L438" t="s">
        <v>6235</v>
      </c>
      <c r="M438" t="s">
        <v>6842</v>
      </c>
      <c r="P438" t="str">
        <f>"Update Project Set Organisation = '"&amp;H438&amp;"' where Project_ID = '"&amp;A438&amp;"'; "</f>
        <v xml:space="preserve">Update Project Set Organisation = 'Griffith University' where Project_ID = 'P0433'; </v>
      </c>
      <c r="Q438" t="str">
        <f>"Update Project Set Library_name = '"&amp;L438&amp;"' , COADD_ID = '"&amp;M438&amp;"' where Project_ID = '"&amp;A438&amp;"'; "</f>
        <v xml:space="preserve">Update Project Set Library_name = 'Griffith University Compounds Australia (Australia) - Open Library' , COADD_ID = 'CO-ADD:PL0043' where Project_ID = 'P0433'; </v>
      </c>
    </row>
    <row r="439" spans="1:17">
      <c r="A439" t="s">
        <v>6848</v>
      </c>
      <c r="B439" t="s">
        <v>6847</v>
      </c>
      <c r="C439" t="s">
        <v>5633</v>
      </c>
      <c r="D439" t="s">
        <v>448</v>
      </c>
      <c r="E439" t="s">
        <v>5469</v>
      </c>
      <c r="G439" t="s">
        <v>8900</v>
      </c>
      <c r="H439" t="s">
        <v>362</v>
      </c>
      <c r="I439" t="s">
        <v>14</v>
      </c>
      <c r="K439" t="s">
        <v>5837</v>
      </c>
      <c r="L439" t="s">
        <v>6846</v>
      </c>
      <c r="M439" t="s">
        <v>6845</v>
      </c>
      <c r="P439" t="str">
        <f>"Update Project Set Organisation = '"&amp;H439&amp;"' where Project_ID = '"&amp;A439&amp;"'; "</f>
        <v xml:space="preserve">Update Project Set Organisation = 'University of Queensland' where Project_ID = 'P0434'; </v>
      </c>
      <c r="Q439" t="str">
        <f>"Update Project Set Library_name = '"&amp;L439&amp;"' , COADD_ID = '"&amp;M439&amp;"' where Project_ID = '"&amp;A439&amp;"'; "</f>
        <v xml:space="preserve">Update Project Set Library_name = 'University of Queensland (Australia) - C4D Fragment Library' , COADD_ID = 'CO-ADD:PL0042' where Project_ID = 'P0434'; </v>
      </c>
    </row>
    <row r="440" spans="1:17">
      <c r="A440" t="s">
        <v>6851</v>
      </c>
      <c r="B440" t="s">
        <v>6850</v>
      </c>
      <c r="C440" t="s">
        <v>5840</v>
      </c>
      <c r="D440" t="s">
        <v>3128</v>
      </c>
      <c r="E440" t="s">
        <v>4739</v>
      </c>
      <c r="G440" t="s">
        <v>8949</v>
      </c>
      <c r="H440" t="s">
        <v>1327</v>
      </c>
      <c r="I440" t="s">
        <v>14</v>
      </c>
      <c r="K440" t="s">
        <v>5837</v>
      </c>
      <c r="M440" t="s">
        <v>6849</v>
      </c>
      <c r="P440" t="str">
        <f>"Update Project Set Organisation = '"&amp;H440&amp;"' where Project_ID = '"&amp;A440&amp;"'; "</f>
        <v xml:space="preserve">Update Project Set Organisation = 'Griffith University' where Project_ID = 'P0435'; </v>
      </c>
      <c r="Q440" t="str">
        <f>"Update Project Set Library_name = '"&amp;L440&amp;"' , COADD_ID = '"&amp;M440&amp;"' where Project_ID = '"&amp;A440&amp;"'; "</f>
        <v xml:space="preserve">Update Project Set Library_name = '' , COADD_ID = 'CO-ADD:PC0435' where Project_ID = 'P0435'; </v>
      </c>
    </row>
    <row r="441" spans="1:17">
      <c r="A441" t="s">
        <v>6853</v>
      </c>
      <c r="B441" t="s">
        <v>6254</v>
      </c>
      <c r="C441" t="s">
        <v>5633</v>
      </c>
      <c r="D441" t="s">
        <v>968</v>
      </c>
      <c r="E441" t="s">
        <v>1523</v>
      </c>
      <c r="F441" t="s">
        <v>2750</v>
      </c>
      <c r="G441" t="s">
        <v>8983</v>
      </c>
      <c r="H441" t="s">
        <v>971</v>
      </c>
      <c r="I441" t="s">
        <v>557</v>
      </c>
      <c r="K441" t="s">
        <v>5828</v>
      </c>
      <c r="L441" t="s">
        <v>8169</v>
      </c>
      <c r="M441" t="s">
        <v>6852</v>
      </c>
      <c r="N441" s="2">
        <v>45657</v>
      </c>
      <c r="P441" t="str">
        <f>"Update Project Set Organisation = '"&amp;H441&amp;"' where Project_ID = '"&amp;A441&amp;"'; "</f>
        <v xml:space="preserve">Update Project Set Organisation = 'Karlsruhe Institute of Technology (KIT)' where Project_ID = 'P0436'; </v>
      </c>
      <c r="Q441" t="str">
        <f>"Update Project Set Library_name = '"&amp;L441&amp;"' , COADD_ID = '"&amp;M441&amp;"' where Project_ID = '"&amp;A441&amp;"'; "</f>
        <v xml:space="preserve">Update Project Set Library_name = 'Karlsruhe Institute of Technology (KIT) (Germany)' , COADD_ID = 'CO-ADD:PC0436' where Project_ID = 'P0436'; </v>
      </c>
    </row>
    <row r="442" spans="1:17">
      <c r="A442" t="s">
        <v>6855</v>
      </c>
      <c r="C442" t="s">
        <v>5633</v>
      </c>
      <c r="D442" t="s">
        <v>3326</v>
      </c>
      <c r="E442" t="s">
        <v>3890</v>
      </c>
      <c r="G442" t="s">
        <v>9118</v>
      </c>
      <c r="H442" t="s">
        <v>1234</v>
      </c>
      <c r="I442" t="s">
        <v>1235</v>
      </c>
      <c r="K442" t="s">
        <v>5828</v>
      </c>
      <c r="L442" t="s">
        <v>8236</v>
      </c>
      <c r="M442" t="s">
        <v>6854</v>
      </c>
      <c r="N442" s="2">
        <v>45657</v>
      </c>
      <c r="P442" t="str">
        <f>"Update Project Set Organisation = '"&amp;H442&amp;"' where Project_ID = '"&amp;A442&amp;"'; "</f>
        <v xml:space="preserve">Update Project Set Organisation = 'University College Cork' where Project_ID = 'P0437'; </v>
      </c>
      <c r="Q442" t="str">
        <f>"Update Project Set Library_name = '"&amp;L442&amp;"' , COADD_ID = '"&amp;M442&amp;"' where Project_ID = '"&amp;A442&amp;"'; "</f>
        <v xml:space="preserve">Update Project Set Library_name = 'University College Cork (Ireland)' , COADD_ID = 'CO-ADD:PC0437' where Project_ID = 'P0437'; </v>
      </c>
    </row>
    <row r="443" spans="1:17">
      <c r="A443" t="s">
        <v>6857</v>
      </c>
      <c r="C443" t="s">
        <v>5633</v>
      </c>
      <c r="D443" t="s">
        <v>448</v>
      </c>
      <c r="E443" t="s">
        <v>807</v>
      </c>
      <c r="F443" t="s">
        <v>447</v>
      </c>
      <c r="G443" t="s">
        <v>8900</v>
      </c>
      <c r="H443" t="s">
        <v>362</v>
      </c>
      <c r="I443" t="s">
        <v>14</v>
      </c>
      <c r="K443" t="s">
        <v>5806</v>
      </c>
      <c r="M443" t="s">
        <v>6856</v>
      </c>
      <c r="P443" t="str">
        <f>"Update Project Set Organisation = '"&amp;H443&amp;"' where Project_ID = '"&amp;A443&amp;"'; "</f>
        <v xml:space="preserve">Update Project Set Organisation = 'University of Queensland' where Project_ID = 'P0438'; </v>
      </c>
      <c r="Q443" t="str">
        <f>"Update Project Set Library_name = '"&amp;L443&amp;"' , COADD_ID = '"&amp;M443&amp;"' where Project_ID = '"&amp;A443&amp;"'; "</f>
        <v xml:space="preserve">Update Project Set Library_name = '' , COADD_ID = 'CO-ADD:PC0438' where Project_ID = 'P0438'; </v>
      </c>
    </row>
    <row r="444" spans="1:17">
      <c r="A444" t="s">
        <v>6860</v>
      </c>
      <c r="B444" t="s">
        <v>6859</v>
      </c>
      <c r="C444" t="s">
        <v>5633</v>
      </c>
      <c r="D444" t="s">
        <v>4643</v>
      </c>
      <c r="E444" t="s">
        <v>4642</v>
      </c>
      <c r="G444" t="s">
        <v>9068</v>
      </c>
      <c r="H444" t="s">
        <v>4646</v>
      </c>
      <c r="I444" t="s">
        <v>1600</v>
      </c>
      <c r="K444" t="s">
        <v>5828</v>
      </c>
      <c r="L444" t="s">
        <v>5995</v>
      </c>
      <c r="M444" t="s">
        <v>6858</v>
      </c>
      <c r="N444" s="2">
        <v>43862</v>
      </c>
      <c r="P444" t="str">
        <f>"Update Project Set Organisation = '"&amp;H444&amp;"' where Project_ID = '"&amp;A444&amp;"'; "</f>
        <v xml:space="preserve">Update Project Set Organisation = 'Russian Academy of Science' where Project_ID = 'P0439'; </v>
      </c>
      <c r="Q444" t="str">
        <f>"Update Project Set Library_name = '"&amp;L444&amp;"' , COADD_ID = '"&amp;M444&amp;"' where Project_ID = '"&amp;A444&amp;"'; "</f>
        <v xml:space="preserve">Update Project Set Library_name = 'Russian Academy of Science (Russia)' , COADD_ID = 'CO-ADD:PC0439' where Project_ID = 'P0439'; </v>
      </c>
    </row>
    <row r="445" spans="1:17">
      <c r="A445" t="s">
        <v>6862</v>
      </c>
      <c r="C445" t="s">
        <v>5633</v>
      </c>
      <c r="D445" t="s">
        <v>48</v>
      </c>
      <c r="E445" t="s">
        <v>47</v>
      </c>
      <c r="G445" t="s">
        <v>8941</v>
      </c>
      <c r="H445" t="s">
        <v>52</v>
      </c>
      <c r="I445" t="s">
        <v>55</v>
      </c>
      <c r="K445" t="s">
        <v>5806</v>
      </c>
      <c r="M445" t="s">
        <v>6861</v>
      </c>
      <c r="P445" t="str">
        <f>"Update Project Set Organisation = '"&amp;H445&amp;"' where Project_ID = '"&amp;A445&amp;"'; "</f>
        <v xml:space="preserve">Update Project Set Organisation = 'German University in Cairo' where Project_ID = 'P0440'; </v>
      </c>
      <c r="Q445" t="str">
        <f>"Update Project Set Library_name = '"&amp;L445&amp;"' , COADD_ID = '"&amp;M445&amp;"' where Project_ID = '"&amp;A445&amp;"'; "</f>
        <v xml:space="preserve">Update Project Set Library_name = '' , COADD_ID = 'CO-ADD:PC0440' where Project_ID = 'P0440'; </v>
      </c>
    </row>
    <row r="446" spans="1:17">
      <c r="A446" t="s">
        <v>6864</v>
      </c>
      <c r="B446" t="s">
        <v>5992</v>
      </c>
      <c r="C446" t="s">
        <v>5633</v>
      </c>
      <c r="D446" t="s">
        <v>420</v>
      </c>
      <c r="E446" t="s">
        <v>4319</v>
      </c>
      <c r="G446" t="s">
        <v>8971</v>
      </c>
      <c r="H446" t="s">
        <v>424</v>
      </c>
      <c r="I446" t="s">
        <v>427</v>
      </c>
      <c r="K446" t="s">
        <v>5828</v>
      </c>
      <c r="L446" t="s">
        <v>8237</v>
      </c>
      <c r="M446" t="s">
        <v>6863</v>
      </c>
      <c r="N446" s="2">
        <v>45657</v>
      </c>
      <c r="P446" t="str">
        <f>"Update Project Set Organisation = '"&amp;H446&amp;"' where Project_ID = '"&amp;A446&amp;"'; "</f>
        <v xml:space="preserve">Update Project Set Organisation = 'Institute of Pharmacology and Toxicology of Ukraine' where Project_ID = 'P0441'; </v>
      </c>
      <c r="Q446" t="str">
        <f>"Update Project Set Library_name = '"&amp;L446&amp;"' , COADD_ID = '"&amp;M446&amp;"' where Project_ID = '"&amp;A446&amp;"'; "</f>
        <v xml:space="preserve">Update Project Set Library_name = 'Institute of Pharmacology and Toxicology of Ukraine (Ukraine)' , COADD_ID = 'CO-ADD:PC0441' where Project_ID = 'P0441'; </v>
      </c>
    </row>
    <row r="447" spans="1:17">
      <c r="A447" t="s">
        <v>6866</v>
      </c>
      <c r="B447" t="s">
        <v>6155</v>
      </c>
      <c r="C447" t="s">
        <v>5633</v>
      </c>
      <c r="D447" t="s">
        <v>1887</v>
      </c>
      <c r="E447" t="s">
        <v>3245</v>
      </c>
      <c r="G447" t="s">
        <v>8984</v>
      </c>
      <c r="H447" t="s">
        <v>1890</v>
      </c>
      <c r="I447" t="s">
        <v>1893</v>
      </c>
      <c r="K447" t="s">
        <v>5843</v>
      </c>
      <c r="M447" t="s">
        <v>6865</v>
      </c>
      <c r="P447" t="str">
        <f>"Update Project Set Organisation = '"&amp;H447&amp;"' where Project_ID = '"&amp;A447&amp;"'; "</f>
        <v xml:space="preserve">Update Project Set Organisation = 'Karolinska Institute' where Project_ID = 'P0442'; </v>
      </c>
      <c r="Q447" t="str">
        <f>"Update Project Set Library_name = '"&amp;L447&amp;"' , COADD_ID = '"&amp;M447&amp;"' where Project_ID = '"&amp;A447&amp;"'; "</f>
        <v xml:space="preserve">Update Project Set Library_name = '' , COADD_ID = 'CO-ADD:PC0442' where Project_ID = 'P0442'; </v>
      </c>
    </row>
    <row r="448" spans="1:17">
      <c r="A448" t="s">
        <v>6868</v>
      </c>
      <c r="C448" t="s">
        <v>5633</v>
      </c>
      <c r="D448" t="s">
        <v>263</v>
      </c>
      <c r="E448" t="s">
        <v>3767</v>
      </c>
      <c r="G448" t="s">
        <v>9138</v>
      </c>
      <c r="H448" t="s">
        <v>267</v>
      </c>
      <c r="I448" t="s">
        <v>269</v>
      </c>
      <c r="K448" t="s">
        <v>5843</v>
      </c>
      <c r="M448" t="s">
        <v>6867</v>
      </c>
      <c r="P448" t="str">
        <f>"Update Project Set Organisation = '"&amp;H448&amp;"' where Project_ID = '"&amp;A448&amp;"'; "</f>
        <v xml:space="preserve">Update Project Set Organisation = 'University of Bristol' where Project_ID = 'P0443'; </v>
      </c>
      <c r="Q448" t="str">
        <f>"Update Project Set Library_name = '"&amp;L448&amp;"' , COADD_ID = '"&amp;M448&amp;"' where Project_ID = '"&amp;A448&amp;"'; "</f>
        <v xml:space="preserve">Update Project Set Library_name = '' , COADD_ID = 'CO-ADD:PC0443' where Project_ID = 'P0443'; </v>
      </c>
    </row>
    <row r="449" spans="1:17">
      <c r="A449" t="s">
        <v>6872</v>
      </c>
      <c r="B449" t="s">
        <v>6871</v>
      </c>
      <c r="C449" t="s">
        <v>5633</v>
      </c>
      <c r="D449" t="s">
        <v>4643</v>
      </c>
      <c r="E449" t="s">
        <v>4642</v>
      </c>
      <c r="G449" t="s">
        <v>9068</v>
      </c>
      <c r="H449" t="s">
        <v>4646</v>
      </c>
      <c r="I449" t="s">
        <v>1600</v>
      </c>
      <c r="J449" t="s">
        <v>6870</v>
      </c>
      <c r="K449" t="s">
        <v>5828</v>
      </c>
      <c r="L449" t="s">
        <v>5995</v>
      </c>
      <c r="M449" t="s">
        <v>6869</v>
      </c>
      <c r="N449" s="2">
        <v>45657</v>
      </c>
      <c r="P449" t="str">
        <f>"Update Project Set Organisation = '"&amp;H449&amp;"' where Project_ID = '"&amp;A449&amp;"'; "</f>
        <v xml:space="preserve">Update Project Set Organisation = 'Russian Academy of Science' where Project_ID = 'P0444'; </v>
      </c>
      <c r="Q449" t="str">
        <f>"Update Project Set Library_name = '"&amp;L449&amp;"' , COADD_ID = '"&amp;M449&amp;"' where Project_ID = '"&amp;A449&amp;"'; "</f>
        <v xml:space="preserve">Update Project Set Library_name = 'Russian Academy of Science (Russia)' , COADD_ID = 'CO-ADD:PC0444' where Project_ID = 'P0444'; </v>
      </c>
    </row>
    <row r="450" spans="1:17">
      <c r="A450" t="s">
        <v>6874</v>
      </c>
      <c r="C450" t="s">
        <v>5633</v>
      </c>
      <c r="D450" t="s">
        <v>2537</v>
      </c>
      <c r="E450" t="s">
        <v>2536</v>
      </c>
      <c r="F450" t="s">
        <v>4446</v>
      </c>
      <c r="G450" t="s">
        <v>9174</v>
      </c>
      <c r="H450" t="s">
        <v>1262</v>
      </c>
      <c r="I450" t="s">
        <v>117</v>
      </c>
      <c r="K450" t="s">
        <v>5843</v>
      </c>
      <c r="M450" t="s">
        <v>6873</v>
      </c>
      <c r="P450" t="str">
        <f>"Update Project Set Organisation = '"&amp;H450&amp;"' where Project_ID = '"&amp;A450&amp;"'; "</f>
        <v xml:space="preserve">Update Project Set Organisation = 'University of Nebraska Medical Center' where Project_ID = 'P0445'; </v>
      </c>
      <c r="Q450" t="str">
        <f>"Update Project Set Library_name = '"&amp;L450&amp;"' , COADD_ID = '"&amp;M450&amp;"' where Project_ID = '"&amp;A450&amp;"'; "</f>
        <v xml:space="preserve">Update Project Set Library_name = '' , COADD_ID = 'CO-ADD:PC0445' where Project_ID = 'P0445'; </v>
      </c>
    </row>
    <row r="451" spans="1:17">
      <c r="A451" t="s">
        <v>6876</v>
      </c>
      <c r="C451" t="s">
        <v>5633</v>
      </c>
      <c r="D451" t="s">
        <v>3040</v>
      </c>
      <c r="E451" t="s">
        <v>3651</v>
      </c>
      <c r="G451" t="s">
        <v>8893</v>
      </c>
      <c r="H451" t="s">
        <v>3654</v>
      </c>
      <c r="I451" t="s">
        <v>557</v>
      </c>
      <c r="K451" t="s">
        <v>5828</v>
      </c>
      <c r="L451" t="s">
        <v>8238</v>
      </c>
      <c r="M451" t="s">
        <v>6875</v>
      </c>
      <c r="N451" s="2">
        <v>45657</v>
      </c>
      <c r="P451" t="str">
        <f>"Update Project Set Organisation = '"&amp;H451&amp;"' where Project_ID = '"&amp;A451&amp;"'; "</f>
        <v xml:space="preserve">Update Project Set Organisation = 'Bergische Universität Wuppertal' where Project_ID = 'P0446'; </v>
      </c>
      <c r="Q451" t="str">
        <f>"Update Project Set Library_name = '"&amp;L451&amp;"' , COADD_ID = '"&amp;M451&amp;"' where Project_ID = '"&amp;A451&amp;"'; "</f>
        <v xml:space="preserve">Update Project Set Library_name = 'Bergische Universität Wuppertal (Germany)' , COADD_ID = 'CO-ADD:PC0446' where Project_ID = 'P0446'; </v>
      </c>
    </row>
    <row r="452" spans="1:17">
      <c r="A452" t="s">
        <v>6879</v>
      </c>
      <c r="C452" t="s">
        <v>5633</v>
      </c>
      <c r="D452" t="s">
        <v>79</v>
      </c>
      <c r="E452" t="s">
        <v>78</v>
      </c>
      <c r="G452" t="s">
        <v>9085</v>
      </c>
      <c r="H452" t="s">
        <v>83</v>
      </c>
      <c r="I452" t="s">
        <v>86</v>
      </c>
      <c r="J452" t="s">
        <v>6878</v>
      </c>
      <c r="K452" t="s">
        <v>5828</v>
      </c>
      <c r="L452" t="s">
        <v>8218</v>
      </c>
      <c r="M452" t="s">
        <v>6877</v>
      </c>
      <c r="N452" s="2">
        <v>45657</v>
      </c>
      <c r="P452" t="str">
        <f>"Update Project Set Organisation = '"&amp;H452&amp;"' where Project_ID = '"&amp;A452&amp;"'; "</f>
        <v xml:space="preserve">Update Project Set Organisation = 'Sultan Qaboos University' where Project_ID = 'P0447'; </v>
      </c>
      <c r="Q452" t="str">
        <f>"Update Project Set Library_name = '"&amp;L452&amp;"' , COADD_ID = '"&amp;M452&amp;"' where Project_ID = '"&amp;A452&amp;"'; "</f>
        <v xml:space="preserve">Update Project Set Library_name = 'Sultan Qaboos University (Oman)' , COADD_ID = 'CO-ADD:PC0447' where Project_ID = 'P0447'; </v>
      </c>
    </row>
    <row r="453" spans="1:17">
      <c r="A453" t="s">
        <v>6882</v>
      </c>
      <c r="B453" t="s">
        <v>6881</v>
      </c>
      <c r="C453" t="s">
        <v>5633</v>
      </c>
      <c r="D453" t="s">
        <v>4643</v>
      </c>
      <c r="E453" t="s">
        <v>4642</v>
      </c>
      <c r="G453" t="s">
        <v>9068</v>
      </c>
      <c r="H453" t="s">
        <v>4646</v>
      </c>
      <c r="I453" t="s">
        <v>1600</v>
      </c>
      <c r="K453" t="s">
        <v>5828</v>
      </c>
      <c r="L453" t="s">
        <v>5995</v>
      </c>
      <c r="M453" t="s">
        <v>6880</v>
      </c>
      <c r="N453" s="2">
        <v>43862</v>
      </c>
      <c r="P453" t="str">
        <f>"Update Project Set Organisation = '"&amp;H453&amp;"' where Project_ID = '"&amp;A453&amp;"'; "</f>
        <v xml:space="preserve">Update Project Set Organisation = 'Russian Academy of Science' where Project_ID = 'P0448'; </v>
      </c>
      <c r="Q453" t="str">
        <f>"Update Project Set Library_name = '"&amp;L453&amp;"' , COADD_ID = '"&amp;M453&amp;"' where Project_ID = '"&amp;A453&amp;"'; "</f>
        <v xml:space="preserve">Update Project Set Library_name = 'Russian Academy of Science (Russia)' , COADD_ID = 'CO-ADD:PC0448' where Project_ID = 'P0448'; </v>
      </c>
    </row>
    <row r="454" spans="1:17">
      <c r="A454" t="s">
        <v>6885</v>
      </c>
      <c r="B454" t="s">
        <v>6884</v>
      </c>
      <c r="C454" t="s">
        <v>5633</v>
      </c>
      <c r="D454" t="s">
        <v>4643</v>
      </c>
      <c r="E454" t="s">
        <v>4642</v>
      </c>
      <c r="G454" t="s">
        <v>9068</v>
      </c>
      <c r="H454" t="s">
        <v>4646</v>
      </c>
      <c r="I454" t="s">
        <v>1600</v>
      </c>
      <c r="K454" t="s">
        <v>5828</v>
      </c>
      <c r="L454" t="s">
        <v>5995</v>
      </c>
      <c r="M454" t="s">
        <v>6883</v>
      </c>
      <c r="N454" s="2">
        <v>43862</v>
      </c>
      <c r="P454" t="str">
        <f>"Update Project Set Organisation = '"&amp;H454&amp;"' where Project_ID = '"&amp;A454&amp;"'; "</f>
        <v xml:space="preserve">Update Project Set Organisation = 'Russian Academy of Science' where Project_ID = 'P0449'; </v>
      </c>
      <c r="Q454" t="str">
        <f>"Update Project Set Library_name = '"&amp;L454&amp;"' , COADD_ID = '"&amp;M454&amp;"' where Project_ID = '"&amp;A454&amp;"'; "</f>
        <v xml:space="preserve">Update Project Set Library_name = 'Russian Academy of Science (Russia)' , COADD_ID = 'CO-ADD:PC0449' where Project_ID = 'P0449'; </v>
      </c>
    </row>
    <row r="455" spans="1:17">
      <c r="A455" t="s">
        <v>6888</v>
      </c>
      <c r="B455" t="s">
        <v>6586</v>
      </c>
      <c r="C455" t="s">
        <v>5633</v>
      </c>
      <c r="D455" t="s">
        <v>1664</v>
      </c>
      <c r="E455" t="s">
        <v>1663</v>
      </c>
      <c r="F455" t="s">
        <v>2637</v>
      </c>
      <c r="G455" t="s">
        <v>9016</v>
      </c>
      <c r="H455" t="s">
        <v>1667</v>
      </c>
      <c r="I455" t="s">
        <v>1600</v>
      </c>
      <c r="J455" t="s">
        <v>6887</v>
      </c>
      <c r="K455" t="s">
        <v>5828</v>
      </c>
      <c r="L455" t="s">
        <v>8219</v>
      </c>
      <c r="M455" t="s">
        <v>6886</v>
      </c>
      <c r="N455" s="2">
        <v>45657</v>
      </c>
      <c r="P455" t="str">
        <f>"Update Project Set Organisation = '"&amp;H455&amp;"' where Project_ID = '"&amp;A455&amp;"'; "</f>
        <v xml:space="preserve">Update Project Set Organisation = 'Mendeleev University of Chemical Technology of Russia' where Project_ID = 'P0450'; </v>
      </c>
      <c r="Q455" t="str">
        <f>"Update Project Set Library_name = '"&amp;L455&amp;"' , COADD_ID = '"&amp;M455&amp;"' where Project_ID = '"&amp;A455&amp;"'; "</f>
        <v xml:space="preserve">Update Project Set Library_name = 'Mendeleev University of Chemical Technology of Russia (Russia)' , COADD_ID = 'CO-ADD:PC0450' where Project_ID = 'P0450'; </v>
      </c>
    </row>
    <row r="456" spans="1:17">
      <c r="A456" t="s">
        <v>6890</v>
      </c>
      <c r="C456" t="s">
        <v>5633</v>
      </c>
      <c r="D456" t="s">
        <v>3436</v>
      </c>
      <c r="E456" t="s">
        <v>3435</v>
      </c>
      <c r="G456" t="s">
        <v>9266</v>
      </c>
      <c r="H456" t="s">
        <v>3439</v>
      </c>
      <c r="I456" t="s">
        <v>557</v>
      </c>
      <c r="K456" t="s">
        <v>5806</v>
      </c>
      <c r="M456" t="s">
        <v>6889</v>
      </c>
      <c r="P456" t="str">
        <f>"Update Project Set Organisation = '"&amp;H456&amp;"' where Project_ID = '"&amp;A456&amp;"'; "</f>
        <v xml:space="preserve">Update Project Set Organisation = 'Würzburg University' where Project_ID = 'P0451'; </v>
      </c>
      <c r="Q456" t="str">
        <f>"Update Project Set Library_name = '"&amp;L456&amp;"' , COADD_ID = '"&amp;M456&amp;"' where Project_ID = '"&amp;A456&amp;"'; "</f>
        <v xml:space="preserve">Update Project Set Library_name = '' , COADD_ID = 'CO-ADD:PC0451' where Project_ID = 'P0451'; </v>
      </c>
    </row>
    <row r="457" spans="1:17">
      <c r="A457" t="s">
        <v>6892</v>
      </c>
      <c r="C457" t="s">
        <v>5633</v>
      </c>
      <c r="D457" t="s">
        <v>5280</v>
      </c>
      <c r="E457" t="s">
        <v>5279</v>
      </c>
      <c r="G457" t="s">
        <v>9147</v>
      </c>
      <c r="H457" t="s">
        <v>5283</v>
      </c>
      <c r="I457" t="s">
        <v>117</v>
      </c>
      <c r="K457" t="s">
        <v>5828</v>
      </c>
      <c r="L457" t="s">
        <v>8217</v>
      </c>
      <c r="M457" t="s">
        <v>6891</v>
      </c>
      <c r="N457" s="2">
        <v>45657</v>
      </c>
      <c r="P457" t="str">
        <f>"Update Project Set Organisation = '"&amp;H457&amp;"' where Project_ID = '"&amp;A457&amp;"'; "</f>
        <v xml:space="preserve">Update Project Set Organisation = 'University of Delaware' where Project_ID = 'P0452'; </v>
      </c>
      <c r="Q457" t="str">
        <f>"Update Project Set Library_name = '"&amp;L457&amp;"' , COADD_ID = '"&amp;M457&amp;"' where Project_ID = '"&amp;A457&amp;"'; "</f>
        <v xml:space="preserve">Update Project Set Library_name = 'University of Delaware (United States)' , COADD_ID = 'CO-ADD:PC0452' where Project_ID = 'P0452'; </v>
      </c>
    </row>
    <row r="458" spans="1:17">
      <c r="A458" t="s">
        <v>6894</v>
      </c>
      <c r="C458" t="s">
        <v>5633</v>
      </c>
      <c r="D458" t="s">
        <v>5371</v>
      </c>
      <c r="E458" t="s">
        <v>5370</v>
      </c>
      <c r="G458" t="s">
        <v>9026</v>
      </c>
      <c r="H458" t="s">
        <v>5374</v>
      </c>
      <c r="I458" t="s">
        <v>2369</v>
      </c>
      <c r="K458" t="s">
        <v>5843</v>
      </c>
      <c r="M458" t="s">
        <v>6893</v>
      </c>
      <c r="P458" t="str">
        <f>"Update Project Set Organisation = '"&amp;H458&amp;"' where Project_ID = '"&amp;A458&amp;"'; "</f>
        <v xml:space="preserve">Update Project Set Organisation = 'Monash University Malaysia' where Project_ID = 'P0453'; </v>
      </c>
      <c r="Q458" t="str">
        <f>"Update Project Set Library_name = '"&amp;L458&amp;"' , COADD_ID = '"&amp;M458&amp;"' where Project_ID = '"&amp;A458&amp;"'; "</f>
        <v xml:space="preserve">Update Project Set Library_name = '' , COADD_ID = 'CO-ADD:PC0453' where Project_ID = 'P0453'; </v>
      </c>
    </row>
    <row r="459" spans="1:17">
      <c r="A459" t="s">
        <v>6897</v>
      </c>
      <c r="B459" t="s">
        <v>6155</v>
      </c>
      <c r="C459" t="s">
        <v>5633</v>
      </c>
      <c r="D459" t="s">
        <v>645</v>
      </c>
      <c r="E459" t="s">
        <v>644</v>
      </c>
      <c r="G459" t="s">
        <v>8968</v>
      </c>
      <c r="H459" t="s">
        <v>649</v>
      </c>
      <c r="I459" t="s">
        <v>427</v>
      </c>
      <c r="J459" t="s">
        <v>6896</v>
      </c>
      <c r="K459" t="s">
        <v>5828</v>
      </c>
      <c r="L459" t="s">
        <v>8239</v>
      </c>
      <c r="M459" t="s">
        <v>6895</v>
      </c>
      <c r="N459" s="2">
        <v>45657</v>
      </c>
      <c r="P459" t="str">
        <f>"Update Project Set Organisation = '"&amp;H459&amp;"' where Project_ID = '"&amp;A459&amp;"'; "</f>
        <v xml:space="preserve">Update Project Set Organisation = 'Institute of Molecular Biology and Genetics of NASU' where Project_ID = 'P0454'; </v>
      </c>
      <c r="Q459" t="str">
        <f>"Update Project Set Library_name = '"&amp;L459&amp;"' , COADD_ID = '"&amp;M459&amp;"' where Project_ID = '"&amp;A459&amp;"'; "</f>
        <v xml:space="preserve">Update Project Set Library_name = 'Institute of Molecular Biology and Genetics of NASU (Ukraine)' , COADD_ID = 'CO-ADD:PC0454' where Project_ID = 'P0454'; </v>
      </c>
    </row>
    <row r="460" spans="1:17">
      <c r="A460" t="s">
        <v>6899</v>
      </c>
      <c r="C460" t="s">
        <v>5633</v>
      </c>
      <c r="D460" t="s">
        <v>1581</v>
      </c>
      <c r="E460" t="s">
        <v>2986</v>
      </c>
      <c r="G460" t="s">
        <v>8976</v>
      </c>
      <c r="H460" t="s">
        <v>208</v>
      </c>
      <c r="I460" t="s">
        <v>211</v>
      </c>
      <c r="K460" t="s">
        <v>5843</v>
      </c>
      <c r="M460" t="s">
        <v>6898</v>
      </c>
      <c r="P460" t="str">
        <f>"Update Project Set Organisation = '"&amp;H460&amp;"' where Project_ID = '"&amp;A460&amp;"'; "</f>
        <v xml:space="preserve">Update Project Set Organisation = 'Jain University' where Project_ID = 'P0455'; </v>
      </c>
      <c r="Q460" t="str">
        <f>"Update Project Set Library_name = '"&amp;L460&amp;"' , COADD_ID = '"&amp;M460&amp;"' where Project_ID = '"&amp;A460&amp;"'; "</f>
        <v xml:space="preserve">Update Project Set Library_name = '' , COADD_ID = 'CO-ADD:PC0455' where Project_ID = 'P0455'; </v>
      </c>
    </row>
    <row r="461" spans="1:17">
      <c r="A461" t="s">
        <v>6901</v>
      </c>
      <c r="C461" t="s">
        <v>5633</v>
      </c>
      <c r="D461" t="s">
        <v>520</v>
      </c>
      <c r="E461" t="s">
        <v>5384</v>
      </c>
      <c r="F461" t="s">
        <v>1318</v>
      </c>
      <c r="G461" t="s">
        <v>9180</v>
      </c>
      <c r="H461" t="s">
        <v>524</v>
      </c>
      <c r="I461" t="s">
        <v>14</v>
      </c>
      <c r="K461" t="s">
        <v>5843</v>
      </c>
      <c r="M461" t="s">
        <v>6900</v>
      </c>
      <c r="P461" t="str">
        <f>"Update Project Set Organisation = '"&amp;H461&amp;"' where Project_ID = '"&amp;A461&amp;"'; "</f>
        <v xml:space="preserve">Update Project Set Organisation = 'University of Newcastle' where Project_ID = 'P0456'; </v>
      </c>
      <c r="Q461" t="str">
        <f>"Update Project Set Library_name = '"&amp;L461&amp;"' , COADD_ID = '"&amp;M461&amp;"' where Project_ID = '"&amp;A461&amp;"'; "</f>
        <v xml:space="preserve">Update Project Set Library_name = '' , COADD_ID = 'CO-ADD:PC0456' where Project_ID = 'P0456'; </v>
      </c>
    </row>
    <row r="462" spans="1:17">
      <c r="A462" t="s">
        <v>6904</v>
      </c>
      <c r="B462" t="s">
        <v>6903</v>
      </c>
      <c r="C462" t="s">
        <v>5633</v>
      </c>
      <c r="D462" t="s">
        <v>4643</v>
      </c>
      <c r="E462" t="s">
        <v>4642</v>
      </c>
      <c r="G462" t="s">
        <v>9068</v>
      </c>
      <c r="H462" t="s">
        <v>4646</v>
      </c>
      <c r="I462" t="s">
        <v>1600</v>
      </c>
      <c r="K462" t="s">
        <v>5828</v>
      </c>
      <c r="L462" t="s">
        <v>5995</v>
      </c>
      <c r="M462" t="s">
        <v>6902</v>
      </c>
      <c r="N462" s="2">
        <v>43862</v>
      </c>
      <c r="P462" t="str">
        <f>"Update Project Set Organisation = '"&amp;H462&amp;"' where Project_ID = '"&amp;A462&amp;"'; "</f>
        <v xml:space="preserve">Update Project Set Organisation = 'Russian Academy of Science' where Project_ID = 'P0457'; </v>
      </c>
      <c r="Q462" t="str">
        <f>"Update Project Set Library_name = '"&amp;L462&amp;"' , COADD_ID = '"&amp;M462&amp;"' where Project_ID = '"&amp;A462&amp;"'; "</f>
        <v xml:space="preserve">Update Project Set Library_name = 'Russian Academy of Science (Russia)' , COADD_ID = 'CO-ADD:PC0457' where Project_ID = 'P0457'; </v>
      </c>
    </row>
    <row r="463" spans="1:17">
      <c r="A463" t="s">
        <v>6906</v>
      </c>
      <c r="C463" t="s">
        <v>5633</v>
      </c>
      <c r="D463" t="s">
        <v>1260</v>
      </c>
      <c r="E463" t="s">
        <v>1259</v>
      </c>
      <c r="F463" t="s">
        <v>4505</v>
      </c>
      <c r="G463" t="s">
        <v>9173</v>
      </c>
      <c r="H463" t="s">
        <v>1262</v>
      </c>
      <c r="I463" t="s">
        <v>117</v>
      </c>
      <c r="K463" t="s">
        <v>5828</v>
      </c>
      <c r="L463" t="s">
        <v>8188</v>
      </c>
      <c r="M463" t="s">
        <v>6905</v>
      </c>
      <c r="N463" s="2">
        <v>45657</v>
      </c>
      <c r="P463" t="str">
        <f>"Update Project Set Organisation = '"&amp;H463&amp;"' where Project_ID = '"&amp;A463&amp;"'; "</f>
        <v xml:space="preserve">Update Project Set Organisation = 'University of Nebraska Medical Center' where Project_ID = 'P0458'; </v>
      </c>
      <c r="Q463" t="str">
        <f>"Update Project Set Library_name = '"&amp;L463&amp;"' , COADD_ID = '"&amp;M463&amp;"' where Project_ID = '"&amp;A463&amp;"'; "</f>
        <v xml:space="preserve">Update Project Set Library_name = 'University of Nebraska Medical Center (United States)' , COADD_ID = 'CO-ADD:PC0458' where Project_ID = 'P0458'; </v>
      </c>
    </row>
    <row r="464" spans="1:17">
      <c r="A464" t="s">
        <v>6908</v>
      </c>
      <c r="C464" t="s">
        <v>5633</v>
      </c>
      <c r="D464" t="s">
        <v>1094</v>
      </c>
      <c r="E464" t="s">
        <v>4208</v>
      </c>
      <c r="F464" t="s">
        <v>1093</v>
      </c>
      <c r="G464" t="s">
        <v>9079</v>
      </c>
      <c r="H464" t="s">
        <v>1097</v>
      </c>
      <c r="I464" t="s">
        <v>211</v>
      </c>
      <c r="K464" t="s">
        <v>5828</v>
      </c>
      <c r="L464" t="s">
        <v>8240</v>
      </c>
      <c r="M464" t="s">
        <v>6907</v>
      </c>
      <c r="N464" s="2">
        <v>45657</v>
      </c>
      <c r="P464" t="str">
        <f>"Update Project Set Organisation = '"&amp;H464&amp;"' where Project_ID = '"&amp;A464&amp;"'; "</f>
        <v xml:space="preserve">Update Project Set Organisation = 'Sri Venkateswara University' where Project_ID = 'P0459'; </v>
      </c>
      <c r="Q464" t="str">
        <f>"Update Project Set Library_name = '"&amp;L464&amp;"' , COADD_ID = '"&amp;M464&amp;"' where Project_ID = '"&amp;A464&amp;"'; "</f>
        <v xml:space="preserve">Update Project Set Library_name = 'Sri Venkateswara University (India)' , COADD_ID = 'CO-ADD:PC0459' where Project_ID = 'P0459'; </v>
      </c>
    </row>
    <row r="465" spans="1:17">
      <c r="A465" t="s">
        <v>6911</v>
      </c>
      <c r="B465" t="s">
        <v>6910</v>
      </c>
      <c r="C465" t="s">
        <v>5633</v>
      </c>
      <c r="D465" t="s">
        <v>4643</v>
      </c>
      <c r="E465" t="s">
        <v>4642</v>
      </c>
      <c r="G465" t="s">
        <v>9068</v>
      </c>
      <c r="H465" t="s">
        <v>4646</v>
      </c>
      <c r="I465" t="s">
        <v>1600</v>
      </c>
      <c r="K465" t="s">
        <v>5828</v>
      </c>
      <c r="L465" t="s">
        <v>5995</v>
      </c>
      <c r="M465" t="s">
        <v>6909</v>
      </c>
      <c r="N465" s="2">
        <v>43862</v>
      </c>
      <c r="P465" t="str">
        <f>"Update Project Set Organisation = '"&amp;H465&amp;"' where Project_ID = '"&amp;A465&amp;"'; "</f>
        <v xml:space="preserve">Update Project Set Organisation = 'Russian Academy of Science' where Project_ID = 'P0460'; </v>
      </c>
      <c r="Q465" t="str">
        <f>"Update Project Set Library_name = '"&amp;L465&amp;"' , COADD_ID = '"&amp;M465&amp;"' where Project_ID = '"&amp;A465&amp;"'; "</f>
        <v xml:space="preserve">Update Project Set Library_name = 'Russian Academy of Science (Russia)' , COADD_ID = 'CO-ADD:PC0460' where Project_ID = 'P0460'; </v>
      </c>
    </row>
    <row r="466" spans="1:17">
      <c r="A466" t="s">
        <v>6914</v>
      </c>
      <c r="B466" t="s">
        <v>6913</v>
      </c>
      <c r="C466" t="s">
        <v>5633</v>
      </c>
      <c r="D466" t="s">
        <v>4643</v>
      </c>
      <c r="E466" t="s">
        <v>4642</v>
      </c>
      <c r="G466" t="s">
        <v>9068</v>
      </c>
      <c r="H466" t="s">
        <v>4646</v>
      </c>
      <c r="I466" t="s">
        <v>1600</v>
      </c>
      <c r="K466" t="s">
        <v>5828</v>
      </c>
      <c r="L466" t="s">
        <v>5995</v>
      </c>
      <c r="M466" t="s">
        <v>6912</v>
      </c>
      <c r="N466" s="2">
        <v>43862</v>
      </c>
      <c r="P466" t="str">
        <f>"Update Project Set Organisation = '"&amp;H466&amp;"' where Project_ID = '"&amp;A466&amp;"'; "</f>
        <v xml:space="preserve">Update Project Set Organisation = 'Russian Academy of Science' where Project_ID = 'P0461'; </v>
      </c>
      <c r="Q466" t="str">
        <f>"Update Project Set Library_name = '"&amp;L466&amp;"' , COADD_ID = '"&amp;M466&amp;"' where Project_ID = '"&amp;A466&amp;"'; "</f>
        <v xml:space="preserve">Update Project Set Library_name = 'Russian Academy of Science (Russia)' , COADD_ID = 'CO-ADD:PC0461' where Project_ID = 'P0461'; </v>
      </c>
    </row>
    <row r="467" spans="1:17">
      <c r="A467" t="s">
        <v>6916</v>
      </c>
      <c r="C467" t="s">
        <v>5633</v>
      </c>
      <c r="D467" t="s">
        <v>4143</v>
      </c>
      <c r="E467" t="s">
        <v>4377</v>
      </c>
      <c r="F467" t="s">
        <v>4142</v>
      </c>
      <c r="G467" t="s">
        <v>8876</v>
      </c>
      <c r="H467" t="s">
        <v>4147</v>
      </c>
      <c r="I467" t="s">
        <v>704</v>
      </c>
      <c r="K467" t="s">
        <v>5806</v>
      </c>
      <c r="M467" t="s">
        <v>6915</v>
      </c>
      <c r="P467" t="str">
        <f>"Update Project Set Organisation = '"&amp;H467&amp;"' where Project_ID = '"&amp;A467&amp;"'; "</f>
        <v xml:space="preserve">Update Project Set Organisation = 'Aix-Marseille University' where Project_ID = 'P0462'; </v>
      </c>
      <c r="Q467" t="str">
        <f>"Update Project Set Library_name = '"&amp;L467&amp;"' , COADD_ID = '"&amp;M467&amp;"' where Project_ID = '"&amp;A467&amp;"'; "</f>
        <v xml:space="preserve">Update Project Set Library_name = '' , COADD_ID = 'CO-ADD:PC0462' where Project_ID = 'P0462'; </v>
      </c>
    </row>
    <row r="468" spans="1:17">
      <c r="A468" t="s">
        <v>6918</v>
      </c>
      <c r="C468" t="s">
        <v>5633</v>
      </c>
      <c r="D468" t="s">
        <v>862</v>
      </c>
      <c r="E468" t="s">
        <v>861</v>
      </c>
      <c r="F468" t="s">
        <v>2100</v>
      </c>
      <c r="G468" t="s">
        <v>9189</v>
      </c>
      <c r="H468" t="s">
        <v>865</v>
      </c>
      <c r="I468" t="s">
        <v>408</v>
      </c>
      <c r="K468" t="s">
        <v>5828</v>
      </c>
      <c r="L468" t="s">
        <v>8241</v>
      </c>
      <c r="M468" t="s">
        <v>6917</v>
      </c>
      <c r="N468" s="2">
        <v>45657</v>
      </c>
      <c r="P468" t="str">
        <f>"Update Project Set Organisation = '"&amp;H468&amp;"' where Project_ID = '"&amp;A468&amp;"'; "</f>
        <v xml:space="preserve">Update Project Set Organisation = 'University of Porto' where Project_ID = 'P0463'; </v>
      </c>
      <c r="Q468" t="str">
        <f>"Update Project Set Library_name = '"&amp;L468&amp;"' , COADD_ID = '"&amp;M468&amp;"' where Project_ID = '"&amp;A468&amp;"'; "</f>
        <v xml:space="preserve">Update Project Set Library_name = 'University of Porto (Portugal)' , COADD_ID = 'CO-ADD:PC0463' where Project_ID = 'P0463'; </v>
      </c>
    </row>
    <row r="469" spans="1:17">
      <c r="A469" t="s">
        <v>6920</v>
      </c>
      <c r="C469" t="s">
        <v>5633</v>
      </c>
      <c r="D469" t="s">
        <v>2872</v>
      </c>
      <c r="E469" t="s">
        <v>5020</v>
      </c>
      <c r="G469" t="s">
        <v>9245</v>
      </c>
      <c r="H469" t="s">
        <v>1422</v>
      </c>
      <c r="I469" t="s">
        <v>14</v>
      </c>
      <c r="K469" t="s">
        <v>5828</v>
      </c>
      <c r="L469" t="s">
        <v>8156</v>
      </c>
      <c r="M469" t="s">
        <v>6919</v>
      </c>
      <c r="N469" s="2">
        <v>45657</v>
      </c>
      <c r="P469" t="str">
        <f>"Update Project Set Organisation = '"&amp;H469&amp;"' where Project_ID = '"&amp;A469&amp;"'; "</f>
        <v xml:space="preserve">Update Project Set Organisation = 'University of Wollongong' where Project_ID = 'P0464'; </v>
      </c>
      <c r="Q469" t="str">
        <f>"Update Project Set Library_name = '"&amp;L469&amp;"' , COADD_ID = '"&amp;M469&amp;"' where Project_ID = '"&amp;A469&amp;"'; "</f>
        <v xml:space="preserve">Update Project Set Library_name = 'University of Wollongong (Australia)' , COADD_ID = 'CO-ADD:PC0464' where Project_ID = 'P0464'; </v>
      </c>
    </row>
    <row r="470" spans="1:17">
      <c r="A470" t="s">
        <v>6922</v>
      </c>
      <c r="C470" t="s">
        <v>5633</v>
      </c>
      <c r="D470" t="s">
        <v>2954</v>
      </c>
      <c r="E470" t="s">
        <v>2953</v>
      </c>
      <c r="G470" t="s">
        <v>9073</v>
      </c>
      <c r="H470" t="s">
        <v>2957</v>
      </c>
      <c r="I470" t="s">
        <v>211</v>
      </c>
      <c r="K470" t="s">
        <v>5843</v>
      </c>
      <c r="M470" t="s">
        <v>6921</v>
      </c>
      <c r="P470" t="str">
        <f>"Update Project Set Organisation = '"&amp;H470&amp;"' where Project_ID = '"&amp;A470&amp;"'; "</f>
        <v xml:space="preserve">Update Project Set Organisation = 'Saurashtra University' where Project_ID = 'P0465'; </v>
      </c>
      <c r="Q470" t="str">
        <f>"Update Project Set Library_name = '"&amp;L470&amp;"' , COADD_ID = '"&amp;M470&amp;"' where Project_ID = '"&amp;A470&amp;"'; "</f>
        <v xml:space="preserve">Update Project Set Library_name = '' , COADD_ID = 'CO-ADD:PC0465' where Project_ID = 'P0465'; </v>
      </c>
    </row>
    <row r="471" spans="1:17">
      <c r="A471" t="s">
        <v>6924</v>
      </c>
      <c r="C471" t="s">
        <v>5633</v>
      </c>
      <c r="D471" t="s">
        <v>2826</v>
      </c>
      <c r="E471" t="s">
        <v>2825</v>
      </c>
      <c r="G471" t="s">
        <v>8925</v>
      </c>
      <c r="H471" t="s">
        <v>2829</v>
      </c>
      <c r="I471" t="s">
        <v>55</v>
      </c>
      <c r="K471" t="s">
        <v>5837</v>
      </c>
      <c r="M471" t="s">
        <v>6923</v>
      </c>
      <c r="P471" t="str">
        <f>"Update Project Set Organisation = '"&amp;H471&amp;"' where Project_ID = '"&amp;A471&amp;"'; "</f>
        <v xml:space="preserve">Update Project Set Organisation = 'Damanhour University' where Project_ID = 'P0466'; </v>
      </c>
      <c r="Q471" t="str">
        <f>"Update Project Set Library_name = '"&amp;L471&amp;"' , COADD_ID = '"&amp;M471&amp;"' where Project_ID = '"&amp;A471&amp;"'; "</f>
        <v xml:space="preserve">Update Project Set Library_name = '' , COADD_ID = 'CO-ADD:PC0466' where Project_ID = 'P0466'; </v>
      </c>
    </row>
    <row r="472" spans="1:17">
      <c r="A472" t="s">
        <v>6926</v>
      </c>
      <c r="C472" t="s">
        <v>5633</v>
      </c>
      <c r="D472" t="s">
        <v>1152</v>
      </c>
      <c r="E472" t="s">
        <v>4452</v>
      </c>
      <c r="G472" t="s">
        <v>9237</v>
      </c>
      <c r="H472" t="s">
        <v>1154</v>
      </c>
      <c r="I472" t="s">
        <v>269</v>
      </c>
      <c r="K472" t="s">
        <v>5828</v>
      </c>
      <c r="L472" t="s">
        <v>8233</v>
      </c>
      <c r="M472" t="s">
        <v>6925</v>
      </c>
      <c r="N472" s="2">
        <v>45657</v>
      </c>
      <c r="P472" t="str">
        <f>"Update Project Set Organisation = '"&amp;H472&amp;"' where Project_ID = '"&amp;A472&amp;"'; "</f>
        <v xml:space="preserve">Update Project Set Organisation = 'University of Warwick' where Project_ID = 'P0467'; </v>
      </c>
      <c r="Q472" t="str">
        <f>"Update Project Set Library_name = '"&amp;L472&amp;"' , COADD_ID = '"&amp;M472&amp;"' where Project_ID = '"&amp;A472&amp;"'; "</f>
        <v xml:space="preserve">Update Project Set Library_name = 'University of Warwick (United Kingdom)' , COADD_ID = 'CO-ADD:PC0467' where Project_ID = 'P0467'; </v>
      </c>
    </row>
    <row r="473" spans="1:17">
      <c r="A473" t="s">
        <v>6928</v>
      </c>
      <c r="C473" t="s">
        <v>5633</v>
      </c>
      <c r="D473" t="s">
        <v>468</v>
      </c>
      <c r="E473" t="s">
        <v>467</v>
      </c>
      <c r="G473" t="s">
        <v>9035</v>
      </c>
      <c r="H473" t="s">
        <v>472</v>
      </c>
      <c r="I473" t="s">
        <v>211</v>
      </c>
      <c r="K473" t="s">
        <v>5828</v>
      </c>
      <c r="L473" t="s">
        <v>8200</v>
      </c>
      <c r="M473" t="s">
        <v>6927</v>
      </c>
      <c r="N473" s="2">
        <v>45657</v>
      </c>
      <c r="P473" t="str">
        <f>"Update Project Set Organisation = '"&amp;H473&amp;"' where Project_ID = '"&amp;A473&amp;"'; "</f>
        <v xml:space="preserve">Update Project Set Organisation = 'National Institute of Technology (NIT) Warangal' where Project_ID = 'P0468'; </v>
      </c>
      <c r="Q473" t="str">
        <f>"Update Project Set Library_name = '"&amp;L473&amp;"' , COADD_ID = '"&amp;M473&amp;"' where Project_ID = '"&amp;A473&amp;"'; "</f>
        <v xml:space="preserve">Update Project Set Library_name = 'National Institute of Technology (NIT) Warangal (India)' , COADD_ID = 'CO-ADD:PC0468' where Project_ID = 'P0468'; </v>
      </c>
    </row>
    <row r="474" spans="1:17">
      <c r="A474" t="s">
        <v>6931</v>
      </c>
      <c r="B474" t="s">
        <v>6930</v>
      </c>
      <c r="C474" t="s">
        <v>5633</v>
      </c>
      <c r="D474" t="s">
        <v>4643</v>
      </c>
      <c r="E474" t="s">
        <v>4642</v>
      </c>
      <c r="G474" t="s">
        <v>9068</v>
      </c>
      <c r="H474" t="s">
        <v>4646</v>
      </c>
      <c r="I474" t="s">
        <v>1600</v>
      </c>
      <c r="K474" t="s">
        <v>5828</v>
      </c>
      <c r="L474" t="s">
        <v>5995</v>
      </c>
      <c r="M474" t="s">
        <v>6929</v>
      </c>
      <c r="N474" s="2">
        <v>43862</v>
      </c>
      <c r="P474" t="str">
        <f>"Update Project Set Organisation = '"&amp;H474&amp;"' where Project_ID = '"&amp;A474&amp;"'; "</f>
        <v xml:space="preserve">Update Project Set Organisation = 'Russian Academy of Science' where Project_ID = 'P0469'; </v>
      </c>
      <c r="Q474" t="str">
        <f>"Update Project Set Library_name = '"&amp;L474&amp;"' , COADD_ID = '"&amp;M474&amp;"' where Project_ID = '"&amp;A474&amp;"'; "</f>
        <v xml:space="preserve">Update Project Set Library_name = 'Russian Academy of Science (Russia)' , COADD_ID = 'CO-ADD:PC0469' where Project_ID = 'P0469'; </v>
      </c>
    </row>
    <row r="475" spans="1:17">
      <c r="A475" t="s">
        <v>6934</v>
      </c>
      <c r="B475" t="s">
        <v>6933</v>
      </c>
      <c r="C475" t="s">
        <v>5633</v>
      </c>
      <c r="D475" t="s">
        <v>4643</v>
      </c>
      <c r="E475" t="s">
        <v>4642</v>
      </c>
      <c r="G475" t="s">
        <v>9068</v>
      </c>
      <c r="H475" t="s">
        <v>4646</v>
      </c>
      <c r="I475" t="s">
        <v>1600</v>
      </c>
      <c r="K475" t="s">
        <v>5828</v>
      </c>
      <c r="L475" t="s">
        <v>5995</v>
      </c>
      <c r="M475" t="s">
        <v>6932</v>
      </c>
      <c r="N475" s="2">
        <v>43862</v>
      </c>
      <c r="P475" t="str">
        <f>"Update Project Set Organisation = '"&amp;H475&amp;"' where Project_ID = '"&amp;A475&amp;"'; "</f>
        <v xml:space="preserve">Update Project Set Organisation = 'Russian Academy of Science' where Project_ID = 'P0470'; </v>
      </c>
      <c r="Q475" t="str">
        <f>"Update Project Set Library_name = '"&amp;L475&amp;"' , COADD_ID = '"&amp;M475&amp;"' where Project_ID = '"&amp;A475&amp;"'; "</f>
        <v xml:space="preserve">Update Project Set Library_name = 'Russian Academy of Science (Russia)' , COADD_ID = 'CO-ADD:PC0470' where Project_ID = 'P0470'; </v>
      </c>
    </row>
    <row r="476" spans="1:17">
      <c r="A476" t="s">
        <v>6936</v>
      </c>
      <c r="C476" t="s">
        <v>5633</v>
      </c>
      <c r="D476" t="s">
        <v>1020</v>
      </c>
      <c r="E476" t="s">
        <v>1312</v>
      </c>
      <c r="G476" t="s">
        <v>9131</v>
      </c>
      <c r="H476" t="s">
        <v>596</v>
      </c>
      <c r="I476" t="s">
        <v>223</v>
      </c>
      <c r="K476" t="s">
        <v>5828</v>
      </c>
      <c r="L476" t="s">
        <v>8167</v>
      </c>
      <c r="M476" t="s">
        <v>6935</v>
      </c>
      <c r="N476" s="2">
        <v>45657</v>
      </c>
      <c r="P476" t="str">
        <f>"Update Project Set Organisation = '"&amp;H476&amp;"' where Project_ID = '"&amp;A476&amp;"'; "</f>
        <v xml:space="preserve">Update Project Set Organisation = 'University of Auckland' where Project_ID = 'P0471'; </v>
      </c>
      <c r="Q476" t="str">
        <f>"Update Project Set Library_name = '"&amp;L476&amp;"' , COADD_ID = '"&amp;M476&amp;"' where Project_ID = '"&amp;A476&amp;"'; "</f>
        <v xml:space="preserve">Update Project Set Library_name = 'University of Auckland (New Zealand)' , COADD_ID = 'CO-ADD:PC0471' where Project_ID = 'P0471'; </v>
      </c>
    </row>
    <row r="477" spans="1:17">
      <c r="A477" t="s">
        <v>6938</v>
      </c>
      <c r="C477" t="s">
        <v>5633</v>
      </c>
      <c r="D477" t="s">
        <v>2173</v>
      </c>
      <c r="E477" t="s">
        <v>2237</v>
      </c>
      <c r="G477" t="s">
        <v>8945</v>
      </c>
      <c r="H477" t="s">
        <v>1327</v>
      </c>
      <c r="I477" t="s">
        <v>14</v>
      </c>
      <c r="K477" t="s">
        <v>5843</v>
      </c>
      <c r="M477" t="s">
        <v>6937</v>
      </c>
      <c r="P477" t="str">
        <f>"Update Project Set Organisation = '"&amp;H477&amp;"' where Project_ID = '"&amp;A477&amp;"'; "</f>
        <v xml:space="preserve">Update Project Set Organisation = 'Griffith University' where Project_ID = 'P0472'; </v>
      </c>
      <c r="Q477" t="str">
        <f>"Update Project Set Library_name = '"&amp;L477&amp;"' , COADD_ID = '"&amp;M477&amp;"' where Project_ID = '"&amp;A477&amp;"'; "</f>
        <v xml:space="preserve">Update Project Set Library_name = '' , COADD_ID = 'CO-ADD:PC0472' where Project_ID = 'P0472'; </v>
      </c>
    </row>
    <row r="478" spans="1:17">
      <c r="A478" t="s">
        <v>6940</v>
      </c>
      <c r="C478" t="s">
        <v>5633</v>
      </c>
      <c r="D478" t="s">
        <v>59</v>
      </c>
      <c r="E478" t="s">
        <v>2371</v>
      </c>
      <c r="G478" t="s">
        <v>9018</v>
      </c>
      <c r="H478" t="s">
        <v>5798</v>
      </c>
      <c r="I478" t="s">
        <v>55</v>
      </c>
      <c r="K478" t="s">
        <v>5828</v>
      </c>
      <c r="L478" t="s">
        <v>8242</v>
      </c>
      <c r="M478" t="s">
        <v>6939</v>
      </c>
      <c r="N478" s="2">
        <v>45657</v>
      </c>
      <c r="P478" t="str">
        <f>"Update Project Set Organisation = '"&amp;H478&amp;"' where Project_ID = '"&amp;A478&amp;"'; "</f>
        <v xml:space="preserve">Update Project Set Organisation = 'Modern University for Technology and Information' where Project_ID = 'P0473'; </v>
      </c>
      <c r="Q478" t="str">
        <f>"Update Project Set Library_name = '"&amp;L478&amp;"' , COADD_ID = '"&amp;M478&amp;"' where Project_ID = '"&amp;A478&amp;"'; "</f>
        <v xml:space="preserve">Update Project Set Library_name = 'Modern University for Technology and Information (Egypt)' , COADD_ID = 'CO-ADD:PC0473' where Project_ID = 'P0473'; </v>
      </c>
    </row>
    <row r="479" spans="1:17">
      <c r="A479" t="s">
        <v>6942</v>
      </c>
      <c r="C479" t="s">
        <v>5633</v>
      </c>
      <c r="D479" t="s">
        <v>3981</v>
      </c>
      <c r="E479" t="s">
        <v>4496</v>
      </c>
      <c r="G479" t="s">
        <v>8970</v>
      </c>
      <c r="H479" t="s">
        <v>2041</v>
      </c>
      <c r="I479" t="s">
        <v>1600</v>
      </c>
      <c r="K479" t="s">
        <v>5828</v>
      </c>
      <c r="L479" t="s">
        <v>8223</v>
      </c>
      <c r="M479" t="s">
        <v>6941</v>
      </c>
      <c r="N479" s="2">
        <v>45657</v>
      </c>
      <c r="P479" t="str">
        <f>"Update Project Set Organisation = '"&amp;H479&amp;"' where Project_ID = '"&amp;A479&amp;"'; "</f>
        <v xml:space="preserve">Update Project Set Organisation = 'Institute of Petrochemistry and Catalysis' where Project_ID = 'P0474'; </v>
      </c>
      <c r="Q479" t="str">
        <f>"Update Project Set Library_name = '"&amp;L479&amp;"' , COADD_ID = '"&amp;M479&amp;"' where Project_ID = '"&amp;A479&amp;"'; "</f>
        <v xml:space="preserve">Update Project Set Library_name = 'Institute of Petrochemistry and Catalysis (Russia)' , COADD_ID = 'CO-ADD:PC0474' where Project_ID = 'P0474'; </v>
      </c>
    </row>
    <row r="480" spans="1:17">
      <c r="A480" t="s">
        <v>6944</v>
      </c>
      <c r="C480" t="s">
        <v>5633</v>
      </c>
      <c r="D480" t="s">
        <v>1717</v>
      </c>
      <c r="E480" t="s">
        <v>1716</v>
      </c>
      <c r="F480" t="s">
        <v>3144</v>
      </c>
      <c r="G480" t="s">
        <v>8931</v>
      </c>
      <c r="H480" t="s">
        <v>1719</v>
      </c>
      <c r="I480" t="s">
        <v>253</v>
      </c>
      <c r="K480" t="s">
        <v>5828</v>
      </c>
      <c r="L480" t="s">
        <v>8243</v>
      </c>
      <c r="M480" t="s">
        <v>6943</v>
      </c>
      <c r="N480" s="2">
        <v>45657</v>
      </c>
      <c r="P480" t="str">
        <f>"Update Project Set Organisation = '"&amp;H480&amp;"' where Project_ID = '"&amp;A480&amp;"'; "</f>
        <v xml:space="preserve">Update Project Set Organisation = 'Ecole Polytechnique Fédérale de Lausanne (EPFL)' where Project_ID = 'P0475'; </v>
      </c>
      <c r="Q480" t="str">
        <f>"Update Project Set Library_name = '"&amp;L480&amp;"' , COADD_ID = '"&amp;M480&amp;"' where Project_ID = '"&amp;A480&amp;"'; "</f>
        <v xml:space="preserve">Update Project Set Library_name = 'Ecole Polytechnique Fédérale de Lausanne (EPFL) (Switzerland)' , COADD_ID = 'CO-ADD:PC0475' where Project_ID = 'P0475'; </v>
      </c>
    </row>
    <row r="481" spans="1:17">
      <c r="A481" t="s">
        <v>6946</v>
      </c>
      <c r="C481" t="s">
        <v>5633</v>
      </c>
      <c r="D481" t="s">
        <v>59</v>
      </c>
      <c r="E481" t="s">
        <v>4673</v>
      </c>
      <c r="G481" t="s">
        <v>9018</v>
      </c>
      <c r="H481" t="s">
        <v>5798</v>
      </c>
      <c r="I481" t="s">
        <v>55</v>
      </c>
      <c r="K481" t="s">
        <v>5828</v>
      </c>
      <c r="L481" t="s">
        <v>8242</v>
      </c>
      <c r="M481" t="s">
        <v>6945</v>
      </c>
      <c r="N481" s="2">
        <v>45657</v>
      </c>
      <c r="P481" t="str">
        <f>"Update Project Set Organisation = '"&amp;H481&amp;"' where Project_ID = '"&amp;A481&amp;"'; "</f>
        <v xml:space="preserve">Update Project Set Organisation = 'Modern University for Technology and Information' where Project_ID = 'P0476'; </v>
      </c>
      <c r="Q481" t="str">
        <f>"Update Project Set Library_name = '"&amp;L481&amp;"' , COADD_ID = '"&amp;M481&amp;"' where Project_ID = '"&amp;A481&amp;"'; "</f>
        <v xml:space="preserve">Update Project Set Library_name = 'Modern University for Technology and Information (Egypt)' , COADD_ID = 'CO-ADD:PC0476' where Project_ID = 'P0476'; </v>
      </c>
    </row>
    <row r="482" spans="1:17">
      <c r="A482" t="s">
        <v>6948</v>
      </c>
      <c r="C482" t="s">
        <v>5633</v>
      </c>
      <c r="D482" t="s">
        <v>59</v>
      </c>
      <c r="E482" t="s">
        <v>2371</v>
      </c>
      <c r="G482" t="s">
        <v>9018</v>
      </c>
      <c r="H482" t="s">
        <v>5798</v>
      </c>
      <c r="I482" t="s">
        <v>55</v>
      </c>
      <c r="K482" t="s">
        <v>5828</v>
      </c>
      <c r="L482" t="s">
        <v>8242</v>
      </c>
      <c r="M482" t="s">
        <v>6947</v>
      </c>
      <c r="N482" s="2">
        <v>45657</v>
      </c>
      <c r="P482" t="str">
        <f>"Update Project Set Organisation = '"&amp;H482&amp;"' where Project_ID = '"&amp;A482&amp;"'; "</f>
        <v xml:space="preserve">Update Project Set Organisation = 'Modern University for Technology and Information' where Project_ID = 'P0477'; </v>
      </c>
      <c r="Q482" t="str">
        <f>"Update Project Set Library_name = '"&amp;L482&amp;"' , COADD_ID = '"&amp;M482&amp;"' where Project_ID = '"&amp;A482&amp;"'; "</f>
        <v xml:space="preserve">Update Project Set Library_name = 'Modern University for Technology and Information (Egypt)' , COADD_ID = 'CO-ADD:PC0477' where Project_ID = 'P0477'; </v>
      </c>
    </row>
    <row r="483" spans="1:17">
      <c r="A483" t="s">
        <v>6950</v>
      </c>
      <c r="C483" t="s">
        <v>5633</v>
      </c>
      <c r="D483" t="s">
        <v>2627</v>
      </c>
      <c r="E483" t="s">
        <v>3540</v>
      </c>
      <c r="G483" t="s">
        <v>9038</v>
      </c>
      <c r="H483" t="s">
        <v>2631</v>
      </c>
      <c r="I483" t="s">
        <v>2634</v>
      </c>
      <c r="K483" t="s">
        <v>5828</v>
      </c>
      <c r="L483" t="s">
        <v>8244</v>
      </c>
      <c r="M483" t="s">
        <v>6949</v>
      </c>
      <c r="N483" s="2">
        <v>45657</v>
      </c>
      <c r="P483" t="str">
        <f>"Update Project Set Organisation = '"&amp;H483&amp;"' where Project_ID = '"&amp;A483&amp;"'; "</f>
        <v xml:space="preserve">Update Project Set Organisation = 'National Technical University of Athens' where Project_ID = 'P0478'; </v>
      </c>
      <c r="Q483" t="str">
        <f>"Update Project Set Library_name = '"&amp;L483&amp;"' , COADD_ID = '"&amp;M483&amp;"' where Project_ID = '"&amp;A483&amp;"'; "</f>
        <v xml:space="preserve">Update Project Set Library_name = 'National Technical University of Athens (Greece)' , COADD_ID = 'CO-ADD:PC0478' where Project_ID = 'P0478'; </v>
      </c>
    </row>
    <row r="484" spans="1:17">
      <c r="A484" t="s">
        <v>6952</v>
      </c>
      <c r="C484" t="s">
        <v>5633</v>
      </c>
      <c r="D484" t="s">
        <v>59</v>
      </c>
      <c r="E484" t="s">
        <v>179</v>
      </c>
      <c r="G484" t="s">
        <v>9018</v>
      </c>
      <c r="H484" t="s">
        <v>5798</v>
      </c>
      <c r="I484" t="s">
        <v>55</v>
      </c>
      <c r="K484" t="s">
        <v>5828</v>
      </c>
      <c r="L484" t="s">
        <v>8242</v>
      </c>
      <c r="M484" t="s">
        <v>6951</v>
      </c>
      <c r="N484" s="2">
        <v>45657</v>
      </c>
      <c r="P484" t="str">
        <f>"Update Project Set Organisation = '"&amp;H484&amp;"' where Project_ID = '"&amp;A484&amp;"'; "</f>
        <v xml:space="preserve">Update Project Set Organisation = 'Modern University for Technology and Information' where Project_ID = 'P0479'; </v>
      </c>
      <c r="Q484" t="str">
        <f>"Update Project Set Library_name = '"&amp;L484&amp;"' , COADD_ID = '"&amp;M484&amp;"' where Project_ID = '"&amp;A484&amp;"'; "</f>
        <v xml:space="preserve">Update Project Set Library_name = 'Modern University for Technology and Information (Egypt)' , COADD_ID = 'CO-ADD:PC0479' where Project_ID = 'P0479'; </v>
      </c>
    </row>
    <row r="485" spans="1:17">
      <c r="A485" t="s">
        <v>6954</v>
      </c>
      <c r="C485" t="s">
        <v>5633</v>
      </c>
      <c r="D485" t="s">
        <v>2355</v>
      </c>
      <c r="E485" t="s">
        <v>4131</v>
      </c>
      <c r="G485" t="s">
        <v>9009</v>
      </c>
      <c r="H485" t="s">
        <v>2358</v>
      </c>
      <c r="I485" t="s">
        <v>117</v>
      </c>
      <c r="K485" t="s">
        <v>5843</v>
      </c>
      <c r="M485" t="s">
        <v>6953</v>
      </c>
      <c r="P485" t="str">
        <f>"Update Project Set Organisation = '"&amp;H485&amp;"' where Project_ID = '"&amp;A485&amp;"'; "</f>
        <v xml:space="preserve">Update Project Set Organisation = 'Medical University of South Carolina' where Project_ID = 'P0480'; </v>
      </c>
      <c r="Q485" t="str">
        <f>"Update Project Set Library_name = '"&amp;L485&amp;"' , COADD_ID = '"&amp;M485&amp;"' where Project_ID = '"&amp;A485&amp;"'; "</f>
        <v xml:space="preserve">Update Project Set Library_name = '' , COADD_ID = 'CO-ADD:PC0480' where Project_ID = 'P0480'; </v>
      </c>
    </row>
    <row r="486" spans="1:17">
      <c r="A486" t="s">
        <v>6956</v>
      </c>
      <c r="C486" t="s">
        <v>5633</v>
      </c>
      <c r="D486" t="s">
        <v>910</v>
      </c>
      <c r="E486" t="s">
        <v>909</v>
      </c>
      <c r="G486" t="s">
        <v>9092</v>
      </c>
      <c r="H486" t="s">
        <v>913</v>
      </c>
      <c r="I486" t="s">
        <v>117</v>
      </c>
      <c r="K486" t="s">
        <v>5828</v>
      </c>
      <c r="L486" t="s">
        <v>8172</v>
      </c>
      <c r="M486" t="s">
        <v>6955</v>
      </c>
      <c r="N486" s="2">
        <v>45657</v>
      </c>
      <c r="P486" t="str">
        <f>"Update Project Set Organisation = '"&amp;H486&amp;"' where Project_ID = '"&amp;A486&amp;"'; "</f>
        <v xml:space="preserve">Update Project Set Organisation = 'Trinity College' where Project_ID = 'P0482'; </v>
      </c>
      <c r="Q486" t="str">
        <f>"Update Project Set Library_name = '"&amp;L486&amp;"' , COADD_ID = '"&amp;M486&amp;"' where Project_ID = '"&amp;A486&amp;"'; "</f>
        <v xml:space="preserve">Update Project Set Library_name = 'Trinity College (United States)' , COADD_ID = 'CO-ADD:PC0482' where Project_ID = 'P0482'; </v>
      </c>
    </row>
    <row r="487" spans="1:17">
      <c r="A487" t="s">
        <v>6958</v>
      </c>
      <c r="C487" t="s">
        <v>5633</v>
      </c>
      <c r="D487" t="s">
        <v>2258</v>
      </c>
      <c r="E487" t="s">
        <v>3319</v>
      </c>
      <c r="G487" t="s">
        <v>9175</v>
      </c>
      <c r="H487" t="s">
        <v>1539</v>
      </c>
      <c r="I487" t="s">
        <v>14</v>
      </c>
      <c r="K487" t="s">
        <v>5828</v>
      </c>
      <c r="L487" t="s">
        <v>8245</v>
      </c>
      <c r="M487" t="s">
        <v>6957</v>
      </c>
      <c r="N487" s="2">
        <v>45657</v>
      </c>
      <c r="P487" t="str">
        <f>"Update Project Set Organisation = '"&amp;H487&amp;"' where Project_ID = '"&amp;A487&amp;"'; "</f>
        <v xml:space="preserve">Update Project Set Organisation = 'University of New England' where Project_ID = 'P0483'; </v>
      </c>
      <c r="Q487" t="str">
        <f>"Update Project Set Library_name = '"&amp;L487&amp;"' , COADD_ID = '"&amp;M487&amp;"' where Project_ID = '"&amp;A487&amp;"'; "</f>
        <v xml:space="preserve">Update Project Set Library_name = 'University of New England (Australia)' , COADD_ID = 'CO-ADD:PC0483' where Project_ID = 'P0483'; </v>
      </c>
    </row>
    <row r="488" spans="1:17">
      <c r="A488" t="s">
        <v>6960</v>
      </c>
      <c r="C488" t="s">
        <v>5633</v>
      </c>
      <c r="D488" t="s">
        <v>2700</v>
      </c>
      <c r="E488" t="s">
        <v>2699</v>
      </c>
      <c r="G488" t="s">
        <v>8951</v>
      </c>
      <c r="H488" t="s">
        <v>3640</v>
      </c>
      <c r="I488" t="s">
        <v>86</v>
      </c>
      <c r="K488" t="s">
        <v>5843</v>
      </c>
      <c r="M488" t="s">
        <v>6959</v>
      </c>
      <c r="P488" t="str">
        <f>"Update Project Set Organisation = '"&amp;H488&amp;"' where Project_ID = '"&amp;A488&amp;"'; "</f>
        <v xml:space="preserve">Update Project Set Organisation = 'Gulf College' where Project_ID = 'P0484'; </v>
      </c>
      <c r="Q488" t="str">
        <f>"Update Project Set Library_name = '"&amp;L488&amp;"' , COADD_ID = '"&amp;M488&amp;"' where Project_ID = '"&amp;A488&amp;"'; "</f>
        <v xml:space="preserve">Update Project Set Library_name = '' , COADD_ID = 'CO-ADD:PC0484' where Project_ID = 'P0484'; </v>
      </c>
    </row>
    <row r="489" spans="1:17">
      <c r="A489" t="s">
        <v>6962</v>
      </c>
      <c r="C489" t="s">
        <v>5633</v>
      </c>
      <c r="D489" t="s">
        <v>1077</v>
      </c>
      <c r="E489" t="s">
        <v>3365</v>
      </c>
      <c r="G489" t="s">
        <v>9158</v>
      </c>
      <c r="H489" t="s">
        <v>1080</v>
      </c>
      <c r="I489" t="s">
        <v>117</v>
      </c>
      <c r="K489" t="s">
        <v>5828</v>
      </c>
      <c r="L489" t="s">
        <v>8246</v>
      </c>
      <c r="M489" t="s">
        <v>6961</v>
      </c>
      <c r="N489" s="2">
        <v>45657</v>
      </c>
      <c r="P489" t="str">
        <f>"Update Project Set Organisation = '"&amp;H489&amp;"' where Project_ID = '"&amp;A489&amp;"'; "</f>
        <v xml:space="preserve">Update Project Set Organisation = 'University of Leeds' where Project_ID = 'P0485'; </v>
      </c>
      <c r="Q489" t="str">
        <f>"Update Project Set Library_name = '"&amp;L489&amp;"' , COADD_ID = '"&amp;M489&amp;"' where Project_ID = '"&amp;A489&amp;"'; "</f>
        <v xml:space="preserve">Update Project Set Library_name = 'University of Leeds (United States)' , COADD_ID = 'CO-ADD:PC0485' where Project_ID = 'P0485'; </v>
      </c>
    </row>
    <row r="490" spans="1:17">
      <c r="A490" t="s">
        <v>6964</v>
      </c>
      <c r="C490" t="s">
        <v>5633</v>
      </c>
      <c r="D490" t="s">
        <v>2886</v>
      </c>
      <c r="E490" t="s">
        <v>2885</v>
      </c>
      <c r="G490" t="s">
        <v>9246</v>
      </c>
      <c r="H490" t="s">
        <v>1422</v>
      </c>
      <c r="I490" t="s">
        <v>14</v>
      </c>
      <c r="K490" t="s">
        <v>5806</v>
      </c>
      <c r="M490" t="s">
        <v>6963</v>
      </c>
      <c r="P490" t="str">
        <f>"Update Project Set Organisation = '"&amp;H490&amp;"' where Project_ID = '"&amp;A490&amp;"'; "</f>
        <v xml:space="preserve">Update Project Set Organisation = 'University of Wollongong' where Project_ID = 'P0486'; </v>
      </c>
      <c r="Q490" t="str">
        <f>"Update Project Set Library_name = '"&amp;L490&amp;"' , COADD_ID = '"&amp;M490&amp;"' where Project_ID = '"&amp;A490&amp;"'; "</f>
        <v xml:space="preserve">Update Project Set Library_name = '' , COADD_ID = 'CO-ADD:PC0486' where Project_ID = 'P0486'; </v>
      </c>
    </row>
    <row r="491" spans="1:17">
      <c r="A491" t="s">
        <v>6966</v>
      </c>
      <c r="C491" t="s">
        <v>5633</v>
      </c>
      <c r="D491" t="s">
        <v>4023</v>
      </c>
      <c r="E491" t="s">
        <v>4022</v>
      </c>
      <c r="G491" t="s">
        <v>8975</v>
      </c>
      <c r="H491" t="s">
        <v>208</v>
      </c>
      <c r="I491" t="s">
        <v>211</v>
      </c>
      <c r="K491" t="s">
        <v>5828</v>
      </c>
      <c r="L491" t="s">
        <v>6572</v>
      </c>
      <c r="M491" t="s">
        <v>6965</v>
      </c>
      <c r="N491" s="2">
        <v>45657</v>
      </c>
      <c r="P491" t="str">
        <f>"Update Project Set Organisation = '"&amp;H491&amp;"' where Project_ID = '"&amp;A491&amp;"'; "</f>
        <v xml:space="preserve">Update Project Set Organisation = 'Jain University' where Project_ID = 'P0487'; </v>
      </c>
      <c r="Q491" t="str">
        <f>"Update Project Set Library_name = '"&amp;L491&amp;"' , COADD_ID = '"&amp;M491&amp;"' where Project_ID = '"&amp;A491&amp;"'; "</f>
        <v xml:space="preserve">Update Project Set Library_name = 'Jain University (India)' , COADD_ID = 'CO-ADD:PC0487' where Project_ID = 'P0487'; </v>
      </c>
    </row>
    <row r="492" spans="1:17">
      <c r="A492" t="s">
        <v>6968</v>
      </c>
      <c r="C492" t="s">
        <v>5633</v>
      </c>
      <c r="D492" t="s">
        <v>1110</v>
      </c>
      <c r="E492" t="s">
        <v>1109</v>
      </c>
      <c r="G492" t="s">
        <v>8996</v>
      </c>
      <c r="H492" t="s">
        <v>1114</v>
      </c>
      <c r="I492" t="s">
        <v>14</v>
      </c>
      <c r="K492" t="s">
        <v>5828</v>
      </c>
      <c r="L492" t="s">
        <v>6195</v>
      </c>
      <c r="M492" t="s">
        <v>6967</v>
      </c>
      <c r="N492" s="2">
        <v>45657</v>
      </c>
      <c r="P492" t="str">
        <f>"Update Project Set Organisation = '"&amp;H492&amp;"' where Project_ID = '"&amp;A492&amp;"'; "</f>
        <v xml:space="preserve">Update Project Set Organisation = 'Macquarie University' where Project_ID = 'P0488'; </v>
      </c>
      <c r="Q492" t="str">
        <f>"Update Project Set Library_name = '"&amp;L492&amp;"' , COADD_ID = '"&amp;M492&amp;"' where Project_ID = '"&amp;A492&amp;"'; "</f>
        <v xml:space="preserve">Update Project Set Library_name = 'Macquarie University (Australia)' , COADD_ID = 'CO-ADD:PC0488' where Project_ID = 'P0488'; </v>
      </c>
    </row>
    <row r="493" spans="1:17">
      <c r="A493" t="s">
        <v>6970</v>
      </c>
      <c r="C493" t="s">
        <v>5633</v>
      </c>
      <c r="D493" t="s">
        <v>1656</v>
      </c>
      <c r="E493" t="s">
        <v>1655</v>
      </c>
      <c r="G493" t="s">
        <v>9022</v>
      </c>
      <c r="H493" t="s">
        <v>517</v>
      </c>
      <c r="I493" t="s">
        <v>14</v>
      </c>
      <c r="K493" t="s">
        <v>5828</v>
      </c>
      <c r="L493" t="s">
        <v>8212</v>
      </c>
      <c r="M493" t="s">
        <v>6969</v>
      </c>
      <c r="N493" s="2">
        <v>45657</v>
      </c>
      <c r="P493" t="str">
        <f>"Update Project Set Organisation = '"&amp;H493&amp;"' where Project_ID = '"&amp;A493&amp;"'; "</f>
        <v xml:space="preserve">Update Project Set Organisation = 'Monash University' where Project_ID = 'P0489'; </v>
      </c>
      <c r="Q493" t="str">
        <f>"Update Project Set Library_name = '"&amp;L493&amp;"' , COADD_ID = '"&amp;M493&amp;"' where Project_ID = '"&amp;A493&amp;"'; "</f>
        <v xml:space="preserve">Update Project Set Library_name = 'Monash University (Australia)' , COADD_ID = 'CO-ADD:PC0489' where Project_ID = 'P0489'; </v>
      </c>
    </row>
    <row r="494" spans="1:17">
      <c r="A494" t="s">
        <v>6972</v>
      </c>
      <c r="C494" t="s">
        <v>5633</v>
      </c>
      <c r="D494" t="s">
        <v>3058</v>
      </c>
      <c r="E494" t="s">
        <v>3169</v>
      </c>
      <c r="F494" t="s">
        <v>4950</v>
      </c>
      <c r="G494" t="s">
        <v>8994</v>
      </c>
      <c r="H494" t="s">
        <v>3062</v>
      </c>
      <c r="I494" t="s">
        <v>557</v>
      </c>
      <c r="K494" t="s">
        <v>5843</v>
      </c>
      <c r="M494" t="s">
        <v>6971</v>
      </c>
      <c r="P494" t="str">
        <f>"Update Project Set Organisation = '"&amp;H494&amp;"' where Project_ID = '"&amp;A494&amp;"'; "</f>
        <v xml:space="preserve">Update Project Set Organisation = 'Leuphana University Lueneburg' where Project_ID = 'P0490'; </v>
      </c>
      <c r="Q494" t="str">
        <f>"Update Project Set Library_name = '"&amp;L494&amp;"' , COADD_ID = '"&amp;M494&amp;"' where Project_ID = '"&amp;A494&amp;"'; "</f>
        <v xml:space="preserve">Update Project Set Library_name = '' , COADD_ID = 'CO-ADD:PC0490' where Project_ID = 'P0490'; </v>
      </c>
    </row>
    <row r="495" spans="1:17">
      <c r="A495" t="s">
        <v>6974</v>
      </c>
      <c r="C495" t="s">
        <v>5633</v>
      </c>
      <c r="D495" t="s">
        <v>4218</v>
      </c>
      <c r="E495" t="s">
        <v>4217</v>
      </c>
      <c r="G495" t="s">
        <v>8884</v>
      </c>
      <c r="H495" t="s">
        <v>92</v>
      </c>
      <c r="I495" t="s">
        <v>55</v>
      </c>
      <c r="K495" t="s">
        <v>5828</v>
      </c>
      <c r="L495" t="s">
        <v>8232</v>
      </c>
      <c r="M495" t="s">
        <v>6973</v>
      </c>
      <c r="N495" s="2">
        <v>45657</v>
      </c>
      <c r="P495" t="str">
        <f>"Update Project Set Organisation = '"&amp;H495&amp;"' where Project_ID = '"&amp;A495&amp;"'; "</f>
        <v xml:space="preserve">Update Project Set Organisation = 'Assiut University' where Project_ID = 'P0491'; </v>
      </c>
      <c r="Q495" t="str">
        <f>"Update Project Set Library_name = '"&amp;L495&amp;"' , COADD_ID = '"&amp;M495&amp;"' where Project_ID = '"&amp;A495&amp;"'; "</f>
        <v xml:space="preserve">Update Project Set Library_name = 'Assiut University (Egypt)' , COADD_ID = 'CO-ADD:PC0491' where Project_ID = 'P0491'; </v>
      </c>
    </row>
    <row r="496" spans="1:17">
      <c r="A496" t="s">
        <v>6976</v>
      </c>
      <c r="C496" t="s">
        <v>5633</v>
      </c>
      <c r="D496" t="s">
        <v>4464</v>
      </c>
      <c r="E496" t="s">
        <v>4463</v>
      </c>
      <c r="G496" t="s">
        <v>8952</v>
      </c>
      <c r="H496" t="s">
        <v>4467</v>
      </c>
      <c r="I496" t="s">
        <v>4470</v>
      </c>
      <c r="K496" t="s">
        <v>5806</v>
      </c>
      <c r="M496" t="s">
        <v>6975</v>
      </c>
      <c r="P496" t="str">
        <f>"Update Project Set Organisation = '"&amp;H496&amp;"' where Project_ID = '"&amp;A496&amp;"'; "</f>
        <v xml:space="preserve">Update Project Set Organisation = 'Hacettepe University' where Project_ID = 'P0492'; </v>
      </c>
      <c r="Q496" t="str">
        <f>"Update Project Set Library_name = '"&amp;L496&amp;"' , COADD_ID = '"&amp;M496&amp;"' where Project_ID = '"&amp;A496&amp;"'; "</f>
        <v xml:space="preserve">Update Project Set Library_name = '' , COADD_ID = 'CO-ADD:PC0492' where Project_ID = 'P0492'; </v>
      </c>
    </row>
    <row r="497" spans="1:17">
      <c r="A497" t="s">
        <v>6978</v>
      </c>
      <c r="C497" t="s">
        <v>5633</v>
      </c>
      <c r="D497" t="s">
        <v>1837</v>
      </c>
      <c r="E497" t="s">
        <v>1836</v>
      </c>
      <c r="G497" t="s">
        <v>8903</v>
      </c>
      <c r="H497" t="s">
        <v>1841</v>
      </c>
      <c r="I497" t="s">
        <v>55</v>
      </c>
      <c r="K497" t="s">
        <v>5828</v>
      </c>
      <c r="L497" t="s">
        <v>8247</v>
      </c>
      <c r="M497" t="s">
        <v>6977</v>
      </c>
      <c r="N497" s="2">
        <v>45657</v>
      </c>
      <c r="P497" t="str">
        <f>"Update Project Set Organisation = '"&amp;H497&amp;"' where Project_ID = '"&amp;A497&amp;"'; "</f>
        <v xml:space="preserve">Update Project Set Organisation = 'Cairo University' where Project_ID = 'P0493'; </v>
      </c>
      <c r="Q497" t="str">
        <f>"Update Project Set Library_name = '"&amp;L497&amp;"' , COADD_ID = '"&amp;M497&amp;"' where Project_ID = '"&amp;A497&amp;"'; "</f>
        <v xml:space="preserve">Update Project Set Library_name = 'Cairo University (Egypt)' , COADD_ID = 'CO-ADD:PC0493' where Project_ID = 'P0493'; </v>
      </c>
    </row>
    <row r="498" spans="1:17">
      <c r="A498" t="s">
        <v>6980</v>
      </c>
      <c r="C498" t="s">
        <v>5633</v>
      </c>
      <c r="D498" t="s">
        <v>204</v>
      </c>
      <c r="E498" t="s">
        <v>203</v>
      </c>
      <c r="G498" t="s">
        <v>8977</v>
      </c>
      <c r="H498" t="s">
        <v>208</v>
      </c>
      <c r="I498" t="s">
        <v>211</v>
      </c>
      <c r="K498" t="s">
        <v>5837</v>
      </c>
      <c r="M498" t="s">
        <v>6979</v>
      </c>
      <c r="P498" t="str">
        <f>"Update Project Set Organisation = '"&amp;H498&amp;"' where Project_ID = '"&amp;A498&amp;"'; "</f>
        <v xml:space="preserve">Update Project Set Organisation = 'Jain University' where Project_ID = 'P0494'; </v>
      </c>
      <c r="Q498" t="str">
        <f>"Update Project Set Library_name = '"&amp;L498&amp;"' , COADD_ID = '"&amp;M498&amp;"' where Project_ID = '"&amp;A498&amp;"'; "</f>
        <v xml:space="preserve">Update Project Set Library_name = '' , COADD_ID = 'CO-ADD:PC0494' where Project_ID = 'P0494'; </v>
      </c>
    </row>
    <row r="499" spans="1:17">
      <c r="A499" t="s">
        <v>6982</v>
      </c>
      <c r="C499" t="s">
        <v>5633</v>
      </c>
      <c r="D499" t="s">
        <v>4756</v>
      </c>
      <c r="E499" t="s">
        <v>4755</v>
      </c>
      <c r="G499" t="s">
        <v>9155</v>
      </c>
      <c r="H499" t="s">
        <v>4758</v>
      </c>
      <c r="I499" t="s">
        <v>609</v>
      </c>
      <c r="K499" t="s">
        <v>5828</v>
      </c>
      <c r="L499" t="s">
        <v>8248</v>
      </c>
      <c r="M499" t="s">
        <v>6981</v>
      </c>
      <c r="N499" s="2">
        <v>45657</v>
      </c>
      <c r="P499" t="str">
        <f>"Update Project Set Organisation = '"&amp;H499&amp;"' where Project_ID = '"&amp;A499&amp;"'; "</f>
        <v xml:space="preserve">Update Project Set Organisation = 'University of KwaZulu Natal' where Project_ID = 'P0495'; </v>
      </c>
      <c r="Q499" t="str">
        <f>"Update Project Set Library_name = '"&amp;L499&amp;"' , COADD_ID = '"&amp;M499&amp;"' where Project_ID = '"&amp;A499&amp;"'; "</f>
        <v xml:space="preserve">Update Project Set Library_name = 'University of KwaZulu Natal (South Africa)' , COADD_ID = 'CO-ADD:PC0495' where Project_ID = 'P0495'; </v>
      </c>
    </row>
    <row r="500" spans="1:17">
      <c r="A500" t="s">
        <v>6984</v>
      </c>
      <c r="C500" t="s">
        <v>5633</v>
      </c>
      <c r="D500" t="s">
        <v>1409</v>
      </c>
      <c r="E500" t="s">
        <v>1408</v>
      </c>
      <c r="G500" t="s">
        <v>9108</v>
      </c>
      <c r="H500" t="s">
        <v>1413</v>
      </c>
      <c r="I500" t="s">
        <v>75</v>
      </c>
      <c r="K500" t="s">
        <v>5828</v>
      </c>
      <c r="L500" t="s">
        <v>8249</v>
      </c>
      <c r="M500" t="s">
        <v>6983</v>
      </c>
      <c r="N500" s="2">
        <v>45657</v>
      </c>
      <c r="P500" t="str">
        <f>"Update Project Set Organisation = '"&amp;H500&amp;"' where Project_ID = '"&amp;A500&amp;"'; "</f>
        <v xml:space="preserve">Update Project Set Organisation = 'Université de Montréal' where Project_ID = 'P0496'; </v>
      </c>
      <c r="Q500" t="str">
        <f>"Update Project Set Library_name = '"&amp;L500&amp;"' , COADD_ID = '"&amp;M500&amp;"' where Project_ID = '"&amp;A500&amp;"'; "</f>
        <v xml:space="preserve">Update Project Set Library_name = 'Université de Montréal (Canada)' , COADD_ID = 'CO-ADD:PC0496' where Project_ID = 'P0496'; </v>
      </c>
    </row>
    <row r="501" spans="1:17">
      <c r="A501" t="s">
        <v>6987</v>
      </c>
      <c r="B501" t="s">
        <v>6986</v>
      </c>
      <c r="C501" t="s">
        <v>5633</v>
      </c>
      <c r="D501" t="s">
        <v>4643</v>
      </c>
      <c r="E501" t="s">
        <v>4642</v>
      </c>
      <c r="G501" t="s">
        <v>9068</v>
      </c>
      <c r="H501" t="s">
        <v>4646</v>
      </c>
      <c r="I501" t="s">
        <v>1600</v>
      </c>
      <c r="K501" t="s">
        <v>5828</v>
      </c>
      <c r="L501" t="s">
        <v>5995</v>
      </c>
      <c r="M501" t="s">
        <v>6985</v>
      </c>
      <c r="N501" s="2">
        <v>43862</v>
      </c>
      <c r="P501" t="str">
        <f>"Update Project Set Organisation = '"&amp;H501&amp;"' where Project_ID = '"&amp;A501&amp;"'; "</f>
        <v xml:space="preserve">Update Project Set Organisation = 'Russian Academy of Science' where Project_ID = 'P0497'; </v>
      </c>
      <c r="Q501" t="str">
        <f>"Update Project Set Library_name = '"&amp;L501&amp;"' , COADD_ID = '"&amp;M501&amp;"' where Project_ID = '"&amp;A501&amp;"'; "</f>
        <v xml:space="preserve">Update Project Set Library_name = 'Russian Academy of Science (Russia)' , COADD_ID = 'CO-ADD:PC0497' where Project_ID = 'P0497'; </v>
      </c>
    </row>
    <row r="502" spans="1:17">
      <c r="A502" t="s">
        <v>6989</v>
      </c>
      <c r="C502" t="s">
        <v>5633</v>
      </c>
      <c r="D502" t="s">
        <v>2021</v>
      </c>
      <c r="E502" t="s">
        <v>3154</v>
      </c>
      <c r="F502" t="s">
        <v>2020</v>
      </c>
      <c r="G502" t="s">
        <v>9039</v>
      </c>
      <c r="H502" t="s">
        <v>2024</v>
      </c>
      <c r="I502" t="s">
        <v>1235</v>
      </c>
      <c r="K502" t="s">
        <v>5828</v>
      </c>
      <c r="L502" t="s">
        <v>8250</v>
      </c>
      <c r="M502" t="s">
        <v>6988</v>
      </c>
      <c r="N502" s="2">
        <v>45657</v>
      </c>
      <c r="P502" t="str">
        <f>"Update Project Set Organisation = '"&amp;H502&amp;"' where Project_ID = '"&amp;A502&amp;"'; "</f>
        <v xml:space="preserve">Update Project Set Organisation = 'National University of Ireland Galway' where Project_ID = 'P0498'; </v>
      </c>
      <c r="Q502" t="str">
        <f>"Update Project Set Library_name = '"&amp;L502&amp;"' , COADD_ID = '"&amp;M502&amp;"' where Project_ID = '"&amp;A502&amp;"'; "</f>
        <v xml:space="preserve">Update Project Set Library_name = 'National University of Ireland Galway (Ireland)' , COADD_ID = 'CO-ADD:PC0498' where Project_ID = 'P0498'; </v>
      </c>
    </row>
    <row r="503" spans="1:17">
      <c r="A503" t="s">
        <v>6991</v>
      </c>
      <c r="C503" t="s">
        <v>5633</v>
      </c>
      <c r="D503" t="s">
        <v>1717</v>
      </c>
      <c r="E503" t="s">
        <v>3144</v>
      </c>
      <c r="G503" t="s">
        <v>8931</v>
      </c>
      <c r="H503" t="s">
        <v>1719</v>
      </c>
      <c r="I503" t="s">
        <v>253</v>
      </c>
      <c r="K503" t="s">
        <v>5828</v>
      </c>
      <c r="L503" t="s">
        <v>8243</v>
      </c>
      <c r="M503" t="s">
        <v>6990</v>
      </c>
      <c r="N503" s="2">
        <v>45657</v>
      </c>
      <c r="P503" t="str">
        <f>"Update Project Set Organisation = '"&amp;H503&amp;"' where Project_ID = '"&amp;A503&amp;"'; "</f>
        <v xml:space="preserve">Update Project Set Organisation = 'Ecole Polytechnique Fédérale de Lausanne (EPFL)' where Project_ID = 'P0499'; </v>
      </c>
      <c r="Q503" t="str">
        <f>"Update Project Set Library_name = '"&amp;L503&amp;"' , COADD_ID = '"&amp;M503&amp;"' where Project_ID = '"&amp;A503&amp;"'; "</f>
        <v xml:space="preserve">Update Project Set Library_name = 'Ecole Polytechnique Fédérale de Lausanne (EPFL) (Switzerland)' , COADD_ID = 'CO-ADD:PC0499' where Project_ID = 'P0499'; </v>
      </c>
    </row>
    <row r="504" spans="1:17">
      <c r="A504" t="s">
        <v>6993</v>
      </c>
      <c r="C504" t="s">
        <v>5633</v>
      </c>
      <c r="D504" t="s">
        <v>495</v>
      </c>
      <c r="E504" t="s">
        <v>2800</v>
      </c>
      <c r="G504" t="s">
        <v>9181</v>
      </c>
      <c r="H504" t="s">
        <v>499</v>
      </c>
      <c r="I504" t="s">
        <v>117</v>
      </c>
      <c r="K504" t="s">
        <v>5828</v>
      </c>
      <c r="L504" t="s">
        <v>8251</v>
      </c>
      <c r="M504" t="s">
        <v>6992</v>
      </c>
      <c r="N504" s="2">
        <v>45657</v>
      </c>
      <c r="P504" t="str">
        <f>"Update Project Set Organisation = '"&amp;H504&amp;"' where Project_ID = '"&amp;A504&amp;"'; "</f>
        <v xml:space="preserve">Update Project Set Organisation = 'University of North Carolina at Chapel Hill' where Project_ID = 'P0500'; </v>
      </c>
      <c r="Q504" t="str">
        <f>"Update Project Set Library_name = '"&amp;L504&amp;"' , COADD_ID = '"&amp;M504&amp;"' where Project_ID = '"&amp;A504&amp;"'; "</f>
        <v xml:space="preserve">Update Project Set Library_name = 'University of North Carolina at Chapel Hill (United States)' , COADD_ID = 'CO-ADD:PC0500' where Project_ID = 'P0500'; </v>
      </c>
    </row>
    <row r="505" spans="1:17">
      <c r="A505" t="s">
        <v>6995</v>
      </c>
      <c r="C505" t="s">
        <v>5633</v>
      </c>
      <c r="D505" t="s">
        <v>4985</v>
      </c>
      <c r="G505" t="s">
        <v>9006</v>
      </c>
      <c r="H505" t="s">
        <v>4988</v>
      </c>
      <c r="I505" t="s">
        <v>4990</v>
      </c>
      <c r="K505" t="s">
        <v>5828</v>
      </c>
      <c r="L505" t="s">
        <v>8252</v>
      </c>
      <c r="M505" t="s">
        <v>6994</v>
      </c>
      <c r="N505" s="2">
        <v>45657</v>
      </c>
      <c r="P505" t="str">
        <f>"Update Project Set Organisation = '"&amp;H505&amp;"' where Project_ID = '"&amp;A505&amp;"'; "</f>
        <v xml:space="preserve">Update Project Set Organisation = 'Masaryk University' where Project_ID = 'P0501'; </v>
      </c>
      <c r="Q505" t="str">
        <f>"Update Project Set Library_name = '"&amp;L505&amp;"' , COADD_ID = '"&amp;M505&amp;"' where Project_ID = '"&amp;A505&amp;"'; "</f>
        <v xml:space="preserve">Update Project Set Library_name = 'Masaryk University (Czech Republic)' , COADD_ID = 'CO-ADD:PC0501' where Project_ID = 'P0501'; </v>
      </c>
    </row>
    <row r="506" spans="1:17">
      <c r="A506" t="s">
        <v>6998</v>
      </c>
      <c r="B506" t="s">
        <v>6997</v>
      </c>
      <c r="C506" t="s">
        <v>5633</v>
      </c>
      <c r="D506" t="s">
        <v>4643</v>
      </c>
      <c r="E506" t="s">
        <v>4642</v>
      </c>
      <c r="G506" t="s">
        <v>9068</v>
      </c>
      <c r="H506" t="s">
        <v>4646</v>
      </c>
      <c r="I506" t="s">
        <v>1600</v>
      </c>
      <c r="K506" t="s">
        <v>5828</v>
      </c>
      <c r="L506" t="s">
        <v>5995</v>
      </c>
      <c r="M506" t="s">
        <v>6996</v>
      </c>
      <c r="N506" s="2">
        <v>43862</v>
      </c>
      <c r="P506" t="str">
        <f>"Update Project Set Organisation = '"&amp;H506&amp;"' where Project_ID = '"&amp;A506&amp;"'; "</f>
        <v xml:space="preserve">Update Project Set Organisation = 'Russian Academy of Science' where Project_ID = 'P0502'; </v>
      </c>
      <c r="Q506" t="str">
        <f>"Update Project Set Library_name = '"&amp;L506&amp;"' , COADD_ID = '"&amp;M506&amp;"' where Project_ID = '"&amp;A506&amp;"'; "</f>
        <v xml:space="preserve">Update Project Set Library_name = 'Russian Academy of Science (Russia)' , COADD_ID = 'CO-ADD:PC0502' where Project_ID = 'P0502'; </v>
      </c>
    </row>
    <row r="507" spans="1:17">
      <c r="A507" t="s">
        <v>7001</v>
      </c>
      <c r="B507" t="s">
        <v>7000</v>
      </c>
      <c r="C507" t="s">
        <v>5633</v>
      </c>
      <c r="D507" t="s">
        <v>4643</v>
      </c>
      <c r="E507" t="s">
        <v>4642</v>
      </c>
      <c r="G507" t="s">
        <v>9068</v>
      </c>
      <c r="H507" t="s">
        <v>4646</v>
      </c>
      <c r="I507" t="s">
        <v>1600</v>
      </c>
      <c r="K507" t="s">
        <v>5828</v>
      </c>
      <c r="L507" t="s">
        <v>5995</v>
      </c>
      <c r="M507" t="s">
        <v>6999</v>
      </c>
      <c r="N507" s="2">
        <v>43862</v>
      </c>
      <c r="P507" t="str">
        <f>"Update Project Set Organisation = '"&amp;H507&amp;"' where Project_ID = '"&amp;A507&amp;"'; "</f>
        <v xml:space="preserve">Update Project Set Organisation = 'Russian Academy of Science' where Project_ID = 'P0503'; </v>
      </c>
      <c r="Q507" t="str">
        <f>"Update Project Set Library_name = '"&amp;L507&amp;"' , COADD_ID = '"&amp;M507&amp;"' where Project_ID = '"&amp;A507&amp;"'; "</f>
        <v xml:space="preserve">Update Project Set Library_name = 'Russian Academy of Science (Russia)' , COADD_ID = 'CO-ADD:PC0503' where Project_ID = 'P0503'; </v>
      </c>
    </row>
    <row r="508" spans="1:17">
      <c r="A508" t="s">
        <v>7003</v>
      </c>
      <c r="C508" t="s">
        <v>5633</v>
      </c>
      <c r="D508" t="s">
        <v>3987</v>
      </c>
      <c r="E508" t="s">
        <v>4679</v>
      </c>
      <c r="G508" t="s">
        <v>9071</v>
      </c>
      <c r="H508" t="s">
        <v>3990</v>
      </c>
      <c r="I508" t="s">
        <v>211</v>
      </c>
      <c r="K508" t="s">
        <v>5828</v>
      </c>
      <c r="L508" t="s">
        <v>8253</v>
      </c>
      <c r="M508" t="s">
        <v>7002</v>
      </c>
      <c r="N508" s="2">
        <v>45657</v>
      </c>
      <c r="P508" t="str">
        <f>"Update Project Set Organisation = '"&amp;H508&amp;"' where Project_ID = '"&amp;A508&amp;"'; "</f>
        <v xml:space="preserve">Update Project Set Organisation = 'Sardar Patel University' where Project_ID = 'P0504'; </v>
      </c>
      <c r="Q508" t="str">
        <f>"Update Project Set Library_name = '"&amp;L508&amp;"' , COADD_ID = '"&amp;M508&amp;"' where Project_ID = '"&amp;A508&amp;"'; "</f>
        <v xml:space="preserve">Update Project Set Library_name = 'Sardar Patel University (India)' , COADD_ID = 'CO-ADD:PC0504' where Project_ID = 'P0504'; </v>
      </c>
    </row>
    <row r="509" spans="1:17">
      <c r="A509" t="s">
        <v>7005</v>
      </c>
      <c r="C509" t="s">
        <v>5633</v>
      </c>
      <c r="D509" t="s">
        <v>1340</v>
      </c>
      <c r="E509" t="s">
        <v>2933</v>
      </c>
      <c r="F509" t="s">
        <v>3507</v>
      </c>
      <c r="G509" t="s">
        <v>8897</v>
      </c>
      <c r="H509" t="s">
        <v>1343</v>
      </c>
      <c r="I509" t="s">
        <v>211</v>
      </c>
      <c r="K509" t="s">
        <v>5843</v>
      </c>
      <c r="M509" t="s">
        <v>7004</v>
      </c>
      <c r="P509" t="str">
        <f>"Update Project Set Organisation = '"&amp;H509&amp;"' where Project_ID = '"&amp;A509&amp;"'; "</f>
        <v xml:space="preserve">Update Project Set Organisation = 'Bombay College of Pharmacy' where Project_ID = 'P0505'; </v>
      </c>
      <c r="Q509" t="str">
        <f>"Update Project Set Library_name = '"&amp;L509&amp;"' , COADD_ID = '"&amp;M509&amp;"' where Project_ID = '"&amp;A509&amp;"'; "</f>
        <v xml:space="preserve">Update Project Set Library_name = '' , COADD_ID = 'CO-ADD:PC0505' where Project_ID = 'P0505'; </v>
      </c>
    </row>
    <row r="510" spans="1:17">
      <c r="A510" t="s">
        <v>7007</v>
      </c>
      <c r="C510" t="s">
        <v>5633</v>
      </c>
      <c r="D510" t="s">
        <v>385</v>
      </c>
      <c r="E510" t="s">
        <v>384</v>
      </c>
      <c r="G510" t="s">
        <v>9218</v>
      </c>
      <c r="H510" t="s">
        <v>389</v>
      </c>
      <c r="I510" t="s">
        <v>14</v>
      </c>
      <c r="K510" t="s">
        <v>5843</v>
      </c>
      <c r="M510" t="s">
        <v>7006</v>
      </c>
      <c r="P510" t="str">
        <f>"Update Project Set Organisation = '"&amp;H510&amp;"' where Project_ID = '"&amp;A510&amp;"'; "</f>
        <v xml:space="preserve">Update Project Set Organisation = 'University of Sydney' where Project_ID = 'P0506'; </v>
      </c>
      <c r="Q510" t="str">
        <f>"Update Project Set Library_name = '"&amp;L510&amp;"' , COADD_ID = '"&amp;M510&amp;"' where Project_ID = '"&amp;A510&amp;"'; "</f>
        <v xml:space="preserve">Update Project Set Library_name = '' , COADD_ID = 'CO-ADD:PC0506' where Project_ID = 'P0506'; </v>
      </c>
    </row>
    <row r="511" spans="1:17">
      <c r="A511" t="s">
        <v>7009</v>
      </c>
      <c r="C511" t="s">
        <v>5633</v>
      </c>
      <c r="D511" t="s">
        <v>2194</v>
      </c>
      <c r="E511" t="s">
        <v>4382</v>
      </c>
      <c r="G511" t="s">
        <v>9194</v>
      </c>
      <c r="H511" t="s">
        <v>362</v>
      </c>
      <c r="I511" t="s">
        <v>14</v>
      </c>
      <c r="K511" t="s">
        <v>5828</v>
      </c>
      <c r="L511" t="s">
        <v>5922</v>
      </c>
      <c r="M511" t="s">
        <v>7008</v>
      </c>
      <c r="N511" s="2">
        <v>45657</v>
      </c>
      <c r="P511" t="str">
        <f>"Update Project Set Organisation = '"&amp;H511&amp;"' where Project_ID = '"&amp;A511&amp;"'; "</f>
        <v xml:space="preserve">Update Project Set Organisation = 'University of Queensland' where Project_ID = 'P0507'; </v>
      </c>
      <c r="Q511" t="str">
        <f>"Update Project Set Library_name = '"&amp;L511&amp;"' , COADD_ID = '"&amp;M511&amp;"' where Project_ID = '"&amp;A511&amp;"'; "</f>
        <v xml:space="preserve">Update Project Set Library_name = 'University of Queensland (Australia)' , COADD_ID = 'CO-ADD:PC0507' where Project_ID = 'P0507'; </v>
      </c>
    </row>
    <row r="512" spans="1:17">
      <c r="A512" t="s">
        <v>7011</v>
      </c>
      <c r="C512" t="s">
        <v>5633</v>
      </c>
      <c r="D512" t="s">
        <v>1260</v>
      </c>
      <c r="E512" t="s">
        <v>1259</v>
      </c>
      <c r="G512" t="s">
        <v>9173</v>
      </c>
      <c r="H512" t="s">
        <v>1262</v>
      </c>
      <c r="I512" t="s">
        <v>117</v>
      </c>
      <c r="K512" t="s">
        <v>5828</v>
      </c>
      <c r="L512" t="s">
        <v>8188</v>
      </c>
      <c r="M512" t="s">
        <v>7010</v>
      </c>
      <c r="N512" s="2">
        <v>45657</v>
      </c>
      <c r="P512" t="str">
        <f>"Update Project Set Organisation = '"&amp;H512&amp;"' where Project_ID = '"&amp;A512&amp;"'; "</f>
        <v xml:space="preserve">Update Project Set Organisation = 'University of Nebraska Medical Center' where Project_ID = 'P0508'; </v>
      </c>
      <c r="Q512" t="str">
        <f>"Update Project Set Library_name = '"&amp;L512&amp;"' , COADD_ID = '"&amp;M512&amp;"' where Project_ID = '"&amp;A512&amp;"'; "</f>
        <v xml:space="preserve">Update Project Set Library_name = 'University of Nebraska Medical Center (United States)' , COADD_ID = 'CO-ADD:PC0508' where Project_ID = 'P0508'; </v>
      </c>
    </row>
    <row r="513" spans="1:17">
      <c r="A513" t="s">
        <v>7014</v>
      </c>
      <c r="B513" t="s">
        <v>7013</v>
      </c>
      <c r="C513" t="s">
        <v>5633</v>
      </c>
      <c r="D513" t="s">
        <v>4643</v>
      </c>
      <c r="E513" t="s">
        <v>4642</v>
      </c>
      <c r="G513" t="s">
        <v>9068</v>
      </c>
      <c r="H513" t="s">
        <v>4646</v>
      </c>
      <c r="I513" t="s">
        <v>1600</v>
      </c>
      <c r="K513" t="s">
        <v>5828</v>
      </c>
      <c r="L513" t="s">
        <v>5995</v>
      </c>
      <c r="M513" t="s">
        <v>7012</v>
      </c>
      <c r="N513" s="2">
        <v>43862</v>
      </c>
      <c r="P513" t="str">
        <f>"Update Project Set Organisation = '"&amp;H513&amp;"' where Project_ID = '"&amp;A513&amp;"'; "</f>
        <v xml:space="preserve">Update Project Set Organisation = 'Russian Academy of Science' where Project_ID = 'P0509'; </v>
      </c>
      <c r="Q513" t="str">
        <f>"Update Project Set Library_name = '"&amp;L513&amp;"' , COADD_ID = '"&amp;M513&amp;"' where Project_ID = '"&amp;A513&amp;"'; "</f>
        <v xml:space="preserve">Update Project Set Library_name = 'Russian Academy of Science (Russia)' , COADD_ID = 'CO-ADD:PC0509' where Project_ID = 'P0509'; </v>
      </c>
    </row>
    <row r="514" spans="1:17">
      <c r="A514" t="s">
        <v>7016</v>
      </c>
      <c r="C514" t="s">
        <v>5633</v>
      </c>
      <c r="D514" t="s">
        <v>1172</v>
      </c>
      <c r="E514" t="s">
        <v>1476</v>
      </c>
      <c r="F514" t="s">
        <v>1688</v>
      </c>
      <c r="G514" t="s">
        <v>9197</v>
      </c>
      <c r="H514" t="s">
        <v>362</v>
      </c>
      <c r="I514" t="s">
        <v>14</v>
      </c>
      <c r="K514" t="s">
        <v>5828</v>
      </c>
      <c r="L514" t="s">
        <v>5922</v>
      </c>
      <c r="M514" t="s">
        <v>7015</v>
      </c>
      <c r="N514" s="2">
        <v>45657</v>
      </c>
      <c r="P514" t="str">
        <f>"Update Project Set Organisation = '"&amp;H514&amp;"' where Project_ID = '"&amp;A514&amp;"'; "</f>
        <v xml:space="preserve">Update Project Set Organisation = 'University of Queensland' where Project_ID = 'P0510'; </v>
      </c>
      <c r="Q514" t="str">
        <f>"Update Project Set Library_name = '"&amp;L514&amp;"' , COADD_ID = '"&amp;M514&amp;"' where Project_ID = '"&amp;A514&amp;"'; "</f>
        <v xml:space="preserve">Update Project Set Library_name = 'University of Queensland (Australia)' , COADD_ID = 'CO-ADD:PC0510' where Project_ID = 'P0510'; </v>
      </c>
    </row>
    <row r="515" spans="1:17">
      <c r="A515" t="s">
        <v>7018</v>
      </c>
      <c r="C515" t="s">
        <v>5633</v>
      </c>
      <c r="D515" t="s">
        <v>3277</v>
      </c>
      <c r="E515" t="s">
        <v>3276</v>
      </c>
      <c r="G515" t="s">
        <v>8909</v>
      </c>
      <c r="H515" t="s">
        <v>3281</v>
      </c>
      <c r="I515" t="s">
        <v>3284</v>
      </c>
      <c r="K515" t="s">
        <v>5828</v>
      </c>
      <c r="L515" t="s">
        <v>8198</v>
      </c>
      <c r="M515" t="s">
        <v>7017</v>
      </c>
      <c r="N515" s="2">
        <v>45657</v>
      </c>
      <c r="P515" t="str">
        <f>"Update Project Set Organisation = '"&amp;H515&amp;"' where Project_ID = '"&amp;A515&amp;"'; "</f>
        <v xml:space="preserve">Update Project Set Organisation = 'Chulalongkorn University' where Project_ID = 'P0511'; </v>
      </c>
      <c r="Q515" t="str">
        <f>"Update Project Set Library_name = '"&amp;L515&amp;"' , COADD_ID = '"&amp;M515&amp;"' where Project_ID = '"&amp;A515&amp;"'; "</f>
        <v xml:space="preserve">Update Project Set Library_name = 'Chulalongkorn University (Thailand)' , COADD_ID = 'CO-ADD:PC0511' where Project_ID = 'P0511'; </v>
      </c>
    </row>
    <row r="516" spans="1:17">
      <c r="A516" t="s">
        <v>7021</v>
      </c>
      <c r="B516" t="s">
        <v>7020</v>
      </c>
      <c r="C516" t="s">
        <v>5633</v>
      </c>
      <c r="D516" t="s">
        <v>4643</v>
      </c>
      <c r="E516" t="s">
        <v>4642</v>
      </c>
      <c r="G516" t="s">
        <v>9068</v>
      </c>
      <c r="H516" t="s">
        <v>4646</v>
      </c>
      <c r="I516" t="s">
        <v>1600</v>
      </c>
      <c r="K516" t="s">
        <v>5828</v>
      </c>
      <c r="L516" t="s">
        <v>5995</v>
      </c>
      <c r="M516" t="s">
        <v>7019</v>
      </c>
      <c r="N516" s="2">
        <v>45657</v>
      </c>
      <c r="P516" t="str">
        <f>"Update Project Set Organisation = '"&amp;H516&amp;"' where Project_ID = '"&amp;A516&amp;"'; "</f>
        <v xml:space="preserve">Update Project Set Organisation = 'Russian Academy of Science' where Project_ID = 'P0512'; </v>
      </c>
      <c r="Q516" t="str">
        <f>"Update Project Set Library_name = '"&amp;L516&amp;"' , COADD_ID = '"&amp;M516&amp;"' where Project_ID = '"&amp;A516&amp;"'; "</f>
        <v xml:space="preserve">Update Project Set Library_name = 'Russian Academy of Science (Russia)' , COADD_ID = 'CO-ADD:PC0512' where Project_ID = 'P0512'; </v>
      </c>
    </row>
    <row r="517" spans="1:17">
      <c r="A517" t="s">
        <v>7023</v>
      </c>
      <c r="C517" t="s">
        <v>5633</v>
      </c>
      <c r="D517" t="s">
        <v>505</v>
      </c>
      <c r="E517" t="s">
        <v>504</v>
      </c>
      <c r="G517" t="s">
        <v>9256</v>
      </c>
      <c r="H517" t="s">
        <v>220</v>
      </c>
      <c r="I517" t="s">
        <v>223</v>
      </c>
      <c r="K517" t="s">
        <v>5828</v>
      </c>
      <c r="L517" t="s">
        <v>8192</v>
      </c>
      <c r="M517" t="s">
        <v>7022</v>
      </c>
      <c r="N517" s="2">
        <v>45657</v>
      </c>
      <c r="P517" t="str">
        <f>"Update Project Set Organisation = '"&amp;H517&amp;"' where Project_ID = '"&amp;A517&amp;"'; "</f>
        <v xml:space="preserve">Update Project Set Organisation = 'Victoria University of Wellington' where Project_ID = 'P0513'; </v>
      </c>
      <c r="Q517" t="str">
        <f>"Update Project Set Library_name = '"&amp;L517&amp;"' , COADD_ID = '"&amp;M517&amp;"' where Project_ID = '"&amp;A517&amp;"'; "</f>
        <v xml:space="preserve">Update Project Set Library_name = 'Victoria University of Wellington (New Zealand)' , COADD_ID = 'CO-ADD:PC0513' where Project_ID = 'P0513'; </v>
      </c>
    </row>
    <row r="518" spans="1:17">
      <c r="A518" t="s">
        <v>7025</v>
      </c>
      <c r="C518" t="s">
        <v>5633</v>
      </c>
      <c r="D518" t="s">
        <v>5550</v>
      </c>
      <c r="E518" t="s">
        <v>4373</v>
      </c>
      <c r="F518" t="s">
        <v>3517</v>
      </c>
      <c r="G518" t="s">
        <v>9203</v>
      </c>
      <c r="H518" t="s">
        <v>362</v>
      </c>
      <c r="I518" t="s">
        <v>14</v>
      </c>
      <c r="K518" t="s">
        <v>5843</v>
      </c>
      <c r="M518" t="s">
        <v>7024</v>
      </c>
      <c r="P518" t="str">
        <f>"Update Project Set Organisation = '"&amp;H518&amp;"' where Project_ID = '"&amp;A518&amp;"'; "</f>
        <v xml:space="preserve">Update Project Set Organisation = 'University of Queensland' where Project_ID = 'P0514'; </v>
      </c>
      <c r="Q518" t="str">
        <f>"Update Project Set Library_name = '"&amp;L518&amp;"' , COADD_ID = '"&amp;M518&amp;"' where Project_ID = '"&amp;A518&amp;"'; "</f>
        <v xml:space="preserve">Update Project Set Library_name = '' , COADD_ID = 'CO-ADD:PC0514' where Project_ID = 'P0514'; </v>
      </c>
    </row>
    <row r="519" spans="1:17">
      <c r="A519" t="s">
        <v>7028</v>
      </c>
      <c r="B519" t="s">
        <v>7027</v>
      </c>
      <c r="C519" t="s">
        <v>5633</v>
      </c>
      <c r="D519" t="s">
        <v>1664</v>
      </c>
      <c r="E519" t="s">
        <v>2637</v>
      </c>
      <c r="G519" t="s">
        <v>9016</v>
      </c>
      <c r="H519" t="s">
        <v>1667</v>
      </c>
      <c r="I519" t="s">
        <v>1600</v>
      </c>
      <c r="K519" t="s">
        <v>5828</v>
      </c>
      <c r="L519" t="s">
        <v>8219</v>
      </c>
      <c r="M519" t="s">
        <v>7026</v>
      </c>
      <c r="N519" s="2">
        <v>45657</v>
      </c>
      <c r="P519" t="str">
        <f>"Update Project Set Organisation = '"&amp;H519&amp;"' where Project_ID = '"&amp;A519&amp;"'; "</f>
        <v xml:space="preserve">Update Project Set Organisation = 'Mendeleev University of Chemical Technology of Russia' where Project_ID = 'P0515'; </v>
      </c>
      <c r="Q519" t="str">
        <f>"Update Project Set Library_name = '"&amp;L519&amp;"' , COADD_ID = '"&amp;M519&amp;"' where Project_ID = '"&amp;A519&amp;"'; "</f>
        <v xml:space="preserve">Update Project Set Library_name = 'Mendeleev University of Chemical Technology of Russia (Russia)' , COADD_ID = 'CO-ADD:PC0515' where Project_ID = 'P0515'; </v>
      </c>
    </row>
    <row r="520" spans="1:17">
      <c r="A520" t="s">
        <v>7030</v>
      </c>
      <c r="C520" t="s">
        <v>5633</v>
      </c>
      <c r="D520" t="s">
        <v>769</v>
      </c>
      <c r="E520" t="s">
        <v>768</v>
      </c>
      <c r="G520" t="s">
        <v>8954</v>
      </c>
      <c r="H520" t="s">
        <v>8151</v>
      </c>
      <c r="I520" t="s">
        <v>704</v>
      </c>
      <c r="K520" t="s">
        <v>5843</v>
      </c>
      <c r="M520" t="s">
        <v>7029</v>
      </c>
      <c r="P520" t="str">
        <f>"Update Project Set Organisation = '"&amp;H520&amp;"' where Project_ID = '"&amp;A520&amp;"'; "</f>
        <v xml:space="preserve">Update Project Set Organisation = 'Hautes Etudes Ingénieur (HEI)' where Project_ID = 'P0516'; </v>
      </c>
      <c r="Q520" t="str">
        <f>"Update Project Set Library_name = '"&amp;L520&amp;"' , COADD_ID = '"&amp;M520&amp;"' where Project_ID = '"&amp;A520&amp;"'; "</f>
        <v xml:space="preserve">Update Project Set Library_name = '' , COADD_ID = 'CO-ADD:PC0516' where Project_ID = 'P0516'; </v>
      </c>
    </row>
    <row r="521" spans="1:17">
      <c r="A521" t="s">
        <v>7033</v>
      </c>
      <c r="B521" t="s">
        <v>7032</v>
      </c>
      <c r="C521" t="s">
        <v>5633</v>
      </c>
      <c r="D521" t="s">
        <v>4643</v>
      </c>
      <c r="E521" t="s">
        <v>4642</v>
      </c>
      <c r="G521" t="s">
        <v>9068</v>
      </c>
      <c r="H521" t="s">
        <v>4646</v>
      </c>
      <c r="I521" t="s">
        <v>1600</v>
      </c>
      <c r="K521" t="s">
        <v>5828</v>
      </c>
      <c r="L521" t="s">
        <v>5995</v>
      </c>
      <c r="M521" t="s">
        <v>7031</v>
      </c>
      <c r="N521" s="2">
        <v>43862</v>
      </c>
      <c r="P521" t="str">
        <f>"Update Project Set Organisation = '"&amp;H521&amp;"' where Project_ID = '"&amp;A521&amp;"'; "</f>
        <v xml:space="preserve">Update Project Set Organisation = 'Russian Academy of Science' where Project_ID = 'P0517'; </v>
      </c>
      <c r="Q521" t="str">
        <f>"Update Project Set Library_name = '"&amp;L521&amp;"' , COADD_ID = '"&amp;M521&amp;"' where Project_ID = '"&amp;A521&amp;"'; "</f>
        <v xml:space="preserve">Update Project Set Library_name = 'Russian Academy of Science (Russia)' , COADD_ID = 'CO-ADD:PC0517' where Project_ID = 'P0517'; </v>
      </c>
    </row>
    <row r="522" spans="1:17">
      <c r="A522" t="s">
        <v>7036</v>
      </c>
      <c r="B522" t="s">
        <v>7035</v>
      </c>
      <c r="C522" t="s">
        <v>5633</v>
      </c>
      <c r="D522" t="s">
        <v>4643</v>
      </c>
      <c r="E522" t="s">
        <v>4642</v>
      </c>
      <c r="G522" t="s">
        <v>9068</v>
      </c>
      <c r="H522" t="s">
        <v>4646</v>
      </c>
      <c r="I522" t="s">
        <v>1600</v>
      </c>
      <c r="K522" t="s">
        <v>5828</v>
      </c>
      <c r="L522" t="s">
        <v>5995</v>
      </c>
      <c r="M522" t="s">
        <v>7034</v>
      </c>
      <c r="N522" s="2">
        <v>43862</v>
      </c>
      <c r="P522" t="str">
        <f>"Update Project Set Organisation = '"&amp;H522&amp;"' where Project_ID = '"&amp;A522&amp;"'; "</f>
        <v xml:space="preserve">Update Project Set Organisation = 'Russian Academy of Science' where Project_ID = 'P0518'; </v>
      </c>
      <c r="Q522" t="str">
        <f>"Update Project Set Library_name = '"&amp;L522&amp;"' , COADD_ID = '"&amp;M522&amp;"' where Project_ID = '"&amp;A522&amp;"'; "</f>
        <v xml:space="preserve">Update Project Set Library_name = 'Russian Academy of Science (Russia)' , COADD_ID = 'CO-ADD:PC0518' where Project_ID = 'P0518'; </v>
      </c>
    </row>
    <row r="523" spans="1:17">
      <c r="A523" t="s">
        <v>7038</v>
      </c>
      <c r="C523" t="s">
        <v>5633</v>
      </c>
      <c r="D523" t="s">
        <v>2080</v>
      </c>
      <c r="E523" t="s">
        <v>4512</v>
      </c>
      <c r="F523" t="s">
        <v>3878</v>
      </c>
      <c r="G523" t="s">
        <v>8963</v>
      </c>
      <c r="H523" t="s">
        <v>3881</v>
      </c>
      <c r="I523" t="s">
        <v>117</v>
      </c>
      <c r="K523" t="s">
        <v>5828</v>
      </c>
      <c r="L523" t="s">
        <v>8208</v>
      </c>
      <c r="M523" t="s">
        <v>7037</v>
      </c>
      <c r="N523" s="2">
        <v>45657</v>
      </c>
      <c r="P523" t="str">
        <f>"Update Project Set Organisation = '"&amp;H523&amp;"' where Project_ID = '"&amp;A523&amp;"'; "</f>
        <v xml:space="preserve">Update Project Set Organisation = 'Indiana University-Purdue University Indianapolis' where Project_ID = 'P0519'; </v>
      </c>
      <c r="Q523" t="str">
        <f>"Update Project Set Library_name = '"&amp;L523&amp;"' , COADD_ID = '"&amp;M523&amp;"' where Project_ID = '"&amp;A523&amp;"'; "</f>
        <v xml:space="preserve">Update Project Set Library_name = 'Indiana University-Purdue University Indianapolis (United States)' , COADD_ID = 'CO-ADD:PC0519' where Project_ID = 'P0519'; </v>
      </c>
    </row>
    <row r="524" spans="1:17">
      <c r="A524" t="s">
        <v>7040</v>
      </c>
      <c r="C524" t="s">
        <v>5633</v>
      </c>
      <c r="D524" t="s">
        <v>578</v>
      </c>
      <c r="E524" t="s">
        <v>577</v>
      </c>
      <c r="F524" t="s">
        <v>5271</v>
      </c>
      <c r="G524" t="s">
        <v>9075</v>
      </c>
      <c r="H524" t="s">
        <v>582</v>
      </c>
      <c r="I524" t="s">
        <v>117</v>
      </c>
      <c r="K524" t="s">
        <v>5828</v>
      </c>
      <c r="L524" t="s">
        <v>8225</v>
      </c>
      <c r="M524" t="s">
        <v>7039</v>
      </c>
      <c r="N524" s="2">
        <v>45657</v>
      </c>
      <c r="P524" t="str">
        <f>"Update Project Set Organisation = '"&amp;H524&amp;"' where Project_ID = '"&amp;A524&amp;"'; "</f>
        <v xml:space="preserve">Update Project Set Organisation = 'Scripps Research Institute' where Project_ID = 'P0520'; </v>
      </c>
      <c r="Q524" t="str">
        <f>"Update Project Set Library_name = '"&amp;L524&amp;"' , COADD_ID = '"&amp;M524&amp;"' where Project_ID = '"&amp;A524&amp;"'; "</f>
        <v xml:space="preserve">Update Project Set Library_name = 'Scripps Research Institute (United States)' , COADD_ID = 'CO-ADD:PC0520' where Project_ID = 'P0520'; </v>
      </c>
    </row>
    <row r="525" spans="1:17">
      <c r="A525" t="s">
        <v>7042</v>
      </c>
      <c r="C525" t="s">
        <v>5633</v>
      </c>
      <c r="D525" t="s">
        <v>448</v>
      </c>
      <c r="E525" t="s">
        <v>807</v>
      </c>
      <c r="F525" t="s">
        <v>447</v>
      </c>
      <c r="G525" t="s">
        <v>8900</v>
      </c>
      <c r="H525" t="s">
        <v>362</v>
      </c>
      <c r="I525" t="s">
        <v>14</v>
      </c>
      <c r="K525" t="s">
        <v>5806</v>
      </c>
      <c r="M525" t="s">
        <v>7041</v>
      </c>
      <c r="P525" t="str">
        <f>"Update Project Set Organisation = '"&amp;H525&amp;"' where Project_ID = '"&amp;A525&amp;"'; "</f>
        <v xml:space="preserve">Update Project Set Organisation = 'University of Queensland' where Project_ID = 'P0521'; </v>
      </c>
      <c r="Q525" t="str">
        <f>"Update Project Set Library_name = '"&amp;L525&amp;"' , COADD_ID = '"&amp;M525&amp;"' where Project_ID = '"&amp;A525&amp;"'; "</f>
        <v xml:space="preserve">Update Project Set Library_name = '' , COADD_ID = 'CO-ADD:PC0521' where Project_ID = 'P0521'; </v>
      </c>
    </row>
    <row r="526" spans="1:17">
      <c r="A526" t="s">
        <v>7045</v>
      </c>
      <c r="B526" t="s">
        <v>7044</v>
      </c>
      <c r="C526" t="s">
        <v>5633</v>
      </c>
      <c r="D526" t="s">
        <v>4643</v>
      </c>
      <c r="E526" t="s">
        <v>4642</v>
      </c>
      <c r="G526" t="s">
        <v>9068</v>
      </c>
      <c r="H526" t="s">
        <v>4646</v>
      </c>
      <c r="I526" t="s">
        <v>1600</v>
      </c>
      <c r="K526" t="s">
        <v>5828</v>
      </c>
      <c r="L526" t="s">
        <v>5995</v>
      </c>
      <c r="M526" t="s">
        <v>7043</v>
      </c>
      <c r="N526" s="2">
        <v>45657</v>
      </c>
      <c r="P526" t="str">
        <f>"Update Project Set Organisation = '"&amp;H526&amp;"' where Project_ID = '"&amp;A526&amp;"'; "</f>
        <v xml:space="preserve">Update Project Set Organisation = 'Russian Academy of Science' where Project_ID = 'P0522'; </v>
      </c>
      <c r="Q526" t="str">
        <f>"Update Project Set Library_name = '"&amp;L526&amp;"' , COADD_ID = '"&amp;M526&amp;"' where Project_ID = '"&amp;A526&amp;"'; "</f>
        <v xml:space="preserve">Update Project Set Library_name = 'Russian Academy of Science (Russia)' , COADD_ID = 'CO-ADD:PC0522' where Project_ID = 'P0522'; </v>
      </c>
    </row>
    <row r="527" spans="1:17">
      <c r="A527" t="s">
        <v>7047</v>
      </c>
      <c r="C527" t="s">
        <v>5633</v>
      </c>
      <c r="D527" t="s">
        <v>5093</v>
      </c>
      <c r="E527" t="s">
        <v>5092</v>
      </c>
      <c r="G527" t="s">
        <v>8892</v>
      </c>
      <c r="H527" t="s">
        <v>5096</v>
      </c>
      <c r="I527" t="s">
        <v>117</v>
      </c>
      <c r="K527" t="s">
        <v>5828</v>
      </c>
      <c r="L527" t="s">
        <v>8254</v>
      </c>
      <c r="M527" t="s">
        <v>7046</v>
      </c>
      <c r="N527" s="2">
        <v>45657</v>
      </c>
      <c r="P527" t="str">
        <f>"Update Project Set Organisation = '"&amp;H527&amp;"' where Project_ID = '"&amp;A527&amp;"'; "</f>
        <v xml:space="preserve">Update Project Set Organisation = 'Baylor University' where Project_ID = 'P0523'; </v>
      </c>
      <c r="Q527" t="str">
        <f>"Update Project Set Library_name = '"&amp;L527&amp;"' , COADD_ID = '"&amp;M527&amp;"' where Project_ID = '"&amp;A527&amp;"'; "</f>
        <v xml:space="preserve">Update Project Set Library_name = 'Baylor University (United States)' , COADD_ID = 'CO-ADD:PC0523' where Project_ID = 'P0523'; </v>
      </c>
    </row>
    <row r="528" spans="1:17">
      <c r="A528" t="s">
        <v>7049</v>
      </c>
      <c r="C528" t="s">
        <v>5633</v>
      </c>
      <c r="D528" t="s">
        <v>2080</v>
      </c>
      <c r="E528" t="s">
        <v>4512</v>
      </c>
      <c r="F528" t="s">
        <v>3878</v>
      </c>
      <c r="G528" t="s">
        <v>8963</v>
      </c>
      <c r="H528" t="s">
        <v>3881</v>
      </c>
      <c r="I528" t="s">
        <v>117</v>
      </c>
      <c r="K528" t="s">
        <v>5837</v>
      </c>
      <c r="M528" t="s">
        <v>7048</v>
      </c>
      <c r="P528" t="str">
        <f>"Update Project Set Organisation = '"&amp;H528&amp;"' where Project_ID = '"&amp;A528&amp;"'; "</f>
        <v xml:space="preserve">Update Project Set Organisation = 'Indiana University-Purdue University Indianapolis' where Project_ID = 'P0524'; </v>
      </c>
      <c r="Q528" t="str">
        <f>"Update Project Set Library_name = '"&amp;L528&amp;"' , COADD_ID = '"&amp;M528&amp;"' where Project_ID = '"&amp;A528&amp;"'; "</f>
        <v xml:space="preserve">Update Project Set Library_name = '' , COADD_ID = 'CO-ADD:PC0524' where Project_ID = 'P0524'; </v>
      </c>
    </row>
    <row r="529" spans="1:17">
      <c r="A529" t="s">
        <v>7052</v>
      </c>
      <c r="B529" t="s">
        <v>7051</v>
      </c>
      <c r="C529" t="s">
        <v>5633</v>
      </c>
      <c r="D529" t="s">
        <v>4643</v>
      </c>
      <c r="E529" t="s">
        <v>4642</v>
      </c>
      <c r="G529" t="s">
        <v>9068</v>
      </c>
      <c r="H529" t="s">
        <v>4646</v>
      </c>
      <c r="I529" t="s">
        <v>1600</v>
      </c>
      <c r="K529" t="s">
        <v>5828</v>
      </c>
      <c r="L529" t="s">
        <v>5995</v>
      </c>
      <c r="M529" t="s">
        <v>7050</v>
      </c>
      <c r="N529" s="2">
        <v>45657</v>
      </c>
      <c r="P529" t="str">
        <f>"Update Project Set Organisation = '"&amp;H529&amp;"' where Project_ID = '"&amp;A529&amp;"'; "</f>
        <v xml:space="preserve">Update Project Set Organisation = 'Russian Academy of Science' where Project_ID = 'P0525'; </v>
      </c>
      <c r="Q529" t="str">
        <f>"Update Project Set Library_name = '"&amp;L529&amp;"' , COADD_ID = '"&amp;M529&amp;"' where Project_ID = '"&amp;A529&amp;"'; "</f>
        <v xml:space="preserve">Update Project Set Library_name = 'Russian Academy of Science (Russia)' , COADD_ID = 'CO-ADD:PC0525' where Project_ID = 'P0525'; </v>
      </c>
    </row>
    <row r="530" spans="1:17">
      <c r="A530" t="s">
        <v>7054</v>
      </c>
      <c r="C530" t="s">
        <v>5633</v>
      </c>
      <c r="D530" t="s">
        <v>3987</v>
      </c>
      <c r="E530" t="s">
        <v>3996</v>
      </c>
      <c r="G530" t="s">
        <v>9071</v>
      </c>
      <c r="H530" t="s">
        <v>3990</v>
      </c>
      <c r="I530" t="s">
        <v>211</v>
      </c>
      <c r="K530" t="s">
        <v>5837</v>
      </c>
      <c r="M530" t="s">
        <v>7053</v>
      </c>
      <c r="P530" t="str">
        <f>"Update Project Set Organisation = '"&amp;H530&amp;"' where Project_ID = '"&amp;A530&amp;"'; "</f>
        <v xml:space="preserve">Update Project Set Organisation = 'Sardar Patel University' where Project_ID = 'P0526'; </v>
      </c>
      <c r="Q530" t="str">
        <f>"Update Project Set Library_name = '"&amp;L530&amp;"' , COADD_ID = '"&amp;M530&amp;"' where Project_ID = '"&amp;A530&amp;"'; "</f>
        <v xml:space="preserve">Update Project Set Library_name = '' , COADD_ID = 'CO-ADD:PC0526' where Project_ID = 'P0526'; </v>
      </c>
    </row>
    <row r="531" spans="1:17">
      <c r="A531" t="s">
        <v>7056</v>
      </c>
      <c r="C531" t="s">
        <v>5633</v>
      </c>
      <c r="D531" t="s">
        <v>561</v>
      </c>
      <c r="E531" t="s">
        <v>560</v>
      </c>
      <c r="G531" t="s">
        <v>9023</v>
      </c>
      <c r="H531" t="s">
        <v>517</v>
      </c>
      <c r="I531" t="s">
        <v>14</v>
      </c>
      <c r="K531" t="s">
        <v>5843</v>
      </c>
      <c r="M531" t="s">
        <v>7055</v>
      </c>
      <c r="P531" t="str">
        <f>"Update Project Set Organisation = '"&amp;H531&amp;"' where Project_ID = '"&amp;A531&amp;"'; "</f>
        <v xml:space="preserve">Update Project Set Organisation = 'Monash University' where Project_ID = 'P0527'; </v>
      </c>
      <c r="Q531" t="str">
        <f>"Update Project Set Library_name = '"&amp;L531&amp;"' , COADD_ID = '"&amp;M531&amp;"' where Project_ID = '"&amp;A531&amp;"'; "</f>
        <v xml:space="preserve">Update Project Set Library_name = '' , COADD_ID = 'CO-ADD:PC0527' where Project_ID = 'P0527'; </v>
      </c>
    </row>
    <row r="532" spans="1:17">
      <c r="A532" t="s">
        <v>7058</v>
      </c>
      <c r="C532" t="s">
        <v>5633</v>
      </c>
      <c r="D532" t="s">
        <v>1094</v>
      </c>
      <c r="E532" t="s">
        <v>4208</v>
      </c>
      <c r="F532" t="s">
        <v>1093</v>
      </c>
      <c r="G532" t="s">
        <v>9079</v>
      </c>
      <c r="H532" t="s">
        <v>1097</v>
      </c>
      <c r="I532" t="s">
        <v>211</v>
      </c>
      <c r="K532" t="s">
        <v>5828</v>
      </c>
      <c r="L532" t="s">
        <v>8240</v>
      </c>
      <c r="M532" t="s">
        <v>7057</v>
      </c>
      <c r="N532" s="2">
        <v>45657</v>
      </c>
      <c r="P532" t="str">
        <f>"Update Project Set Organisation = '"&amp;H532&amp;"' where Project_ID = '"&amp;A532&amp;"'; "</f>
        <v xml:space="preserve">Update Project Set Organisation = 'Sri Venkateswara University' where Project_ID = 'P0528'; </v>
      </c>
      <c r="Q532" t="str">
        <f>"Update Project Set Library_name = '"&amp;L532&amp;"' , COADD_ID = '"&amp;M532&amp;"' where Project_ID = '"&amp;A532&amp;"'; "</f>
        <v xml:space="preserve">Update Project Set Library_name = 'Sri Venkateswara University (India)' , COADD_ID = 'CO-ADD:PC0528' where Project_ID = 'P0528'; </v>
      </c>
    </row>
    <row r="533" spans="1:17">
      <c r="A533" t="s">
        <v>7060</v>
      </c>
      <c r="C533" t="s">
        <v>5633</v>
      </c>
      <c r="D533" t="s">
        <v>4708</v>
      </c>
      <c r="G533" t="s">
        <v>9222</v>
      </c>
      <c r="H533" t="s">
        <v>4289</v>
      </c>
      <c r="I533" t="s">
        <v>14</v>
      </c>
      <c r="K533" t="s">
        <v>5843</v>
      </c>
      <c r="M533" t="s">
        <v>7059</v>
      </c>
      <c r="P533" t="str">
        <f>"Update Project Set Organisation = '"&amp;H533&amp;"' where Project_ID = '"&amp;A533&amp;"'; "</f>
        <v xml:space="preserve">Update Project Set Organisation = 'University of Technology Sydney' where Project_ID = 'P0529'; </v>
      </c>
      <c r="Q533" t="str">
        <f>"Update Project Set Library_name = '"&amp;L533&amp;"' , COADD_ID = '"&amp;M533&amp;"' where Project_ID = '"&amp;A533&amp;"'; "</f>
        <v xml:space="preserve">Update Project Set Library_name = '' , COADD_ID = 'CO-ADD:PC0529' where Project_ID = 'P0529'; </v>
      </c>
    </row>
    <row r="534" spans="1:17">
      <c r="A534" t="s">
        <v>7063</v>
      </c>
      <c r="B534" t="s">
        <v>7062</v>
      </c>
      <c r="C534" t="s">
        <v>5633</v>
      </c>
      <c r="D534" t="s">
        <v>4643</v>
      </c>
      <c r="E534" t="s">
        <v>4642</v>
      </c>
      <c r="G534" t="s">
        <v>9068</v>
      </c>
      <c r="H534" t="s">
        <v>4646</v>
      </c>
      <c r="I534" t="s">
        <v>1600</v>
      </c>
      <c r="K534" t="s">
        <v>5828</v>
      </c>
      <c r="L534" t="s">
        <v>5995</v>
      </c>
      <c r="M534" t="s">
        <v>7061</v>
      </c>
      <c r="N534" s="2">
        <v>45657</v>
      </c>
      <c r="P534" t="str">
        <f>"Update Project Set Organisation = '"&amp;H534&amp;"' where Project_ID = '"&amp;A534&amp;"'; "</f>
        <v xml:space="preserve">Update Project Set Organisation = 'Russian Academy of Science' where Project_ID = 'P0530'; </v>
      </c>
      <c r="Q534" t="str">
        <f>"Update Project Set Library_name = '"&amp;L534&amp;"' , COADD_ID = '"&amp;M534&amp;"' where Project_ID = '"&amp;A534&amp;"'; "</f>
        <v xml:space="preserve">Update Project Set Library_name = 'Russian Academy of Science (Russia)' , COADD_ID = 'CO-ADD:PC0530' where Project_ID = 'P0530'; </v>
      </c>
    </row>
    <row r="535" spans="1:17">
      <c r="A535" t="s">
        <v>7066</v>
      </c>
      <c r="B535" t="s">
        <v>7065</v>
      </c>
      <c r="C535" t="s">
        <v>5633</v>
      </c>
      <c r="D535" t="s">
        <v>4643</v>
      </c>
      <c r="E535" t="s">
        <v>4642</v>
      </c>
      <c r="G535" t="s">
        <v>9068</v>
      </c>
      <c r="H535" t="s">
        <v>4646</v>
      </c>
      <c r="I535" t="s">
        <v>1600</v>
      </c>
      <c r="K535" t="s">
        <v>5828</v>
      </c>
      <c r="L535" t="s">
        <v>5995</v>
      </c>
      <c r="M535" t="s">
        <v>7064</v>
      </c>
      <c r="N535" s="2">
        <v>45657</v>
      </c>
      <c r="P535" t="str">
        <f>"Update Project Set Organisation = '"&amp;H535&amp;"' where Project_ID = '"&amp;A535&amp;"'; "</f>
        <v xml:space="preserve">Update Project Set Organisation = 'Russian Academy of Science' where Project_ID = 'P0531'; </v>
      </c>
      <c r="Q535" t="str">
        <f>"Update Project Set Library_name = '"&amp;L535&amp;"' , COADD_ID = '"&amp;M535&amp;"' where Project_ID = '"&amp;A535&amp;"'; "</f>
        <v xml:space="preserve">Update Project Set Library_name = 'Russian Academy of Science (Russia)' , COADD_ID = 'CO-ADD:PC0531' where Project_ID = 'P0531'; </v>
      </c>
    </row>
    <row r="536" spans="1:17">
      <c r="A536" t="s">
        <v>7068</v>
      </c>
      <c r="C536" t="s">
        <v>5633</v>
      </c>
      <c r="D536" t="s">
        <v>4353</v>
      </c>
      <c r="E536" t="s">
        <v>4352</v>
      </c>
      <c r="G536" t="s">
        <v>9273</v>
      </c>
      <c r="H536" t="s">
        <v>4357</v>
      </c>
      <c r="I536" t="s">
        <v>253</v>
      </c>
      <c r="K536" t="s">
        <v>5806</v>
      </c>
      <c r="M536" t="s">
        <v>7067</v>
      </c>
      <c r="P536" t="str">
        <f>"Update Project Set Organisation = '"&amp;H536&amp;"' where Project_ID = '"&amp;A536&amp;"'; "</f>
        <v xml:space="preserve">Update Project Set Organisation = 'Zurich University of Applied Sciences (ZHAW)' where Project_ID = 'P0532'; </v>
      </c>
      <c r="Q536" t="str">
        <f>"Update Project Set Library_name = '"&amp;L536&amp;"' , COADD_ID = '"&amp;M536&amp;"' where Project_ID = '"&amp;A536&amp;"'; "</f>
        <v xml:space="preserve">Update Project Set Library_name = '' , COADD_ID = 'CO-ADD:PC0532' where Project_ID = 'P0532'; </v>
      </c>
    </row>
    <row r="537" spans="1:17">
      <c r="A537" t="s">
        <v>7071</v>
      </c>
      <c r="B537" t="s">
        <v>7070</v>
      </c>
      <c r="C537" t="s">
        <v>5633</v>
      </c>
      <c r="D537" t="s">
        <v>4643</v>
      </c>
      <c r="E537" t="s">
        <v>4642</v>
      </c>
      <c r="G537" t="s">
        <v>9068</v>
      </c>
      <c r="H537" t="s">
        <v>4646</v>
      </c>
      <c r="I537" t="s">
        <v>1600</v>
      </c>
      <c r="K537" t="s">
        <v>5828</v>
      </c>
      <c r="L537" t="s">
        <v>5995</v>
      </c>
      <c r="M537" t="s">
        <v>7069</v>
      </c>
      <c r="N537" s="2">
        <v>45657</v>
      </c>
      <c r="P537" t="str">
        <f>"Update Project Set Organisation = '"&amp;H537&amp;"' where Project_ID = '"&amp;A537&amp;"'; "</f>
        <v xml:space="preserve">Update Project Set Organisation = 'Russian Academy of Science' where Project_ID = 'P0533'; </v>
      </c>
      <c r="Q537" t="str">
        <f>"Update Project Set Library_name = '"&amp;L537&amp;"' , COADD_ID = '"&amp;M537&amp;"' where Project_ID = '"&amp;A537&amp;"'; "</f>
        <v xml:space="preserve">Update Project Set Library_name = 'Russian Academy of Science (Russia)' , COADD_ID = 'CO-ADD:PC0533' where Project_ID = 'P0533'; </v>
      </c>
    </row>
    <row r="538" spans="1:17">
      <c r="A538" t="s">
        <v>7073</v>
      </c>
      <c r="B538" t="s">
        <v>6207</v>
      </c>
      <c r="C538" t="s">
        <v>5633</v>
      </c>
      <c r="D538" t="s">
        <v>645</v>
      </c>
      <c r="E538" t="s">
        <v>644</v>
      </c>
      <c r="G538" t="s">
        <v>8968</v>
      </c>
      <c r="H538" t="s">
        <v>649</v>
      </c>
      <c r="I538" t="s">
        <v>427</v>
      </c>
      <c r="K538" t="s">
        <v>5806</v>
      </c>
      <c r="M538" t="s">
        <v>7072</v>
      </c>
      <c r="P538" t="str">
        <f>"Update Project Set Organisation = '"&amp;H538&amp;"' where Project_ID = '"&amp;A538&amp;"'; "</f>
        <v xml:space="preserve">Update Project Set Organisation = 'Institute of Molecular Biology and Genetics of NASU' where Project_ID = 'P0534'; </v>
      </c>
      <c r="Q538" t="str">
        <f>"Update Project Set Library_name = '"&amp;L538&amp;"' , COADD_ID = '"&amp;M538&amp;"' where Project_ID = '"&amp;A538&amp;"'; "</f>
        <v xml:space="preserve">Update Project Set Library_name = '' , COADD_ID = 'CO-ADD:PC0534' where Project_ID = 'P0534'; </v>
      </c>
    </row>
    <row r="539" spans="1:17">
      <c r="A539" t="s">
        <v>7076</v>
      </c>
      <c r="B539" t="s">
        <v>7075</v>
      </c>
      <c r="C539" t="s">
        <v>5633</v>
      </c>
      <c r="D539" t="s">
        <v>4643</v>
      </c>
      <c r="E539" t="s">
        <v>4642</v>
      </c>
      <c r="G539" t="s">
        <v>9068</v>
      </c>
      <c r="H539" t="s">
        <v>4646</v>
      </c>
      <c r="I539" t="s">
        <v>1600</v>
      </c>
      <c r="K539" t="s">
        <v>5828</v>
      </c>
      <c r="L539" t="s">
        <v>5995</v>
      </c>
      <c r="M539" t="s">
        <v>7074</v>
      </c>
      <c r="N539" s="2">
        <v>45657</v>
      </c>
      <c r="P539" t="str">
        <f>"Update Project Set Organisation = '"&amp;H539&amp;"' where Project_ID = '"&amp;A539&amp;"'; "</f>
        <v xml:space="preserve">Update Project Set Organisation = 'Russian Academy of Science' where Project_ID = 'P0535'; </v>
      </c>
      <c r="Q539" t="str">
        <f>"Update Project Set Library_name = '"&amp;L539&amp;"' , COADD_ID = '"&amp;M539&amp;"' where Project_ID = '"&amp;A539&amp;"'; "</f>
        <v xml:space="preserve">Update Project Set Library_name = 'Russian Academy of Science (Russia)' , COADD_ID = 'CO-ADD:PC0535' where Project_ID = 'P0535'; </v>
      </c>
    </row>
    <row r="540" spans="1:17">
      <c r="A540" t="s">
        <v>7079</v>
      </c>
      <c r="B540" t="s">
        <v>7078</v>
      </c>
      <c r="C540" t="s">
        <v>5633</v>
      </c>
      <c r="D540" t="s">
        <v>4643</v>
      </c>
      <c r="E540" t="s">
        <v>4642</v>
      </c>
      <c r="G540" t="s">
        <v>9068</v>
      </c>
      <c r="H540" t="s">
        <v>4646</v>
      </c>
      <c r="I540" t="s">
        <v>1600</v>
      </c>
      <c r="K540" t="s">
        <v>5828</v>
      </c>
      <c r="L540" t="s">
        <v>5995</v>
      </c>
      <c r="M540" t="s">
        <v>7077</v>
      </c>
      <c r="N540" s="2">
        <v>45657</v>
      </c>
      <c r="P540" t="str">
        <f>"Update Project Set Organisation = '"&amp;H540&amp;"' where Project_ID = '"&amp;A540&amp;"'; "</f>
        <v xml:space="preserve">Update Project Set Organisation = 'Russian Academy of Science' where Project_ID = 'P0536'; </v>
      </c>
      <c r="Q540" t="str">
        <f>"Update Project Set Library_name = '"&amp;L540&amp;"' , COADD_ID = '"&amp;M540&amp;"' where Project_ID = '"&amp;A540&amp;"'; "</f>
        <v xml:space="preserve">Update Project Set Library_name = 'Russian Academy of Science (Russia)' , COADD_ID = 'CO-ADD:PC0536' where Project_ID = 'P0536'; </v>
      </c>
    </row>
    <row r="541" spans="1:17">
      <c r="A541" t="s">
        <v>7081</v>
      </c>
      <c r="C541" t="s">
        <v>5633</v>
      </c>
      <c r="D541" t="s">
        <v>1213</v>
      </c>
      <c r="E541" t="s">
        <v>4347</v>
      </c>
      <c r="G541" t="s">
        <v>9220</v>
      </c>
      <c r="H541" t="s">
        <v>389</v>
      </c>
      <c r="I541" t="s">
        <v>14</v>
      </c>
      <c r="K541" t="s">
        <v>5843</v>
      </c>
      <c r="M541" t="s">
        <v>7080</v>
      </c>
      <c r="P541" t="str">
        <f>"Update Project Set Organisation = '"&amp;H541&amp;"' where Project_ID = '"&amp;A541&amp;"'; "</f>
        <v xml:space="preserve">Update Project Set Organisation = 'University of Sydney' where Project_ID = 'P0537'; </v>
      </c>
      <c r="Q541" t="str">
        <f>"Update Project Set Library_name = '"&amp;L541&amp;"' , COADD_ID = '"&amp;M541&amp;"' where Project_ID = '"&amp;A541&amp;"'; "</f>
        <v xml:space="preserve">Update Project Set Library_name = '' , COADD_ID = 'CO-ADD:PC0537' where Project_ID = 'P0537'; </v>
      </c>
    </row>
    <row r="542" spans="1:17">
      <c r="A542" t="s">
        <v>7083</v>
      </c>
      <c r="C542" t="s">
        <v>5633</v>
      </c>
      <c r="D542" t="s">
        <v>708</v>
      </c>
      <c r="G542" t="s">
        <v>9061</v>
      </c>
      <c r="H542" t="s">
        <v>711</v>
      </c>
      <c r="I542" t="s">
        <v>609</v>
      </c>
      <c r="K542" t="s">
        <v>5837</v>
      </c>
      <c r="M542" t="s">
        <v>7082</v>
      </c>
      <c r="P542" t="str">
        <f>"Update Project Set Organisation = '"&amp;H542&amp;"' where Project_ID = '"&amp;A542&amp;"'; "</f>
        <v xml:space="preserve">Update Project Set Organisation = 'Rhodes University' where Project_ID = 'P0538'; </v>
      </c>
      <c r="Q542" t="str">
        <f>"Update Project Set Library_name = '"&amp;L542&amp;"' , COADD_ID = '"&amp;M542&amp;"' where Project_ID = '"&amp;A542&amp;"'; "</f>
        <v xml:space="preserve">Update Project Set Library_name = '' , COADD_ID = 'CO-ADD:PC0538' where Project_ID = 'P0538'; </v>
      </c>
    </row>
    <row r="543" spans="1:17">
      <c r="A543" t="s">
        <v>7085</v>
      </c>
      <c r="C543" t="s">
        <v>5633</v>
      </c>
      <c r="D543" t="s">
        <v>3436</v>
      </c>
      <c r="E543" t="s">
        <v>3435</v>
      </c>
      <c r="G543" t="s">
        <v>9266</v>
      </c>
      <c r="H543" t="s">
        <v>3439</v>
      </c>
      <c r="I543" t="s">
        <v>557</v>
      </c>
      <c r="K543" t="s">
        <v>5828</v>
      </c>
      <c r="L543" t="s">
        <v>8255</v>
      </c>
      <c r="M543" t="s">
        <v>7084</v>
      </c>
      <c r="N543" s="2">
        <v>45657</v>
      </c>
      <c r="P543" t="str">
        <f>"Update Project Set Organisation = '"&amp;H543&amp;"' where Project_ID = '"&amp;A543&amp;"'; "</f>
        <v xml:space="preserve">Update Project Set Organisation = 'Würzburg University' where Project_ID = 'P0539'; </v>
      </c>
      <c r="Q543" t="str">
        <f>"Update Project Set Library_name = '"&amp;L543&amp;"' , COADD_ID = '"&amp;M543&amp;"' where Project_ID = '"&amp;A543&amp;"'; "</f>
        <v xml:space="preserve">Update Project Set Library_name = 'Würzburg University (Germany)' , COADD_ID = 'CO-ADD:PC0539' where Project_ID = 'P0539'; </v>
      </c>
    </row>
    <row r="544" spans="1:17">
      <c r="A544" t="s">
        <v>7087</v>
      </c>
      <c r="C544" t="s">
        <v>5633</v>
      </c>
      <c r="D544" t="s">
        <v>835</v>
      </c>
      <c r="E544" t="s">
        <v>2013</v>
      </c>
      <c r="F544" t="s">
        <v>834</v>
      </c>
      <c r="G544" t="s">
        <v>9125</v>
      </c>
      <c r="H544" t="s">
        <v>838</v>
      </c>
      <c r="I544" t="s">
        <v>75</v>
      </c>
      <c r="K544" t="s">
        <v>5828</v>
      </c>
      <c r="L544" t="s">
        <v>8256</v>
      </c>
      <c r="M544" t="s">
        <v>7086</v>
      </c>
      <c r="N544" s="2">
        <v>45657</v>
      </c>
      <c r="P544" t="str">
        <f>"Update Project Set Organisation = '"&amp;H544&amp;"' where Project_ID = '"&amp;A544&amp;"'; "</f>
        <v xml:space="preserve">Update Project Set Organisation = 'University of Alberta' where Project_ID = 'P0540'; </v>
      </c>
      <c r="Q544" t="str">
        <f>"Update Project Set Library_name = '"&amp;L544&amp;"' , COADD_ID = '"&amp;M544&amp;"' where Project_ID = '"&amp;A544&amp;"'; "</f>
        <v xml:space="preserve">Update Project Set Library_name = 'University of Alberta (Canada)' , COADD_ID = 'CO-ADD:PC0540' where Project_ID = 'P0540'; </v>
      </c>
    </row>
    <row r="545" spans="1:17">
      <c r="A545" t="s">
        <v>7089</v>
      </c>
      <c r="C545" t="s">
        <v>5633</v>
      </c>
      <c r="D545" t="s">
        <v>786</v>
      </c>
      <c r="E545" t="s">
        <v>3778</v>
      </c>
      <c r="G545" t="s">
        <v>8901</v>
      </c>
      <c r="H545" t="s">
        <v>790</v>
      </c>
      <c r="I545" t="s">
        <v>117</v>
      </c>
      <c r="K545" t="s">
        <v>5828</v>
      </c>
      <c r="L545" t="s">
        <v>8257</v>
      </c>
      <c r="M545" t="s">
        <v>7088</v>
      </c>
      <c r="N545" s="2">
        <v>45657</v>
      </c>
      <c r="P545" t="str">
        <f>"Update Project Set Organisation = '"&amp;H545&amp;"' where Project_ID = '"&amp;A545&amp;"'; "</f>
        <v xml:space="preserve">Update Project Set Organisation = 'Broad Institute' where Project_ID = 'P0541'; </v>
      </c>
      <c r="Q545" t="str">
        <f>"Update Project Set Library_name = '"&amp;L545&amp;"' , COADD_ID = '"&amp;M545&amp;"' where Project_ID = '"&amp;A545&amp;"'; "</f>
        <v xml:space="preserve">Update Project Set Library_name = 'Broad Institute (United States)' , COADD_ID = 'CO-ADD:PC0541' where Project_ID = 'P0541'; </v>
      </c>
    </row>
    <row r="546" spans="1:17">
      <c r="A546" t="s">
        <v>7091</v>
      </c>
      <c r="C546" t="s">
        <v>5633</v>
      </c>
      <c r="D546" t="s">
        <v>4143</v>
      </c>
      <c r="E546" t="s">
        <v>4377</v>
      </c>
      <c r="G546" t="s">
        <v>8876</v>
      </c>
      <c r="H546" t="s">
        <v>4147</v>
      </c>
      <c r="I546" t="s">
        <v>704</v>
      </c>
      <c r="K546" t="s">
        <v>5828</v>
      </c>
      <c r="L546" t="s">
        <v>8258</v>
      </c>
      <c r="M546" t="s">
        <v>7090</v>
      </c>
      <c r="N546" s="2">
        <v>45657</v>
      </c>
      <c r="P546" t="str">
        <f>"Update Project Set Organisation = '"&amp;H546&amp;"' where Project_ID = '"&amp;A546&amp;"'; "</f>
        <v xml:space="preserve">Update Project Set Organisation = 'Aix-Marseille University' where Project_ID = 'P0542'; </v>
      </c>
      <c r="Q546" t="str">
        <f>"Update Project Set Library_name = '"&amp;L546&amp;"' , COADD_ID = '"&amp;M546&amp;"' where Project_ID = '"&amp;A546&amp;"'; "</f>
        <v xml:space="preserve">Update Project Set Library_name = 'Aix-Marseille University (France)' , COADD_ID = 'CO-ADD:PC0542' where Project_ID = 'P0542'; </v>
      </c>
    </row>
    <row r="547" spans="1:17">
      <c r="A547" t="s">
        <v>7093</v>
      </c>
      <c r="C547" t="s">
        <v>5633</v>
      </c>
      <c r="D547" t="s">
        <v>468</v>
      </c>
      <c r="E547" t="s">
        <v>467</v>
      </c>
      <c r="G547" t="s">
        <v>9035</v>
      </c>
      <c r="H547" t="s">
        <v>472</v>
      </c>
      <c r="I547" t="s">
        <v>211</v>
      </c>
      <c r="K547" t="s">
        <v>5843</v>
      </c>
      <c r="M547" t="s">
        <v>7092</v>
      </c>
      <c r="P547" t="str">
        <f>"Update Project Set Organisation = '"&amp;H547&amp;"' where Project_ID = '"&amp;A547&amp;"'; "</f>
        <v xml:space="preserve">Update Project Set Organisation = 'National Institute of Technology (NIT) Warangal' where Project_ID = 'P0543'; </v>
      </c>
      <c r="Q547" t="str">
        <f>"Update Project Set Library_name = '"&amp;L547&amp;"' , COADD_ID = '"&amp;M547&amp;"' where Project_ID = '"&amp;A547&amp;"'; "</f>
        <v xml:space="preserve">Update Project Set Library_name = '' , COADD_ID = 'CO-ADD:PC0543' where Project_ID = 'P0543'; </v>
      </c>
    </row>
    <row r="548" spans="1:17">
      <c r="A548" t="s">
        <v>7095</v>
      </c>
      <c r="C548" t="s">
        <v>5633</v>
      </c>
      <c r="D548" t="s">
        <v>2187</v>
      </c>
      <c r="E548" t="s">
        <v>3742</v>
      </c>
      <c r="G548" t="s">
        <v>9000</v>
      </c>
      <c r="H548" t="s">
        <v>2189</v>
      </c>
      <c r="I548" t="s">
        <v>211</v>
      </c>
      <c r="K548" t="s">
        <v>5828</v>
      </c>
      <c r="L548" t="s">
        <v>8235</v>
      </c>
      <c r="M548" t="s">
        <v>7094</v>
      </c>
      <c r="N548" s="2">
        <v>45657</v>
      </c>
      <c r="P548" t="str">
        <f>"Update Project Set Organisation = '"&amp;H548&amp;"' where Project_ID = '"&amp;A548&amp;"'; "</f>
        <v xml:space="preserve">Update Project Set Organisation = 'Maharaja Krishnakumarsinhji Bhavnagar University' where Project_ID = 'P0544'; </v>
      </c>
      <c r="Q548" t="str">
        <f>"Update Project Set Library_name = '"&amp;L548&amp;"' , COADD_ID = '"&amp;M548&amp;"' where Project_ID = '"&amp;A548&amp;"'; "</f>
        <v xml:space="preserve">Update Project Set Library_name = 'Maharaja Krishnakumarsinhji Bhavnagar University (India)' , COADD_ID = 'CO-ADD:PC0544' where Project_ID = 'P0544'; </v>
      </c>
    </row>
    <row r="549" spans="1:17">
      <c r="A549" t="s">
        <v>7099</v>
      </c>
      <c r="B549" t="s">
        <v>7098</v>
      </c>
      <c r="C549" t="s">
        <v>5633</v>
      </c>
      <c r="D549" t="s">
        <v>4643</v>
      </c>
      <c r="E549" t="s">
        <v>4642</v>
      </c>
      <c r="G549" t="s">
        <v>9068</v>
      </c>
      <c r="H549" t="s">
        <v>4646</v>
      </c>
      <c r="I549" t="s">
        <v>1600</v>
      </c>
      <c r="J549" t="s">
        <v>7097</v>
      </c>
      <c r="K549" t="s">
        <v>5828</v>
      </c>
      <c r="L549" t="s">
        <v>5995</v>
      </c>
      <c r="M549" t="s">
        <v>7096</v>
      </c>
      <c r="N549" s="2">
        <v>45657</v>
      </c>
      <c r="P549" t="str">
        <f>"Update Project Set Organisation = '"&amp;H549&amp;"' where Project_ID = '"&amp;A549&amp;"'; "</f>
        <v xml:space="preserve">Update Project Set Organisation = 'Russian Academy of Science' where Project_ID = 'P0545'; </v>
      </c>
      <c r="Q549" t="str">
        <f>"Update Project Set Library_name = '"&amp;L549&amp;"' , COADD_ID = '"&amp;M549&amp;"' where Project_ID = '"&amp;A549&amp;"'; "</f>
        <v xml:space="preserve">Update Project Set Library_name = 'Russian Academy of Science (Russia)' , COADD_ID = 'CO-ADD:PC0545' where Project_ID = 'P0545'; </v>
      </c>
    </row>
    <row r="550" spans="1:17">
      <c r="A550" t="s">
        <v>7103</v>
      </c>
      <c r="B550" t="s">
        <v>7102</v>
      </c>
      <c r="C550" t="s">
        <v>5633</v>
      </c>
      <c r="D550" t="s">
        <v>2002</v>
      </c>
      <c r="E550" t="s">
        <v>5469</v>
      </c>
      <c r="F550" t="s">
        <v>1811</v>
      </c>
      <c r="G550" t="s">
        <v>9204</v>
      </c>
      <c r="H550" t="s">
        <v>362</v>
      </c>
      <c r="I550" t="s">
        <v>14</v>
      </c>
      <c r="J550" t="s">
        <v>7101</v>
      </c>
      <c r="K550" t="s">
        <v>5828</v>
      </c>
      <c r="L550" t="s">
        <v>5922</v>
      </c>
      <c r="M550" t="s">
        <v>7100</v>
      </c>
      <c r="N550" s="2">
        <v>45657</v>
      </c>
      <c r="P550" t="str">
        <f>"Update Project Set Organisation = '"&amp;H550&amp;"' where Project_ID = '"&amp;A550&amp;"'; "</f>
        <v xml:space="preserve">Update Project Set Organisation = 'University of Queensland' where Project_ID = 'P0546'; </v>
      </c>
      <c r="Q550" t="str">
        <f>"Update Project Set Library_name = '"&amp;L550&amp;"' , COADD_ID = '"&amp;M550&amp;"' where Project_ID = '"&amp;A550&amp;"'; "</f>
        <v xml:space="preserve">Update Project Set Library_name = 'University of Queensland (Australia)' , COADD_ID = 'CO-ADD:PC0546' where Project_ID = 'P0546'; </v>
      </c>
    </row>
    <row r="551" spans="1:17">
      <c r="A551" t="s">
        <v>7106</v>
      </c>
      <c r="C551" t="s">
        <v>5633</v>
      </c>
      <c r="D551" t="s">
        <v>1803</v>
      </c>
      <c r="E551" t="s">
        <v>2383</v>
      </c>
      <c r="G551" t="s">
        <v>9031</v>
      </c>
      <c r="H551" t="s">
        <v>5800</v>
      </c>
      <c r="I551" t="s">
        <v>55</v>
      </c>
      <c r="J551" t="s">
        <v>7105</v>
      </c>
      <c r="K551" t="s">
        <v>5843</v>
      </c>
      <c r="M551" t="s">
        <v>7104</v>
      </c>
      <c r="P551" t="str">
        <f>"Update Project Set Organisation = '"&amp;H551&amp;"' where Project_ID = '"&amp;A551&amp;"'; "</f>
        <v xml:space="preserve">Update Project Set Organisation = 'National Center for Radiation Research and Technology (NCRRT)' where Project_ID = 'P0547'; </v>
      </c>
      <c r="Q551" t="str">
        <f>"Update Project Set Library_name = '"&amp;L551&amp;"' , COADD_ID = '"&amp;M551&amp;"' where Project_ID = '"&amp;A551&amp;"'; "</f>
        <v xml:space="preserve">Update Project Set Library_name = '' , COADD_ID = 'CO-ADD:PC0547' where Project_ID = 'P0547'; </v>
      </c>
    </row>
    <row r="552" spans="1:17">
      <c r="A552" t="s">
        <v>7109</v>
      </c>
      <c r="B552" t="s">
        <v>7108</v>
      </c>
      <c r="C552" t="s">
        <v>5633</v>
      </c>
      <c r="D552" t="s">
        <v>4643</v>
      </c>
      <c r="E552" t="s">
        <v>4642</v>
      </c>
      <c r="G552" t="s">
        <v>9068</v>
      </c>
      <c r="H552" t="s">
        <v>4646</v>
      </c>
      <c r="I552" t="s">
        <v>1600</v>
      </c>
      <c r="K552" t="s">
        <v>5828</v>
      </c>
      <c r="L552" t="s">
        <v>5995</v>
      </c>
      <c r="M552" t="s">
        <v>7107</v>
      </c>
      <c r="N552" s="2">
        <v>45657</v>
      </c>
      <c r="P552" t="str">
        <f>"Update Project Set Organisation = '"&amp;H552&amp;"' where Project_ID = '"&amp;A552&amp;"'; "</f>
        <v xml:space="preserve">Update Project Set Organisation = 'Russian Academy of Science' where Project_ID = 'P0548'; </v>
      </c>
      <c r="Q552" t="str">
        <f>"Update Project Set Library_name = '"&amp;L552&amp;"' , COADD_ID = '"&amp;M552&amp;"' where Project_ID = '"&amp;A552&amp;"'; "</f>
        <v xml:space="preserve">Update Project Set Library_name = 'Russian Academy of Science (Russia)' , COADD_ID = 'CO-ADD:PC0548' where Project_ID = 'P0548'; </v>
      </c>
    </row>
    <row r="553" spans="1:17">
      <c r="A553" t="s">
        <v>7112</v>
      </c>
      <c r="B553" t="s">
        <v>7111</v>
      </c>
      <c r="C553" t="s">
        <v>5633</v>
      </c>
      <c r="D553" t="s">
        <v>4643</v>
      </c>
      <c r="E553" t="s">
        <v>4642</v>
      </c>
      <c r="G553" t="s">
        <v>9068</v>
      </c>
      <c r="H553" t="s">
        <v>4646</v>
      </c>
      <c r="I553" t="s">
        <v>1600</v>
      </c>
      <c r="K553" t="s">
        <v>5828</v>
      </c>
      <c r="L553" t="s">
        <v>5995</v>
      </c>
      <c r="M553" t="s">
        <v>7110</v>
      </c>
      <c r="N553" s="2">
        <v>45657</v>
      </c>
      <c r="P553" t="str">
        <f>"Update Project Set Organisation = '"&amp;H553&amp;"' where Project_ID = '"&amp;A553&amp;"'; "</f>
        <v xml:space="preserve">Update Project Set Organisation = 'Russian Academy of Science' where Project_ID = 'P0549'; </v>
      </c>
      <c r="Q553" t="str">
        <f>"Update Project Set Library_name = '"&amp;L553&amp;"' , COADD_ID = '"&amp;M553&amp;"' where Project_ID = '"&amp;A553&amp;"'; "</f>
        <v xml:space="preserve">Update Project Set Library_name = 'Russian Academy of Science (Russia)' , COADD_ID = 'CO-ADD:PC0549' where Project_ID = 'P0549'; </v>
      </c>
    </row>
    <row r="554" spans="1:17">
      <c r="A554" t="s">
        <v>7115</v>
      </c>
      <c r="B554" t="s">
        <v>7114</v>
      </c>
      <c r="C554" t="s">
        <v>5633</v>
      </c>
      <c r="D554" t="s">
        <v>4643</v>
      </c>
      <c r="E554" t="s">
        <v>4642</v>
      </c>
      <c r="G554" t="s">
        <v>9068</v>
      </c>
      <c r="H554" t="s">
        <v>4646</v>
      </c>
      <c r="I554" t="s">
        <v>1600</v>
      </c>
      <c r="K554" t="s">
        <v>5828</v>
      </c>
      <c r="L554" t="s">
        <v>5995</v>
      </c>
      <c r="M554" t="s">
        <v>7113</v>
      </c>
      <c r="N554" s="2">
        <v>45657</v>
      </c>
      <c r="P554" t="str">
        <f>"Update Project Set Organisation = '"&amp;H554&amp;"' where Project_ID = '"&amp;A554&amp;"'; "</f>
        <v xml:space="preserve">Update Project Set Organisation = 'Russian Academy of Science' where Project_ID = 'P0550'; </v>
      </c>
      <c r="Q554" t="str">
        <f>"Update Project Set Library_name = '"&amp;L554&amp;"' , COADD_ID = '"&amp;M554&amp;"' where Project_ID = '"&amp;A554&amp;"'; "</f>
        <v xml:space="preserve">Update Project Set Library_name = 'Russian Academy of Science (Russia)' , COADD_ID = 'CO-ADD:PC0550' where Project_ID = 'P0550'; </v>
      </c>
    </row>
    <row r="555" spans="1:17">
      <c r="A555" t="s">
        <v>7117</v>
      </c>
      <c r="C555" t="s">
        <v>5633</v>
      </c>
      <c r="D555" t="s">
        <v>2757</v>
      </c>
      <c r="E555" t="s">
        <v>4305</v>
      </c>
      <c r="G555" t="s">
        <v>9257</v>
      </c>
      <c r="H555" t="s">
        <v>1446</v>
      </c>
      <c r="I555" t="s">
        <v>211</v>
      </c>
      <c r="K555" t="s">
        <v>5828</v>
      </c>
      <c r="L555" t="s">
        <v>8259</v>
      </c>
      <c r="M555" t="s">
        <v>7116</v>
      </c>
      <c r="N555" s="2">
        <v>45657</v>
      </c>
      <c r="P555" t="str">
        <f>"Update Project Set Organisation = '"&amp;H555&amp;"' where Project_ID = '"&amp;A555&amp;"'; "</f>
        <v xml:space="preserve">Update Project Set Organisation = 'VIT University' where Project_ID = 'P0551'; </v>
      </c>
      <c r="Q555" t="str">
        <f>"Update Project Set Library_name = '"&amp;L555&amp;"' , COADD_ID = '"&amp;M555&amp;"' where Project_ID = '"&amp;A555&amp;"'; "</f>
        <v xml:space="preserve">Update Project Set Library_name = 'VIT University (India)' , COADD_ID = 'CO-ADD:PC0551' where Project_ID = 'P0551'; </v>
      </c>
    </row>
    <row r="556" spans="1:17">
      <c r="A556" t="s">
        <v>7119</v>
      </c>
      <c r="C556" t="s">
        <v>5633</v>
      </c>
      <c r="D556" t="s">
        <v>412</v>
      </c>
      <c r="E556" t="s">
        <v>5142</v>
      </c>
      <c r="F556" t="s">
        <v>411</v>
      </c>
      <c r="G556" t="s">
        <v>9205</v>
      </c>
      <c r="H556" t="s">
        <v>362</v>
      </c>
      <c r="I556" t="s">
        <v>14</v>
      </c>
      <c r="K556" t="s">
        <v>5843</v>
      </c>
      <c r="M556" t="s">
        <v>7118</v>
      </c>
      <c r="P556" t="str">
        <f>"Update Project Set Organisation = '"&amp;H556&amp;"' where Project_ID = '"&amp;A556&amp;"'; "</f>
        <v xml:space="preserve">Update Project Set Organisation = 'University of Queensland' where Project_ID = 'P0552'; </v>
      </c>
      <c r="Q556" t="str">
        <f>"Update Project Set Library_name = '"&amp;L556&amp;"' , COADD_ID = '"&amp;M556&amp;"' where Project_ID = '"&amp;A556&amp;"'; "</f>
        <v xml:space="preserve">Update Project Set Library_name = '' , COADD_ID = 'CO-ADD:PC0552' where Project_ID = 'P0552'; </v>
      </c>
    </row>
    <row r="557" spans="1:17">
      <c r="A557" t="s">
        <v>7121</v>
      </c>
      <c r="C557" t="s">
        <v>5633</v>
      </c>
      <c r="D557" t="s">
        <v>1504</v>
      </c>
      <c r="G557" t="s">
        <v>8989</v>
      </c>
      <c r="H557" t="s">
        <v>1507</v>
      </c>
      <c r="I557" t="s">
        <v>1510</v>
      </c>
      <c r="K557" t="s">
        <v>5828</v>
      </c>
      <c r="L557" t="s">
        <v>8211</v>
      </c>
      <c r="M557" t="s">
        <v>7120</v>
      </c>
      <c r="N557" s="2">
        <v>45657</v>
      </c>
      <c r="P557" t="str">
        <f>"Update Project Set Organisation = '"&amp;H557&amp;"' where Project_ID = '"&amp;A557&amp;"'; "</f>
        <v xml:space="preserve">Update Project Set Organisation = 'KU Leuven' where Project_ID = 'P0553'; </v>
      </c>
      <c r="Q557" t="str">
        <f>"Update Project Set Library_name = '"&amp;L557&amp;"' , COADD_ID = '"&amp;M557&amp;"' where Project_ID = '"&amp;A557&amp;"'; "</f>
        <v xml:space="preserve">Update Project Set Library_name = 'KU Leuven (Belgium)' , COADD_ID = 'CO-ADD:PC0553' where Project_ID = 'P0553'; </v>
      </c>
    </row>
    <row r="558" spans="1:17">
      <c r="A558" t="s">
        <v>7123</v>
      </c>
      <c r="C558" t="s">
        <v>5633</v>
      </c>
      <c r="D558" t="s">
        <v>613</v>
      </c>
      <c r="E558" t="s">
        <v>4813</v>
      </c>
      <c r="G558" t="s">
        <v>8990</v>
      </c>
      <c r="H558" t="s">
        <v>616</v>
      </c>
      <c r="I558" t="s">
        <v>14</v>
      </c>
      <c r="K558" t="s">
        <v>5843</v>
      </c>
      <c r="M558" t="s">
        <v>7122</v>
      </c>
      <c r="P558" t="str">
        <f>"Update Project Set Organisation = '"&amp;H558&amp;"' where Project_ID = '"&amp;A558&amp;"'; "</f>
        <v xml:space="preserve">Update Project Set Organisation = 'La Trobe University' where Project_ID = 'P0554'; </v>
      </c>
      <c r="Q558" t="str">
        <f>"Update Project Set Library_name = '"&amp;L558&amp;"' , COADD_ID = '"&amp;M558&amp;"' where Project_ID = '"&amp;A558&amp;"'; "</f>
        <v xml:space="preserve">Update Project Set Library_name = '' , COADD_ID = 'CO-ADD:PC0554' where Project_ID = 'P0554'; </v>
      </c>
    </row>
    <row r="559" spans="1:17">
      <c r="A559" t="s">
        <v>7126</v>
      </c>
      <c r="B559" t="s">
        <v>7125</v>
      </c>
      <c r="C559" t="s">
        <v>5633</v>
      </c>
      <c r="D559" t="s">
        <v>4643</v>
      </c>
      <c r="E559" t="s">
        <v>4642</v>
      </c>
      <c r="G559" t="s">
        <v>9068</v>
      </c>
      <c r="H559" t="s">
        <v>4646</v>
      </c>
      <c r="I559" t="s">
        <v>1600</v>
      </c>
      <c r="K559" t="s">
        <v>5828</v>
      </c>
      <c r="L559" t="s">
        <v>5995</v>
      </c>
      <c r="M559" t="s">
        <v>7124</v>
      </c>
      <c r="N559" s="2">
        <v>45657</v>
      </c>
      <c r="P559" t="str">
        <f>"Update Project Set Organisation = '"&amp;H559&amp;"' where Project_ID = '"&amp;A559&amp;"'; "</f>
        <v xml:space="preserve">Update Project Set Organisation = 'Russian Academy of Science' where Project_ID = 'P0555'; </v>
      </c>
      <c r="Q559" t="str">
        <f>"Update Project Set Library_name = '"&amp;L559&amp;"' , COADD_ID = '"&amp;M559&amp;"' where Project_ID = '"&amp;A559&amp;"'; "</f>
        <v xml:space="preserve">Update Project Set Library_name = 'Russian Academy of Science (Russia)' , COADD_ID = 'CO-ADD:PC0555' where Project_ID = 'P0555'; </v>
      </c>
    </row>
    <row r="560" spans="1:17">
      <c r="A560" t="s">
        <v>7129</v>
      </c>
      <c r="B560" t="s">
        <v>7128</v>
      </c>
      <c r="C560" t="s">
        <v>5633</v>
      </c>
      <c r="D560" t="s">
        <v>4643</v>
      </c>
      <c r="E560" t="s">
        <v>4642</v>
      </c>
      <c r="G560" t="s">
        <v>9068</v>
      </c>
      <c r="H560" t="s">
        <v>4646</v>
      </c>
      <c r="I560" t="s">
        <v>1600</v>
      </c>
      <c r="K560" t="s">
        <v>5828</v>
      </c>
      <c r="L560" t="s">
        <v>5995</v>
      </c>
      <c r="M560" t="s">
        <v>7127</v>
      </c>
      <c r="N560" s="2">
        <v>45657</v>
      </c>
      <c r="P560" t="str">
        <f>"Update Project Set Organisation = '"&amp;H560&amp;"' where Project_ID = '"&amp;A560&amp;"'; "</f>
        <v xml:space="preserve">Update Project Set Organisation = 'Russian Academy of Science' where Project_ID = 'P0556'; </v>
      </c>
      <c r="Q560" t="str">
        <f>"Update Project Set Library_name = '"&amp;L560&amp;"' , COADD_ID = '"&amp;M560&amp;"' where Project_ID = '"&amp;A560&amp;"'; "</f>
        <v xml:space="preserve">Update Project Set Library_name = 'Russian Academy of Science (Russia)' , COADD_ID = 'CO-ADD:PC0556' where Project_ID = 'P0556'; </v>
      </c>
    </row>
    <row r="561" spans="1:17">
      <c r="A561" t="s">
        <v>7132</v>
      </c>
      <c r="B561" t="s">
        <v>7131</v>
      </c>
      <c r="C561" t="s">
        <v>5633</v>
      </c>
      <c r="D561" t="s">
        <v>4643</v>
      </c>
      <c r="E561" t="s">
        <v>4642</v>
      </c>
      <c r="G561" t="s">
        <v>9068</v>
      </c>
      <c r="H561" t="s">
        <v>4646</v>
      </c>
      <c r="I561" t="s">
        <v>1600</v>
      </c>
      <c r="K561" t="s">
        <v>5828</v>
      </c>
      <c r="L561" t="s">
        <v>5995</v>
      </c>
      <c r="M561" t="s">
        <v>7130</v>
      </c>
      <c r="N561" s="2">
        <v>45657</v>
      </c>
      <c r="P561" t="str">
        <f>"Update Project Set Organisation = '"&amp;H561&amp;"' where Project_ID = '"&amp;A561&amp;"'; "</f>
        <v xml:space="preserve">Update Project Set Organisation = 'Russian Academy of Science' where Project_ID = 'P0557'; </v>
      </c>
      <c r="Q561" t="str">
        <f>"Update Project Set Library_name = '"&amp;L561&amp;"' , COADD_ID = '"&amp;M561&amp;"' where Project_ID = '"&amp;A561&amp;"'; "</f>
        <v xml:space="preserve">Update Project Set Library_name = 'Russian Academy of Science (Russia)' , COADD_ID = 'CO-ADD:PC0557' where Project_ID = 'P0557'; </v>
      </c>
    </row>
    <row r="562" spans="1:17">
      <c r="A562" t="s">
        <v>7134</v>
      </c>
      <c r="C562" t="s">
        <v>5633</v>
      </c>
      <c r="D562" t="s">
        <v>4985</v>
      </c>
      <c r="E562" t="s">
        <v>4984</v>
      </c>
      <c r="G562" t="s">
        <v>9006</v>
      </c>
      <c r="H562" t="s">
        <v>4988</v>
      </c>
      <c r="I562" t="s">
        <v>4990</v>
      </c>
      <c r="K562" t="s">
        <v>5828</v>
      </c>
      <c r="L562" t="s">
        <v>8252</v>
      </c>
      <c r="M562" t="s">
        <v>7133</v>
      </c>
      <c r="N562" s="2">
        <v>45657</v>
      </c>
      <c r="P562" t="str">
        <f>"Update Project Set Organisation = '"&amp;H562&amp;"' where Project_ID = '"&amp;A562&amp;"'; "</f>
        <v xml:space="preserve">Update Project Set Organisation = 'Masaryk University' where Project_ID = 'P0558'; </v>
      </c>
      <c r="Q562" t="str">
        <f>"Update Project Set Library_name = '"&amp;L562&amp;"' , COADD_ID = '"&amp;M562&amp;"' where Project_ID = '"&amp;A562&amp;"'; "</f>
        <v xml:space="preserve">Update Project Set Library_name = 'Masaryk University (Czech Republic)' , COADD_ID = 'CO-ADD:PC0558' where Project_ID = 'P0558'; </v>
      </c>
    </row>
    <row r="563" spans="1:17">
      <c r="A563" t="s">
        <v>7137</v>
      </c>
      <c r="B563" t="s">
        <v>7136</v>
      </c>
      <c r="C563" t="s">
        <v>5633</v>
      </c>
      <c r="D563" t="s">
        <v>4643</v>
      </c>
      <c r="E563" t="s">
        <v>4642</v>
      </c>
      <c r="G563" t="s">
        <v>9068</v>
      </c>
      <c r="H563" t="s">
        <v>4646</v>
      </c>
      <c r="I563" t="s">
        <v>1600</v>
      </c>
      <c r="K563" t="s">
        <v>5828</v>
      </c>
      <c r="L563" t="s">
        <v>5995</v>
      </c>
      <c r="M563" t="s">
        <v>7135</v>
      </c>
      <c r="N563" s="2">
        <v>45657</v>
      </c>
      <c r="P563" t="str">
        <f>"Update Project Set Organisation = '"&amp;H563&amp;"' where Project_ID = '"&amp;A563&amp;"'; "</f>
        <v xml:space="preserve">Update Project Set Organisation = 'Russian Academy of Science' where Project_ID = 'P0559'; </v>
      </c>
      <c r="Q563" t="str">
        <f>"Update Project Set Library_name = '"&amp;L563&amp;"' , COADD_ID = '"&amp;M563&amp;"' where Project_ID = '"&amp;A563&amp;"'; "</f>
        <v xml:space="preserve">Update Project Set Library_name = 'Russian Academy of Science (Russia)' , COADD_ID = 'CO-ADD:PC0559' where Project_ID = 'P0559'; </v>
      </c>
    </row>
    <row r="564" spans="1:17">
      <c r="A564" t="s">
        <v>7139</v>
      </c>
      <c r="C564" t="s">
        <v>5633</v>
      </c>
      <c r="D564" t="s">
        <v>377</v>
      </c>
      <c r="E564" t="s">
        <v>376</v>
      </c>
      <c r="G564" t="s">
        <v>9150</v>
      </c>
      <c r="H564" t="s">
        <v>381</v>
      </c>
      <c r="I564" t="s">
        <v>269</v>
      </c>
      <c r="K564" t="s">
        <v>5828</v>
      </c>
      <c r="L564" t="s">
        <v>8260</v>
      </c>
      <c r="M564" t="s">
        <v>7138</v>
      </c>
      <c r="N564" s="2">
        <v>45657</v>
      </c>
      <c r="P564" t="str">
        <f>"Update Project Set Organisation = '"&amp;H564&amp;"' where Project_ID = '"&amp;A564&amp;"'; "</f>
        <v xml:space="preserve">Update Project Set Organisation = 'University of East Anglia' where Project_ID = 'P0560'; </v>
      </c>
      <c r="Q564" t="str">
        <f>"Update Project Set Library_name = '"&amp;L564&amp;"' , COADD_ID = '"&amp;M564&amp;"' where Project_ID = '"&amp;A564&amp;"'; "</f>
        <v xml:space="preserve">Update Project Set Library_name = 'University of East Anglia (United Kingdom)' , COADD_ID = 'CO-ADD:PC0560' where Project_ID = 'P0560'; </v>
      </c>
    </row>
    <row r="565" spans="1:17">
      <c r="A565" t="s">
        <v>7141</v>
      </c>
      <c r="C565" t="s">
        <v>5633</v>
      </c>
      <c r="D565" t="s">
        <v>4286</v>
      </c>
      <c r="G565" t="s">
        <v>9223</v>
      </c>
      <c r="H565" t="s">
        <v>4289</v>
      </c>
      <c r="I565" t="s">
        <v>14</v>
      </c>
      <c r="K565" t="s">
        <v>5828</v>
      </c>
      <c r="L565" t="s">
        <v>8261</v>
      </c>
      <c r="M565" t="s">
        <v>7140</v>
      </c>
      <c r="N565" s="2">
        <v>45657</v>
      </c>
      <c r="P565" t="str">
        <f>"Update Project Set Organisation = '"&amp;H565&amp;"' where Project_ID = '"&amp;A565&amp;"'; "</f>
        <v xml:space="preserve">Update Project Set Organisation = 'University of Technology Sydney' where Project_ID = 'P0561'; </v>
      </c>
      <c r="Q565" t="str">
        <f>"Update Project Set Library_name = '"&amp;L565&amp;"' , COADD_ID = '"&amp;M565&amp;"' where Project_ID = '"&amp;A565&amp;"'; "</f>
        <v xml:space="preserve">Update Project Set Library_name = 'University of Technology Sydney (Australia)' , COADD_ID = 'CO-ADD:PC0561' where Project_ID = 'P0561'; </v>
      </c>
    </row>
    <row r="566" spans="1:17">
      <c r="A566" t="s">
        <v>7143</v>
      </c>
      <c r="C566" t="s">
        <v>5633</v>
      </c>
      <c r="D566" t="s">
        <v>1443</v>
      </c>
      <c r="E566" t="s">
        <v>3963</v>
      </c>
      <c r="G566" t="s">
        <v>9258</v>
      </c>
      <c r="H566" t="s">
        <v>1446</v>
      </c>
      <c r="I566" t="s">
        <v>211</v>
      </c>
      <c r="K566" t="s">
        <v>5828</v>
      </c>
      <c r="L566" t="s">
        <v>8259</v>
      </c>
      <c r="M566" t="s">
        <v>7142</v>
      </c>
      <c r="N566" s="2">
        <v>45657</v>
      </c>
      <c r="P566" t="str">
        <f>"Update Project Set Organisation = '"&amp;H566&amp;"' where Project_ID = '"&amp;A566&amp;"'; "</f>
        <v xml:space="preserve">Update Project Set Organisation = 'VIT University' where Project_ID = 'P0562'; </v>
      </c>
      <c r="Q566" t="str">
        <f>"Update Project Set Library_name = '"&amp;L566&amp;"' , COADD_ID = '"&amp;M566&amp;"' where Project_ID = '"&amp;A566&amp;"'; "</f>
        <v xml:space="preserve">Update Project Set Library_name = 'VIT University (India)' , COADD_ID = 'CO-ADD:PC0562' where Project_ID = 'P0562'; </v>
      </c>
    </row>
    <row r="567" spans="1:17">
      <c r="A567" t="s">
        <v>7145</v>
      </c>
      <c r="C567" t="s">
        <v>5633</v>
      </c>
      <c r="D567" t="s">
        <v>4023</v>
      </c>
      <c r="E567" t="s">
        <v>4022</v>
      </c>
      <c r="G567" t="s">
        <v>8975</v>
      </c>
      <c r="H567" t="s">
        <v>208</v>
      </c>
      <c r="I567" t="s">
        <v>211</v>
      </c>
      <c r="K567" t="s">
        <v>5828</v>
      </c>
      <c r="L567" t="s">
        <v>6572</v>
      </c>
      <c r="M567" t="s">
        <v>7144</v>
      </c>
      <c r="N567" s="2">
        <v>45657</v>
      </c>
      <c r="P567" t="str">
        <f>"Update Project Set Organisation = '"&amp;H567&amp;"' where Project_ID = '"&amp;A567&amp;"'; "</f>
        <v xml:space="preserve">Update Project Set Organisation = 'Jain University' where Project_ID = 'P0563'; </v>
      </c>
      <c r="Q567" t="str">
        <f>"Update Project Set Library_name = '"&amp;L567&amp;"' , COADD_ID = '"&amp;M567&amp;"' where Project_ID = '"&amp;A567&amp;"'; "</f>
        <v xml:space="preserve">Update Project Set Library_name = 'Jain University (India)' , COADD_ID = 'CO-ADD:PC0563' where Project_ID = 'P0563'; </v>
      </c>
    </row>
    <row r="568" spans="1:17">
      <c r="A568" t="s">
        <v>7147</v>
      </c>
      <c r="C568" t="s">
        <v>5633</v>
      </c>
      <c r="D568" t="s">
        <v>862</v>
      </c>
      <c r="E568" t="s">
        <v>2100</v>
      </c>
      <c r="G568" t="s">
        <v>9189</v>
      </c>
      <c r="H568" t="s">
        <v>865</v>
      </c>
      <c r="I568" t="s">
        <v>408</v>
      </c>
      <c r="K568" t="s">
        <v>5828</v>
      </c>
      <c r="L568" t="s">
        <v>8241</v>
      </c>
      <c r="M568" t="s">
        <v>7146</v>
      </c>
      <c r="N568" s="2">
        <v>45657</v>
      </c>
      <c r="P568" t="str">
        <f>"Update Project Set Organisation = '"&amp;H568&amp;"' where Project_ID = '"&amp;A568&amp;"'; "</f>
        <v xml:space="preserve">Update Project Set Organisation = 'University of Porto' where Project_ID = 'P0564'; </v>
      </c>
      <c r="Q568" t="str">
        <f>"Update Project Set Library_name = '"&amp;L568&amp;"' , COADD_ID = '"&amp;M568&amp;"' where Project_ID = '"&amp;A568&amp;"'; "</f>
        <v xml:space="preserve">Update Project Set Library_name = 'University of Porto (Portugal)' , COADD_ID = 'CO-ADD:PC0564' where Project_ID = 'P0564'; </v>
      </c>
    </row>
    <row r="569" spans="1:17">
      <c r="A569" t="s">
        <v>7149</v>
      </c>
      <c r="C569" t="s">
        <v>5633</v>
      </c>
      <c r="D569" t="s">
        <v>2080</v>
      </c>
      <c r="E569" t="s">
        <v>4512</v>
      </c>
      <c r="F569" t="s">
        <v>3878</v>
      </c>
      <c r="G569" t="s">
        <v>8963</v>
      </c>
      <c r="H569" t="s">
        <v>3881</v>
      </c>
      <c r="I569" t="s">
        <v>117</v>
      </c>
      <c r="K569" t="s">
        <v>5837</v>
      </c>
      <c r="M569" t="s">
        <v>7148</v>
      </c>
      <c r="P569" t="str">
        <f>"Update Project Set Organisation = '"&amp;H569&amp;"' where Project_ID = '"&amp;A569&amp;"'; "</f>
        <v xml:space="preserve">Update Project Set Organisation = 'Indiana University-Purdue University Indianapolis' where Project_ID = 'P0565'; </v>
      </c>
      <c r="Q569" t="str">
        <f>"Update Project Set Library_name = '"&amp;L569&amp;"' , COADD_ID = '"&amp;M569&amp;"' where Project_ID = '"&amp;A569&amp;"'; "</f>
        <v xml:space="preserve">Update Project Set Library_name = '' , COADD_ID = 'CO-ADD:PC0565' where Project_ID = 'P0565'; </v>
      </c>
    </row>
    <row r="570" spans="1:17">
      <c r="A570" t="s">
        <v>7152</v>
      </c>
      <c r="B570" t="s">
        <v>7151</v>
      </c>
      <c r="C570" t="s">
        <v>5633</v>
      </c>
      <c r="D570" t="s">
        <v>4643</v>
      </c>
      <c r="E570" t="s">
        <v>4642</v>
      </c>
      <c r="G570" t="s">
        <v>9068</v>
      </c>
      <c r="H570" t="s">
        <v>4646</v>
      </c>
      <c r="I570" t="s">
        <v>1600</v>
      </c>
      <c r="K570" t="s">
        <v>5828</v>
      </c>
      <c r="L570" t="s">
        <v>5995</v>
      </c>
      <c r="M570" t="s">
        <v>7150</v>
      </c>
      <c r="N570" s="2">
        <v>45657</v>
      </c>
      <c r="P570" t="str">
        <f>"Update Project Set Organisation = '"&amp;H570&amp;"' where Project_ID = '"&amp;A570&amp;"'; "</f>
        <v xml:space="preserve">Update Project Set Organisation = 'Russian Academy of Science' where Project_ID = 'P0566'; </v>
      </c>
      <c r="Q570" t="str">
        <f>"Update Project Set Library_name = '"&amp;L570&amp;"' , COADD_ID = '"&amp;M570&amp;"' where Project_ID = '"&amp;A570&amp;"'; "</f>
        <v xml:space="preserve">Update Project Set Library_name = 'Russian Academy of Science (Russia)' , COADD_ID = 'CO-ADD:PC0566' where Project_ID = 'P0566'; </v>
      </c>
    </row>
    <row r="571" spans="1:17">
      <c r="A571" t="s">
        <v>7155</v>
      </c>
      <c r="B571" t="s">
        <v>7154</v>
      </c>
      <c r="C571" t="s">
        <v>5633</v>
      </c>
      <c r="D571" t="s">
        <v>4643</v>
      </c>
      <c r="E571" t="s">
        <v>4642</v>
      </c>
      <c r="G571" t="s">
        <v>9068</v>
      </c>
      <c r="H571" t="s">
        <v>4646</v>
      </c>
      <c r="I571" t="s">
        <v>1600</v>
      </c>
      <c r="K571" t="s">
        <v>5828</v>
      </c>
      <c r="L571" t="s">
        <v>5995</v>
      </c>
      <c r="M571" t="s">
        <v>7153</v>
      </c>
      <c r="N571" s="2">
        <v>45657</v>
      </c>
      <c r="P571" t="str">
        <f>"Update Project Set Organisation = '"&amp;H571&amp;"' where Project_ID = '"&amp;A571&amp;"'; "</f>
        <v xml:space="preserve">Update Project Set Organisation = 'Russian Academy of Science' where Project_ID = 'P0567'; </v>
      </c>
      <c r="Q571" t="str">
        <f>"Update Project Set Library_name = '"&amp;L571&amp;"' , COADD_ID = '"&amp;M571&amp;"' where Project_ID = '"&amp;A571&amp;"'; "</f>
        <v xml:space="preserve">Update Project Set Library_name = 'Russian Academy of Science (Russia)' , COADD_ID = 'CO-ADD:PC0567' where Project_ID = 'P0567'; </v>
      </c>
    </row>
    <row r="572" spans="1:17">
      <c r="A572" t="s">
        <v>7157</v>
      </c>
      <c r="C572" t="s">
        <v>5633</v>
      </c>
      <c r="D572" t="s">
        <v>708</v>
      </c>
      <c r="E572" t="s">
        <v>707</v>
      </c>
      <c r="G572" t="s">
        <v>9061</v>
      </c>
      <c r="H572" t="s">
        <v>711</v>
      </c>
      <c r="I572" t="s">
        <v>609</v>
      </c>
      <c r="K572" t="s">
        <v>5828</v>
      </c>
      <c r="L572" t="s">
        <v>8262</v>
      </c>
      <c r="M572" t="s">
        <v>7156</v>
      </c>
      <c r="N572" s="2">
        <v>45657</v>
      </c>
      <c r="P572" t="str">
        <f>"Update Project Set Organisation = '"&amp;H572&amp;"' where Project_ID = '"&amp;A572&amp;"'; "</f>
        <v xml:space="preserve">Update Project Set Organisation = 'Rhodes University' where Project_ID = 'P0568'; </v>
      </c>
      <c r="Q572" t="str">
        <f>"Update Project Set Library_name = '"&amp;L572&amp;"' , COADD_ID = '"&amp;M572&amp;"' where Project_ID = '"&amp;A572&amp;"'; "</f>
        <v xml:space="preserve">Update Project Set Library_name = 'Rhodes University (South Africa)' , COADD_ID = 'CO-ADD:PC0568' where Project_ID = 'P0568'; </v>
      </c>
    </row>
    <row r="573" spans="1:17">
      <c r="A573" t="s">
        <v>7159</v>
      </c>
      <c r="C573" t="s">
        <v>5633</v>
      </c>
      <c r="D573" t="s">
        <v>2826</v>
      </c>
      <c r="E573" t="s">
        <v>2825</v>
      </c>
      <c r="G573" t="s">
        <v>8925</v>
      </c>
      <c r="H573" t="s">
        <v>2829</v>
      </c>
      <c r="I573" t="s">
        <v>55</v>
      </c>
      <c r="K573" t="s">
        <v>5828</v>
      </c>
      <c r="L573" t="s">
        <v>8263</v>
      </c>
      <c r="M573" t="s">
        <v>7158</v>
      </c>
      <c r="N573" s="2">
        <v>45657</v>
      </c>
      <c r="P573" t="str">
        <f>"Update Project Set Organisation = '"&amp;H573&amp;"' where Project_ID = '"&amp;A573&amp;"'; "</f>
        <v xml:space="preserve">Update Project Set Organisation = 'Damanhour University' where Project_ID = 'P0569'; </v>
      </c>
      <c r="Q573" t="str">
        <f>"Update Project Set Library_name = '"&amp;L573&amp;"' , COADD_ID = '"&amp;M573&amp;"' where Project_ID = '"&amp;A573&amp;"'; "</f>
        <v xml:space="preserve">Update Project Set Library_name = 'Damanhour University (Egypt)' , COADD_ID = 'CO-ADD:PC0569' where Project_ID = 'P0569'; </v>
      </c>
    </row>
    <row r="574" spans="1:17">
      <c r="A574" t="s">
        <v>7162</v>
      </c>
      <c r="B574" t="s">
        <v>7161</v>
      </c>
      <c r="C574" t="s">
        <v>5633</v>
      </c>
      <c r="D574" t="s">
        <v>4643</v>
      </c>
      <c r="E574" t="s">
        <v>4642</v>
      </c>
      <c r="G574" t="s">
        <v>9068</v>
      </c>
      <c r="H574" t="s">
        <v>4646</v>
      </c>
      <c r="I574" t="s">
        <v>1600</v>
      </c>
      <c r="K574" t="s">
        <v>5828</v>
      </c>
      <c r="L574" t="s">
        <v>5995</v>
      </c>
      <c r="M574" t="s">
        <v>7160</v>
      </c>
      <c r="N574" s="2">
        <v>45657</v>
      </c>
      <c r="P574" t="str">
        <f>"Update Project Set Organisation = '"&amp;H574&amp;"' where Project_ID = '"&amp;A574&amp;"'; "</f>
        <v xml:space="preserve">Update Project Set Organisation = 'Russian Academy of Science' where Project_ID = 'P0570'; </v>
      </c>
      <c r="Q574" t="str">
        <f>"Update Project Set Library_name = '"&amp;L574&amp;"' , COADD_ID = '"&amp;M574&amp;"' where Project_ID = '"&amp;A574&amp;"'; "</f>
        <v xml:space="preserve">Update Project Set Library_name = 'Russian Academy of Science (Russia)' , COADD_ID = 'CO-ADD:PC0570' where Project_ID = 'P0570'; </v>
      </c>
    </row>
    <row r="575" spans="1:17">
      <c r="A575" t="s">
        <v>7165</v>
      </c>
      <c r="B575" t="s">
        <v>7164</v>
      </c>
      <c r="C575" t="s">
        <v>5633</v>
      </c>
      <c r="D575" t="s">
        <v>4643</v>
      </c>
      <c r="E575" t="s">
        <v>4642</v>
      </c>
      <c r="G575" t="s">
        <v>9068</v>
      </c>
      <c r="H575" t="s">
        <v>4646</v>
      </c>
      <c r="I575" t="s">
        <v>1600</v>
      </c>
      <c r="K575" t="s">
        <v>5828</v>
      </c>
      <c r="L575" t="s">
        <v>5995</v>
      </c>
      <c r="M575" t="s">
        <v>7163</v>
      </c>
      <c r="N575" s="2">
        <v>45657</v>
      </c>
      <c r="P575" t="str">
        <f>"Update Project Set Organisation = '"&amp;H575&amp;"' where Project_ID = '"&amp;A575&amp;"'; "</f>
        <v xml:space="preserve">Update Project Set Organisation = 'Russian Academy of Science' where Project_ID = 'P0571'; </v>
      </c>
      <c r="Q575" t="str">
        <f>"Update Project Set Library_name = '"&amp;L575&amp;"' , COADD_ID = '"&amp;M575&amp;"' where Project_ID = '"&amp;A575&amp;"'; "</f>
        <v xml:space="preserve">Update Project Set Library_name = 'Russian Academy of Science (Russia)' , COADD_ID = 'CO-ADD:PC0571' where Project_ID = 'P0571'; </v>
      </c>
    </row>
    <row r="576" spans="1:17">
      <c r="A576" t="s">
        <v>7168</v>
      </c>
      <c r="B576" t="s">
        <v>7167</v>
      </c>
      <c r="C576" t="s">
        <v>5633</v>
      </c>
      <c r="D576" t="s">
        <v>968</v>
      </c>
      <c r="E576" t="s">
        <v>1523</v>
      </c>
      <c r="F576" t="s">
        <v>2750</v>
      </c>
      <c r="G576" t="s">
        <v>8983</v>
      </c>
      <c r="H576" t="s">
        <v>971</v>
      </c>
      <c r="I576" t="s">
        <v>557</v>
      </c>
      <c r="K576" t="s">
        <v>5828</v>
      </c>
      <c r="L576" t="s">
        <v>8169</v>
      </c>
      <c r="M576" t="s">
        <v>7166</v>
      </c>
      <c r="N576" s="2">
        <v>45657</v>
      </c>
      <c r="P576" t="str">
        <f>"Update Project Set Organisation = '"&amp;H576&amp;"' where Project_ID = '"&amp;A576&amp;"'; "</f>
        <v xml:space="preserve">Update Project Set Organisation = 'Karlsruhe Institute of Technology (KIT)' where Project_ID = 'P0572'; </v>
      </c>
      <c r="Q576" t="str">
        <f>"Update Project Set Library_name = '"&amp;L576&amp;"' , COADD_ID = '"&amp;M576&amp;"' where Project_ID = '"&amp;A576&amp;"'; "</f>
        <v xml:space="preserve">Update Project Set Library_name = 'Karlsruhe Institute of Technology (KIT) (Germany)' , COADD_ID = 'CO-ADD:PC0572' where Project_ID = 'P0572'; </v>
      </c>
    </row>
    <row r="577" spans="1:17">
      <c r="A577" t="s">
        <v>7170</v>
      </c>
      <c r="C577" t="s">
        <v>5633</v>
      </c>
      <c r="D577" t="s">
        <v>2595</v>
      </c>
      <c r="E577" t="s">
        <v>3306</v>
      </c>
      <c r="F577" t="s">
        <v>2594</v>
      </c>
      <c r="G577" t="s">
        <v>9012</v>
      </c>
      <c r="H577" t="s">
        <v>2599</v>
      </c>
      <c r="I577" t="s">
        <v>117</v>
      </c>
      <c r="K577" t="s">
        <v>5843</v>
      </c>
      <c r="M577" t="s">
        <v>7169</v>
      </c>
      <c r="P577" t="str">
        <f>"Update Project Set Organisation = '"&amp;H577&amp;"' where Project_ID = '"&amp;A577&amp;"'; "</f>
        <v xml:space="preserve">Update Project Set Organisation = 'Memorial Sloan Kettering Cancer Center (MSKCC)' where Project_ID = 'P0573'; </v>
      </c>
      <c r="Q577" t="str">
        <f>"Update Project Set Library_name = '"&amp;L577&amp;"' , COADD_ID = '"&amp;M577&amp;"' where Project_ID = '"&amp;A577&amp;"'; "</f>
        <v xml:space="preserve">Update Project Set Library_name = '' , COADD_ID = 'CO-ADD:PC0573' where Project_ID = 'P0573'; </v>
      </c>
    </row>
    <row r="578" spans="1:17">
      <c r="A578" t="s">
        <v>7172</v>
      </c>
      <c r="C578" t="s">
        <v>5633</v>
      </c>
      <c r="D578" t="s">
        <v>2970</v>
      </c>
      <c r="E578" t="s">
        <v>2969</v>
      </c>
      <c r="G578" t="s">
        <v>9260</v>
      </c>
      <c r="H578" t="s">
        <v>2972</v>
      </c>
      <c r="I578" t="s">
        <v>117</v>
      </c>
      <c r="K578" t="s">
        <v>5828</v>
      </c>
      <c r="L578" t="s">
        <v>8264</v>
      </c>
      <c r="M578" t="s">
        <v>7171</v>
      </c>
      <c r="N578" s="2">
        <v>45657</v>
      </c>
      <c r="P578" t="str">
        <f>"Update Project Set Organisation = '"&amp;H578&amp;"' where Project_ID = '"&amp;A578&amp;"'; "</f>
        <v xml:space="preserve">Update Project Set Organisation = 'Wake Forest University' where Project_ID = 'P0574'; </v>
      </c>
      <c r="Q578" t="str">
        <f>"Update Project Set Library_name = '"&amp;L578&amp;"' , COADD_ID = '"&amp;M578&amp;"' where Project_ID = '"&amp;A578&amp;"'; "</f>
        <v xml:space="preserve">Update Project Set Library_name = 'Wake Forest University (United States)' , COADD_ID = 'CO-ADD:PC0574' where Project_ID = 'P0574'; </v>
      </c>
    </row>
    <row r="579" spans="1:17">
      <c r="A579" t="s">
        <v>7174</v>
      </c>
      <c r="C579" t="s">
        <v>5633</v>
      </c>
      <c r="D579" t="s">
        <v>3372</v>
      </c>
      <c r="E579" t="s">
        <v>4213</v>
      </c>
      <c r="F579" t="s">
        <v>2871</v>
      </c>
      <c r="G579" t="s">
        <v>9242</v>
      </c>
      <c r="H579" t="s">
        <v>1422</v>
      </c>
      <c r="I579" t="s">
        <v>14</v>
      </c>
      <c r="K579" t="s">
        <v>5828</v>
      </c>
      <c r="L579" t="s">
        <v>8156</v>
      </c>
      <c r="M579" t="s">
        <v>7173</v>
      </c>
      <c r="N579" s="2">
        <v>45657</v>
      </c>
      <c r="P579" t="str">
        <f>"Update Project Set Organisation = '"&amp;H579&amp;"' where Project_ID = '"&amp;A579&amp;"'; "</f>
        <v xml:space="preserve">Update Project Set Organisation = 'University of Wollongong' where Project_ID = 'P0575'; </v>
      </c>
      <c r="Q579" t="str">
        <f>"Update Project Set Library_name = '"&amp;L579&amp;"' , COADD_ID = '"&amp;M579&amp;"' where Project_ID = '"&amp;A579&amp;"'; "</f>
        <v xml:space="preserve">Update Project Set Library_name = 'University of Wollongong (Australia)' , COADD_ID = 'CO-ADD:PC0575' where Project_ID = 'P0575'; </v>
      </c>
    </row>
    <row r="580" spans="1:17">
      <c r="A580" t="s">
        <v>7176</v>
      </c>
      <c r="C580" t="s">
        <v>5633</v>
      </c>
      <c r="D580" t="s">
        <v>1581</v>
      </c>
      <c r="E580" t="s">
        <v>2986</v>
      </c>
      <c r="G580" t="s">
        <v>8976</v>
      </c>
      <c r="H580" t="s">
        <v>208</v>
      </c>
      <c r="I580" t="s">
        <v>211</v>
      </c>
      <c r="K580" t="s">
        <v>5828</v>
      </c>
      <c r="L580" t="s">
        <v>6572</v>
      </c>
      <c r="M580" t="s">
        <v>7175</v>
      </c>
      <c r="N580" s="2">
        <v>45657</v>
      </c>
      <c r="P580" t="str">
        <f>"Update Project Set Organisation = '"&amp;H580&amp;"' where Project_ID = '"&amp;A580&amp;"'; "</f>
        <v xml:space="preserve">Update Project Set Organisation = 'Jain University' where Project_ID = 'P0576'; </v>
      </c>
      <c r="Q580" t="str">
        <f>"Update Project Set Library_name = '"&amp;L580&amp;"' , COADD_ID = '"&amp;M580&amp;"' where Project_ID = '"&amp;A580&amp;"'; "</f>
        <v xml:space="preserve">Update Project Set Library_name = 'Jain University (India)' , COADD_ID = 'CO-ADD:PC0576' where Project_ID = 'P0576'; </v>
      </c>
    </row>
    <row r="581" spans="1:17">
      <c r="A581" t="s">
        <v>7179</v>
      </c>
      <c r="B581" t="s">
        <v>7178</v>
      </c>
      <c r="C581" t="s">
        <v>5633</v>
      </c>
      <c r="D581" t="s">
        <v>4643</v>
      </c>
      <c r="E581" t="s">
        <v>4642</v>
      </c>
      <c r="G581" t="s">
        <v>9068</v>
      </c>
      <c r="H581" t="s">
        <v>4646</v>
      </c>
      <c r="I581" t="s">
        <v>1600</v>
      </c>
      <c r="K581" t="s">
        <v>5828</v>
      </c>
      <c r="L581" t="s">
        <v>5995</v>
      </c>
      <c r="M581" t="s">
        <v>7177</v>
      </c>
      <c r="N581" s="2">
        <v>45657</v>
      </c>
      <c r="P581" t="str">
        <f>"Update Project Set Organisation = '"&amp;H581&amp;"' where Project_ID = '"&amp;A581&amp;"'; "</f>
        <v xml:space="preserve">Update Project Set Organisation = 'Russian Academy of Science' where Project_ID = 'P0577'; </v>
      </c>
      <c r="Q581" t="str">
        <f>"Update Project Set Library_name = '"&amp;L581&amp;"' , COADD_ID = '"&amp;M581&amp;"' where Project_ID = '"&amp;A581&amp;"'; "</f>
        <v xml:space="preserve">Update Project Set Library_name = 'Russian Academy of Science (Russia)' , COADD_ID = 'CO-ADD:PC0577' where Project_ID = 'P0577'; </v>
      </c>
    </row>
    <row r="582" spans="1:17">
      <c r="A582" t="s">
        <v>7182</v>
      </c>
      <c r="B582" t="s">
        <v>7181</v>
      </c>
      <c r="C582" t="s">
        <v>5633</v>
      </c>
      <c r="D582" t="s">
        <v>4643</v>
      </c>
      <c r="E582" t="s">
        <v>4642</v>
      </c>
      <c r="G582" t="s">
        <v>9068</v>
      </c>
      <c r="H582" t="s">
        <v>4646</v>
      </c>
      <c r="I582" t="s">
        <v>1600</v>
      </c>
      <c r="K582" t="s">
        <v>5828</v>
      </c>
      <c r="L582" t="s">
        <v>5995</v>
      </c>
      <c r="M582" t="s">
        <v>7180</v>
      </c>
      <c r="N582" s="2">
        <v>45657</v>
      </c>
      <c r="P582" t="str">
        <f>"Update Project Set Organisation = '"&amp;H582&amp;"' where Project_ID = '"&amp;A582&amp;"'; "</f>
        <v xml:space="preserve">Update Project Set Organisation = 'Russian Academy of Science' where Project_ID = 'P0578'; </v>
      </c>
      <c r="Q582" t="str">
        <f>"Update Project Set Library_name = '"&amp;L582&amp;"' , COADD_ID = '"&amp;M582&amp;"' where Project_ID = '"&amp;A582&amp;"'; "</f>
        <v xml:space="preserve">Update Project Set Library_name = 'Russian Academy of Science (Russia)' , COADD_ID = 'CO-ADD:PC0578' where Project_ID = 'P0578'; </v>
      </c>
    </row>
    <row r="583" spans="1:17">
      <c r="A583" t="s">
        <v>7185</v>
      </c>
      <c r="B583" t="s">
        <v>7184</v>
      </c>
      <c r="C583" t="s">
        <v>5633</v>
      </c>
      <c r="D583" t="s">
        <v>4643</v>
      </c>
      <c r="E583" t="s">
        <v>4642</v>
      </c>
      <c r="G583" t="s">
        <v>9068</v>
      </c>
      <c r="H583" t="s">
        <v>4646</v>
      </c>
      <c r="I583" t="s">
        <v>1600</v>
      </c>
      <c r="K583" t="s">
        <v>5828</v>
      </c>
      <c r="L583" t="s">
        <v>5995</v>
      </c>
      <c r="M583" t="s">
        <v>7183</v>
      </c>
      <c r="N583" s="2">
        <v>45657</v>
      </c>
      <c r="P583" t="str">
        <f>"Update Project Set Organisation = '"&amp;H583&amp;"' where Project_ID = '"&amp;A583&amp;"'; "</f>
        <v xml:space="preserve">Update Project Set Organisation = 'Russian Academy of Science' where Project_ID = 'P0579'; </v>
      </c>
      <c r="Q583" t="str">
        <f>"Update Project Set Library_name = '"&amp;L583&amp;"' , COADD_ID = '"&amp;M583&amp;"' where Project_ID = '"&amp;A583&amp;"'; "</f>
        <v xml:space="preserve">Update Project Set Library_name = 'Russian Academy of Science (Russia)' , COADD_ID = 'CO-ADD:PC0579' where Project_ID = 'P0579'; </v>
      </c>
    </row>
    <row r="584" spans="1:17">
      <c r="A584" t="s">
        <v>7188</v>
      </c>
      <c r="B584" t="s">
        <v>7187</v>
      </c>
      <c r="C584" t="s">
        <v>5633</v>
      </c>
      <c r="D584" t="s">
        <v>4643</v>
      </c>
      <c r="E584" t="s">
        <v>4642</v>
      </c>
      <c r="G584" t="s">
        <v>9068</v>
      </c>
      <c r="H584" t="s">
        <v>4646</v>
      </c>
      <c r="I584" t="s">
        <v>1600</v>
      </c>
      <c r="K584" t="s">
        <v>5828</v>
      </c>
      <c r="L584" t="s">
        <v>5995</v>
      </c>
      <c r="M584" t="s">
        <v>7186</v>
      </c>
      <c r="N584" s="2">
        <v>45657</v>
      </c>
      <c r="P584" t="str">
        <f>"Update Project Set Organisation = '"&amp;H584&amp;"' where Project_ID = '"&amp;A584&amp;"'; "</f>
        <v xml:space="preserve">Update Project Set Organisation = 'Russian Academy of Science' where Project_ID = 'P0580'; </v>
      </c>
      <c r="Q584" t="str">
        <f>"Update Project Set Library_name = '"&amp;L584&amp;"' , COADD_ID = '"&amp;M584&amp;"' where Project_ID = '"&amp;A584&amp;"'; "</f>
        <v xml:space="preserve">Update Project Set Library_name = 'Russian Academy of Science (Russia)' , COADD_ID = 'CO-ADD:PC0580' where Project_ID = 'P0580'; </v>
      </c>
    </row>
    <row r="585" spans="1:17">
      <c r="A585" t="s">
        <v>7191</v>
      </c>
      <c r="B585" t="s">
        <v>7190</v>
      </c>
      <c r="C585" t="s">
        <v>5633</v>
      </c>
      <c r="D585" t="s">
        <v>4643</v>
      </c>
      <c r="E585" t="s">
        <v>4642</v>
      </c>
      <c r="G585" t="s">
        <v>9068</v>
      </c>
      <c r="H585" t="s">
        <v>4646</v>
      </c>
      <c r="I585" t="s">
        <v>1600</v>
      </c>
      <c r="K585" t="s">
        <v>5828</v>
      </c>
      <c r="L585" t="s">
        <v>5995</v>
      </c>
      <c r="M585" t="s">
        <v>7189</v>
      </c>
      <c r="N585" s="2">
        <v>45657</v>
      </c>
      <c r="P585" t="str">
        <f>"Update Project Set Organisation = '"&amp;H585&amp;"' where Project_ID = '"&amp;A585&amp;"'; "</f>
        <v xml:space="preserve">Update Project Set Organisation = 'Russian Academy of Science' where Project_ID = 'P0581'; </v>
      </c>
      <c r="Q585" t="str">
        <f>"Update Project Set Library_name = '"&amp;L585&amp;"' , COADD_ID = '"&amp;M585&amp;"' where Project_ID = '"&amp;A585&amp;"'; "</f>
        <v xml:space="preserve">Update Project Set Library_name = 'Russian Academy of Science (Russia)' , COADD_ID = 'CO-ADD:PC0581' where Project_ID = 'P0581'; </v>
      </c>
    </row>
    <row r="586" spans="1:17">
      <c r="A586" t="s">
        <v>7193</v>
      </c>
      <c r="C586" t="s">
        <v>5633</v>
      </c>
      <c r="D586" t="s">
        <v>1020</v>
      </c>
      <c r="E586" t="s">
        <v>1312</v>
      </c>
      <c r="G586" t="s">
        <v>9131</v>
      </c>
      <c r="H586" t="s">
        <v>596</v>
      </c>
      <c r="I586" t="s">
        <v>223</v>
      </c>
      <c r="K586" t="s">
        <v>5828</v>
      </c>
      <c r="L586" t="s">
        <v>8167</v>
      </c>
      <c r="M586" t="s">
        <v>7192</v>
      </c>
      <c r="N586" s="2">
        <v>45657</v>
      </c>
      <c r="P586" t="str">
        <f>"Update Project Set Organisation = '"&amp;H586&amp;"' where Project_ID = '"&amp;A586&amp;"'; "</f>
        <v xml:space="preserve">Update Project Set Organisation = 'University of Auckland' where Project_ID = 'P0582'; </v>
      </c>
      <c r="Q586" t="str">
        <f>"Update Project Set Library_name = '"&amp;L586&amp;"' , COADD_ID = '"&amp;M586&amp;"' where Project_ID = '"&amp;A586&amp;"'; "</f>
        <v xml:space="preserve">Update Project Set Library_name = 'University of Auckland (New Zealand)' , COADD_ID = 'CO-ADD:PC0582' where Project_ID = 'P0582'; </v>
      </c>
    </row>
    <row r="587" spans="1:17">
      <c r="A587" t="s">
        <v>7195</v>
      </c>
      <c r="C587" t="s">
        <v>5633</v>
      </c>
      <c r="D587" t="s">
        <v>925</v>
      </c>
      <c r="E587" t="s">
        <v>5171</v>
      </c>
      <c r="F587" t="s">
        <v>924</v>
      </c>
      <c r="G587" t="s">
        <v>9063</v>
      </c>
      <c r="H587" t="s">
        <v>929</v>
      </c>
      <c r="I587" t="s">
        <v>14</v>
      </c>
      <c r="K587" t="s">
        <v>5828</v>
      </c>
      <c r="L587" t="s">
        <v>8265</v>
      </c>
      <c r="M587" t="s">
        <v>7194</v>
      </c>
      <c r="N587" s="2">
        <v>45657</v>
      </c>
      <c r="P587" t="str">
        <f>"Update Project Set Organisation = '"&amp;H587&amp;"' where Project_ID = '"&amp;A587&amp;"'; "</f>
        <v xml:space="preserve">Update Project Set Organisation = 'RMIT University' where Project_ID = 'P0583'; </v>
      </c>
      <c r="Q587" t="str">
        <f>"Update Project Set Library_name = '"&amp;L587&amp;"' , COADD_ID = '"&amp;M587&amp;"' where Project_ID = '"&amp;A587&amp;"'; "</f>
        <v xml:space="preserve">Update Project Set Library_name = 'RMIT University (Australia)' , COADD_ID = 'CO-ADD:PC0583' where Project_ID = 'P0583'; </v>
      </c>
    </row>
    <row r="588" spans="1:17">
      <c r="A588" t="s">
        <v>7198</v>
      </c>
      <c r="B588" t="s">
        <v>7197</v>
      </c>
      <c r="C588" t="s">
        <v>5633</v>
      </c>
      <c r="D588" t="s">
        <v>1003</v>
      </c>
      <c r="E588" t="s">
        <v>1002</v>
      </c>
      <c r="G588" t="s">
        <v>9228</v>
      </c>
      <c r="H588" t="s">
        <v>1007</v>
      </c>
      <c r="I588" t="s">
        <v>609</v>
      </c>
      <c r="K588" t="s">
        <v>5843</v>
      </c>
      <c r="M588" t="s">
        <v>7196</v>
      </c>
      <c r="P588" t="str">
        <f>"Update Project Set Organisation = '"&amp;H588&amp;"' where Project_ID = '"&amp;A588&amp;"'; "</f>
        <v xml:space="preserve">Update Project Set Organisation = 'University of the Western Cape' where Project_ID = 'P0584'; </v>
      </c>
      <c r="Q588" t="str">
        <f>"Update Project Set Library_name = '"&amp;L588&amp;"' , COADD_ID = '"&amp;M588&amp;"' where Project_ID = '"&amp;A588&amp;"'; "</f>
        <v xml:space="preserve">Update Project Set Library_name = '' , COADD_ID = 'CO-ADD:PC0584' where Project_ID = 'P0584'; </v>
      </c>
    </row>
    <row r="589" spans="1:17">
      <c r="A589" t="s">
        <v>7201</v>
      </c>
      <c r="B589" t="s">
        <v>7200</v>
      </c>
      <c r="C589" t="s">
        <v>5633</v>
      </c>
      <c r="D589" t="s">
        <v>3128</v>
      </c>
      <c r="E589" t="s">
        <v>4739</v>
      </c>
      <c r="G589" t="s">
        <v>8949</v>
      </c>
      <c r="H589" t="s">
        <v>1327</v>
      </c>
      <c r="I589" t="s">
        <v>14</v>
      </c>
      <c r="K589" t="s">
        <v>5843</v>
      </c>
      <c r="M589" t="s">
        <v>7199</v>
      </c>
      <c r="P589" t="str">
        <f>"Update Project Set Organisation = '"&amp;H589&amp;"' where Project_ID = '"&amp;A589&amp;"'; "</f>
        <v xml:space="preserve">Update Project Set Organisation = 'Griffith University' where Project_ID = 'P0585'; </v>
      </c>
      <c r="Q589" t="str">
        <f>"Update Project Set Library_name = '"&amp;L589&amp;"' , COADD_ID = '"&amp;M589&amp;"' where Project_ID = '"&amp;A589&amp;"'; "</f>
        <v xml:space="preserve">Update Project Set Library_name = '' , COADD_ID = 'CO-ADD:PC0585' where Project_ID = 'P0585'; </v>
      </c>
    </row>
    <row r="590" spans="1:17">
      <c r="A590" t="s">
        <v>7203</v>
      </c>
      <c r="C590" t="s">
        <v>5633</v>
      </c>
      <c r="D590" t="s">
        <v>2954</v>
      </c>
      <c r="E590" t="s">
        <v>2953</v>
      </c>
      <c r="G590" t="s">
        <v>9073</v>
      </c>
      <c r="H590" t="s">
        <v>2957</v>
      </c>
      <c r="I590" t="s">
        <v>211</v>
      </c>
      <c r="K590" t="s">
        <v>5828</v>
      </c>
      <c r="L590" t="s">
        <v>8266</v>
      </c>
      <c r="M590" t="s">
        <v>7202</v>
      </c>
      <c r="N590" s="2">
        <v>45657</v>
      </c>
      <c r="P590" t="str">
        <f>"Update Project Set Organisation = '"&amp;H590&amp;"' where Project_ID = '"&amp;A590&amp;"'; "</f>
        <v xml:space="preserve">Update Project Set Organisation = 'Saurashtra University' where Project_ID = 'P0586'; </v>
      </c>
      <c r="Q590" t="str">
        <f>"Update Project Set Library_name = '"&amp;L590&amp;"' , COADD_ID = '"&amp;M590&amp;"' where Project_ID = '"&amp;A590&amp;"'; "</f>
        <v xml:space="preserve">Update Project Set Library_name = 'Saurashtra University (India)' , COADD_ID = 'CO-ADD:PC0586' where Project_ID = 'P0586'; </v>
      </c>
    </row>
    <row r="591" spans="1:17">
      <c r="A591" t="s">
        <v>7205</v>
      </c>
      <c r="C591" t="s">
        <v>5633</v>
      </c>
      <c r="D591" t="s">
        <v>3981</v>
      </c>
      <c r="E591" t="s">
        <v>4496</v>
      </c>
      <c r="G591" t="s">
        <v>8970</v>
      </c>
      <c r="H591" t="s">
        <v>2041</v>
      </c>
      <c r="I591" t="s">
        <v>1600</v>
      </c>
      <c r="K591" t="s">
        <v>5828</v>
      </c>
      <c r="L591" t="s">
        <v>8223</v>
      </c>
      <c r="M591" t="s">
        <v>7204</v>
      </c>
      <c r="N591" s="2">
        <v>45657</v>
      </c>
      <c r="P591" t="str">
        <f>"Update Project Set Organisation = '"&amp;H591&amp;"' where Project_ID = '"&amp;A591&amp;"'; "</f>
        <v xml:space="preserve">Update Project Set Organisation = 'Institute of Petrochemistry and Catalysis' where Project_ID = 'P0587'; </v>
      </c>
      <c r="Q591" t="str">
        <f>"Update Project Set Library_name = '"&amp;L591&amp;"' , COADD_ID = '"&amp;M591&amp;"' where Project_ID = '"&amp;A591&amp;"'; "</f>
        <v xml:space="preserve">Update Project Set Library_name = 'Institute of Petrochemistry and Catalysis (Russia)' , COADD_ID = 'CO-ADD:PC0587' where Project_ID = 'P0587'; </v>
      </c>
    </row>
    <row r="592" spans="1:17">
      <c r="A592" t="s">
        <v>7208</v>
      </c>
      <c r="B592" t="s">
        <v>7207</v>
      </c>
      <c r="C592" t="s">
        <v>5633</v>
      </c>
      <c r="D592" t="s">
        <v>4643</v>
      </c>
      <c r="E592" t="s">
        <v>4642</v>
      </c>
      <c r="G592" t="s">
        <v>9068</v>
      </c>
      <c r="H592" t="s">
        <v>4646</v>
      </c>
      <c r="I592" t="s">
        <v>1600</v>
      </c>
      <c r="K592" t="s">
        <v>5828</v>
      </c>
      <c r="L592" t="s">
        <v>5995</v>
      </c>
      <c r="M592" t="s">
        <v>7206</v>
      </c>
      <c r="N592" s="2">
        <v>45657</v>
      </c>
      <c r="P592" t="str">
        <f>"Update Project Set Organisation = '"&amp;H592&amp;"' where Project_ID = '"&amp;A592&amp;"'; "</f>
        <v xml:space="preserve">Update Project Set Organisation = 'Russian Academy of Science' where Project_ID = 'P0588'; </v>
      </c>
      <c r="Q592" t="str">
        <f>"Update Project Set Library_name = '"&amp;L592&amp;"' , COADD_ID = '"&amp;M592&amp;"' where Project_ID = '"&amp;A592&amp;"'; "</f>
        <v xml:space="preserve">Update Project Set Library_name = 'Russian Academy of Science (Russia)' , COADD_ID = 'CO-ADD:PC0588' where Project_ID = 'P0588'; </v>
      </c>
    </row>
    <row r="593" spans="1:17">
      <c r="A593" t="s">
        <v>7210</v>
      </c>
      <c r="C593" t="s">
        <v>5633</v>
      </c>
      <c r="D593" t="s">
        <v>2080</v>
      </c>
      <c r="E593" t="s">
        <v>4512</v>
      </c>
      <c r="F593" t="s">
        <v>3878</v>
      </c>
      <c r="G593" t="s">
        <v>8963</v>
      </c>
      <c r="H593" t="s">
        <v>3881</v>
      </c>
      <c r="I593" t="s">
        <v>117</v>
      </c>
      <c r="K593" t="s">
        <v>5828</v>
      </c>
      <c r="L593" t="s">
        <v>8208</v>
      </c>
      <c r="M593" t="s">
        <v>7209</v>
      </c>
      <c r="N593" s="2">
        <v>45657</v>
      </c>
      <c r="P593" t="str">
        <f>"Update Project Set Organisation = '"&amp;H593&amp;"' where Project_ID = '"&amp;A593&amp;"'; "</f>
        <v xml:space="preserve">Update Project Set Organisation = 'Indiana University-Purdue University Indianapolis' where Project_ID = 'P0589'; </v>
      </c>
      <c r="Q593" t="str">
        <f>"Update Project Set Library_name = '"&amp;L593&amp;"' , COADD_ID = '"&amp;M593&amp;"' where Project_ID = '"&amp;A593&amp;"'; "</f>
        <v xml:space="preserve">Update Project Set Library_name = 'Indiana University-Purdue University Indianapolis (United States)' , COADD_ID = 'CO-ADD:PC0589' where Project_ID = 'P0589'; </v>
      </c>
    </row>
    <row r="594" spans="1:17">
      <c r="A594" t="s">
        <v>7213</v>
      </c>
      <c r="B594" t="s">
        <v>7212</v>
      </c>
      <c r="C594" t="s">
        <v>5633</v>
      </c>
      <c r="D594" t="s">
        <v>4643</v>
      </c>
      <c r="E594" t="s">
        <v>4642</v>
      </c>
      <c r="G594" t="s">
        <v>9068</v>
      </c>
      <c r="H594" t="s">
        <v>4646</v>
      </c>
      <c r="I594" t="s">
        <v>1600</v>
      </c>
      <c r="K594" t="s">
        <v>5828</v>
      </c>
      <c r="L594" t="s">
        <v>5995</v>
      </c>
      <c r="M594" t="s">
        <v>7211</v>
      </c>
      <c r="N594" s="2">
        <v>45657</v>
      </c>
      <c r="P594" t="str">
        <f>"Update Project Set Organisation = '"&amp;H594&amp;"' where Project_ID = '"&amp;A594&amp;"'; "</f>
        <v xml:space="preserve">Update Project Set Organisation = 'Russian Academy of Science' where Project_ID = 'P0590'; </v>
      </c>
      <c r="Q594" t="str">
        <f>"Update Project Set Library_name = '"&amp;L594&amp;"' , COADD_ID = '"&amp;M594&amp;"' where Project_ID = '"&amp;A594&amp;"'; "</f>
        <v xml:space="preserve">Update Project Set Library_name = 'Russian Academy of Science (Russia)' , COADD_ID = 'CO-ADD:PC0590' where Project_ID = 'P0590'; </v>
      </c>
    </row>
    <row r="595" spans="1:17">
      <c r="A595" t="s">
        <v>7215</v>
      </c>
      <c r="C595" t="s">
        <v>5633</v>
      </c>
      <c r="D595" t="s">
        <v>5159</v>
      </c>
      <c r="E595" t="s">
        <v>5352</v>
      </c>
      <c r="F595" t="s">
        <v>5158</v>
      </c>
      <c r="G595" t="s">
        <v>9233</v>
      </c>
      <c r="H595" t="s">
        <v>5162</v>
      </c>
      <c r="I595" t="s">
        <v>75</v>
      </c>
      <c r="K595" t="s">
        <v>5828</v>
      </c>
      <c r="L595" t="s">
        <v>8267</v>
      </c>
      <c r="M595" t="s">
        <v>7214</v>
      </c>
      <c r="N595" s="2">
        <v>45657</v>
      </c>
      <c r="P595" t="str">
        <f>"Update Project Set Organisation = '"&amp;H595&amp;"' where Project_ID = '"&amp;A595&amp;"'; "</f>
        <v xml:space="preserve">Update Project Set Organisation = 'University of Victoria' where Project_ID = 'P0592'; </v>
      </c>
      <c r="Q595" t="str">
        <f>"Update Project Set Library_name = '"&amp;L595&amp;"' , COADD_ID = '"&amp;M595&amp;"' where Project_ID = '"&amp;A595&amp;"'; "</f>
        <v xml:space="preserve">Update Project Set Library_name = 'University of Victoria (Canada)' , COADD_ID = 'CO-ADD:PC0592' where Project_ID = 'P0592'; </v>
      </c>
    </row>
    <row r="596" spans="1:17">
      <c r="A596" t="s">
        <v>7217</v>
      </c>
      <c r="C596" t="s">
        <v>5633</v>
      </c>
      <c r="D596" t="s">
        <v>3018</v>
      </c>
      <c r="E596" t="s">
        <v>3017</v>
      </c>
      <c r="G596" t="s">
        <v>9171</v>
      </c>
      <c r="H596" t="s">
        <v>3022</v>
      </c>
      <c r="I596" t="s">
        <v>211</v>
      </c>
      <c r="K596" t="s">
        <v>5837</v>
      </c>
      <c r="M596" t="s">
        <v>7216</v>
      </c>
      <c r="P596" t="str">
        <f>"Update Project Set Organisation = '"&amp;H596&amp;"' where Project_ID = '"&amp;A596&amp;"'; "</f>
        <v xml:space="preserve">Update Project Set Organisation = 'University of Mysore' where Project_ID = 'P0593'; </v>
      </c>
      <c r="Q596" t="str">
        <f>"Update Project Set Library_name = '"&amp;L596&amp;"' , COADD_ID = '"&amp;M596&amp;"' where Project_ID = '"&amp;A596&amp;"'; "</f>
        <v xml:space="preserve">Update Project Set Library_name = '' , COADD_ID = 'CO-ADD:PC0593' where Project_ID = 'P0593'; </v>
      </c>
    </row>
    <row r="597" spans="1:17">
      <c r="A597" t="s">
        <v>7219</v>
      </c>
      <c r="C597" t="s">
        <v>5633</v>
      </c>
      <c r="D597" t="s">
        <v>4557</v>
      </c>
      <c r="E597" t="s">
        <v>4556</v>
      </c>
      <c r="G597" t="s">
        <v>9082</v>
      </c>
      <c r="H597" t="s">
        <v>4560</v>
      </c>
      <c r="I597" t="s">
        <v>117</v>
      </c>
      <c r="K597" t="s">
        <v>5828</v>
      </c>
      <c r="L597" t="s">
        <v>8268</v>
      </c>
      <c r="M597" t="s">
        <v>7218</v>
      </c>
      <c r="N597" s="2">
        <v>45657</v>
      </c>
      <c r="P597" t="str">
        <f>"Update Project Set Organisation = '"&amp;H597&amp;"' where Project_ID = '"&amp;A597&amp;"'; "</f>
        <v xml:space="preserve">Update Project Set Organisation = 'Stanford University' where Project_ID = 'P0594'; </v>
      </c>
      <c r="Q597" t="str">
        <f>"Update Project Set Library_name = '"&amp;L597&amp;"' , COADD_ID = '"&amp;M597&amp;"' where Project_ID = '"&amp;A597&amp;"'; "</f>
        <v xml:space="preserve">Update Project Set Library_name = 'Stanford University (United States)' , COADD_ID = 'CO-ADD:PC0594' where Project_ID = 'P0594'; </v>
      </c>
    </row>
    <row r="598" spans="1:17">
      <c r="A598" t="s">
        <v>7222</v>
      </c>
      <c r="B598" t="s">
        <v>7221</v>
      </c>
      <c r="C598" t="s">
        <v>5633</v>
      </c>
      <c r="D598" t="s">
        <v>4643</v>
      </c>
      <c r="E598" t="s">
        <v>4642</v>
      </c>
      <c r="G598" t="s">
        <v>9068</v>
      </c>
      <c r="H598" t="s">
        <v>4646</v>
      </c>
      <c r="I598" t="s">
        <v>1600</v>
      </c>
      <c r="K598" t="s">
        <v>5828</v>
      </c>
      <c r="L598" t="s">
        <v>5995</v>
      </c>
      <c r="M598" t="s">
        <v>7220</v>
      </c>
      <c r="N598" s="2">
        <v>45657</v>
      </c>
      <c r="P598" t="str">
        <f>"Update Project Set Organisation = '"&amp;H598&amp;"' where Project_ID = '"&amp;A598&amp;"'; "</f>
        <v xml:space="preserve">Update Project Set Organisation = 'Russian Academy of Science' where Project_ID = 'P0595'; </v>
      </c>
      <c r="Q598" t="str">
        <f>"Update Project Set Library_name = '"&amp;L598&amp;"' , COADD_ID = '"&amp;M598&amp;"' where Project_ID = '"&amp;A598&amp;"'; "</f>
        <v xml:space="preserve">Update Project Set Library_name = 'Russian Academy of Science (Russia)' , COADD_ID = 'CO-ADD:PC0595' where Project_ID = 'P0595'; </v>
      </c>
    </row>
    <row r="599" spans="1:17">
      <c r="A599" t="s">
        <v>7225</v>
      </c>
      <c r="B599" t="s">
        <v>7224</v>
      </c>
      <c r="C599" t="s">
        <v>5633</v>
      </c>
      <c r="D599" t="s">
        <v>4643</v>
      </c>
      <c r="E599" t="s">
        <v>4642</v>
      </c>
      <c r="G599" t="s">
        <v>9068</v>
      </c>
      <c r="H599" t="s">
        <v>4646</v>
      </c>
      <c r="I599" t="s">
        <v>1600</v>
      </c>
      <c r="K599" t="s">
        <v>5828</v>
      </c>
      <c r="L599" t="s">
        <v>5995</v>
      </c>
      <c r="M599" t="s">
        <v>7223</v>
      </c>
      <c r="N599" s="2">
        <v>45657</v>
      </c>
      <c r="P599" t="str">
        <f>"Update Project Set Organisation = '"&amp;H599&amp;"' where Project_ID = '"&amp;A599&amp;"'; "</f>
        <v xml:space="preserve">Update Project Set Organisation = 'Russian Academy of Science' where Project_ID = 'P0596'; </v>
      </c>
      <c r="Q599" t="str">
        <f>"Update Project Set Library_name = '"&amp;L599&amp;"' , COADD_ID = '"&amp;M599&amp;"' where Project_ID = '"&amp;A599&amp;"'; "</f>
        <v xml:space="preserve">Update Project Set Library_name = 'Russian Academy of Science (Russia)' , COADD_ID = 'CO-ADD:PC0596' where Project_ID = 'P0596'; </v>
      </c>
    </row>
    <row r="600" spans="1:17">
      <c r="A600" t="s">
        <v>7227</v>
      </c>
      <c r="C600" t="s">
        <v>5633</v>
      </c>
      <c r="D600" t="s">
        <v>4353</v>
      </c>
      <c r="E600" t="s">
        <v>4352</v>
      </c>
      <c r="G600" t="s">
        <v>9273</v>
      </c>
      <c r="H600" t="s">
        <v>4357</v>
      </c>
      <c r="I600" t="s">
        <v>253</v>
      </c>
      <c r="K600" t="s">
        <v>5806</v>
      </c>
      <c r="M600" t="s">
        <v>7226</v>
      </c>
      <c r="P600" t="str">
        <f>"Update Project Set Organisation = '"&amp;H600&amp;"' where Project_ID = '"&amp;A600&amp;"'; "</f>
        <v xml:space="preserve">Update Project Set Organisation = 'Zurich University of Applied Sciences (ZHAW)' where Project_ID = 'P0597'; </v>
      </c>
      <c r="Q600" t="str">
        <f>"Update Project Set Library_name = '"&amp;L600&amp;"' , COADD_ID = '"&amp;M600&amp;"' where Project_ID = '"&amp;A600&amp;"'; "</f>
        <v xml:space="preserve">Update Project Set Library_name = '' , COADD_ID = 'CO-ADD:PC0597' where Project_ID = 'P0597'; </v>
      </c>
    </row>
    <row r="601" spans="1:17">
      <c r="A601" t="s">
        <v>7229</v>
      </c>
      <c r="C601" t="s">
        <v>5633</v>
      </c>
      <c r="D601" t="s">
        <v>289</v>
      </c>
      <c r="E601" t="s">
        <v>4684</v>
      </c>
      <c r="G601" t="s">
        <v>8979</v>
      </c>
      <c r="H601" t="s">
        <v>283</v>
      </c>
      <c r="I601" t="s">
        <v>211</v>
      </c>
      <c r="K601" t="s">
        <v>5828</v>
      </c>
      <c r="L601" t="s">
        <v>8269</v>
      </c>
      <c r="M601" t="s">
        <v>7228</v>
      </c>
      <c r="N601" s="2">
        <v>45657</v>
      </c>
      <c r="P601" t="str">
        <f>"Update Project Set Organisation = '"&amp;H601&amp;"' where Project_ID = '"&amp;A601&amp;"'; "</f>
        <v xml:space="preserve">Update Project Set Organisation = 'Jamia Hamdard' where Project_ID = 'P0598'; </v>
      </c>
      <c r="Q601" t="str">
        <f>"Update Project Set Library_name = '"&amp;L601&amp;"' , COADD_ID = '"&amp;M601&amp;"' where Project_ID = '"&amp;A601&amp;"'; "</f>
        <v xml:space="preserve">Update Project Set Library_name = 'Jamia Hamdard (India)' , COADD_ID = 'CO-ADD:PC0598' where Project_ID = 'P0598'; </v>
      </c>
    </row>
    <row r="602" spans="1:17">
      <c r="A602" t="s">
        <v>7231</v>
      </c>
      <c r="C602" t="s">
        <v>5633</v>
      </c>
      <c r="D602" t="s">
        <v>594</v>
      </c>
      <c r="E602" t="s">
        <v>593</v>
      </c>
      <c r="G602" t="s">
        <v>9132</v>
      </c>
      <c r="H602" t="s">
        <v>596</v>
      </c>
      <c r="I602" t="s">
        <v>223</v>
      </c>
      <c r="K602" t="s">
        <v>5828</v>
      </c>
      <c r="L602" t="s">
        <v>8167</v>
      </c>
      <c r="M602" t="s">
        <v>7230</v>
      </c>
      <c r="N602" s="2">
        <v>45657</v>
      </c>
      <c r="P602" t="str">
        <f>"Update Project Set Organisation = '"&amp;H602&amp;"' where Project_ID = '"&amp;A602&amp;"'; "</f>
        <v xml:space="preserve">Update Project Set Organisation = 'University of Auckland' where Project_ID = 'P0599'; </v>
      </c>
      <c r="Q602" t="str">
        <f>"Update Project Set Library_name = '"&amp;L602&amp;"' , COADD_ID = '"&amp;M602&amp;"' where Project_ID = '"&amp;A602&amp;"'; "</f>
        <v xml:space="preserve">Update Project Set Library_name = 'University of Auckland (New Zealand)' , COADD_ID = 'CO-ADD:PC0599' where Project_ID = 'P0599'; </v>
      </c>
    </row>
    <row r="603" spans="1:17">
      <c r="A603" t="s">
        <v>7234</v>
      </c>
      <c r="B603" t="s">
        <v>7233</v>
      </c>
      <c r="C603" t="s">
        <v>5633</v>
      </c>
      <c r="D603" t="s">
        <v>4643</v>
      </c>
      <c r="E603" t="s">
        <v>4642</v>
      </c>
      <c r="G603" t="s">
        <v>9068</v>
      </c>
      <c r="H603" t="s">
        <v>4646</v>
      </c>
      <c r="I603" t="s">
        <v>1600</v>
      </c>
      <c r="K603" t="s">
        <v>5828</v>
      </c>
      <c r="L603" t="s">
        <v>5995</v>
      </c>
      <c r="M603" t="s">
        <v>7232</v>
      </c>
      <c r="N603" s="2">
        <v>45657</v>
      </c>
      <c r="P603" t="str">
        <f>"Update Project Set Organisation = '"&amp;H603&amp;"' where Project_ID = '"&amp;A603&amp;"'; "</f>
        <v xml:space="preserve">Update Project Set Organisation = 'Russian Academy of Science' where Project_ID = 'P0600'; </v>
      </c>
      <c r="Q603" t="str">
        <f>"Update Project Set Library_name = '"&amp;L603&amp;"' , COADD_ID = '"&amp;M603&amp;"' where Project_ID = '"&amp;A603&amp;"'; "</f>
        <v xml:space="preserve">Update Project Set Library_name = 'Russian Academy of Science (Russia)' , COADD_ID = 'CO-ADD:PC0600' where Project_ID = 'P0600'; </v>
      </c>
    </row>
    <row r="604" spans="1:17">
      <c r="A604" t="s">
        <v>7236</v>
      </c>
      <c r="C604" t="s">
        <v>5633</v>
      </c>
      <c r="D604" t="s">
        <v>4423</v>
      </c>
      <c r="E604" t="s">
        <v>4436</v>
      </c>
      <c r="G604" t="s">
        <v>8950</v>
      </c>
      <c r="H604" t="s">
        <v>1327</v>
      </c>
      <c r="I604" t="s">
        <v>14</v>
      </c>
      <c r="K604" t="s">
        <v>5828</v>
      </c>
      <c r="L604" t="s">
        <v>8162</v>
      </c>
      <c r="M604" t="s">
        <v>7235</v>
      </c>
      <c r="N604" s="2">
        <v>45657</v>
      </c>
      <c r="P604" t="str">
        <f>"Update Project Set Organisation = '"&amp;H604&amp;"' where Project_ID = '"&amp;A604&amp;"'; "</f>
        <v xml:space="preserve">Update Project Set Organisation = 'Griffith University' where Project_ID = 'P0601'; </v>
      </c>
      <c r="Q604" t="str">
        <f>"Update Project Set Library_name = '"&amp;L604&amp;"' , COADD_ID = '"&amp;M604&amp;"' where Project_ID = '"&amp;A604&amp;"'; "</f>
        <v xml:space="preserve">Update Project Set Library_name = 'Griffith University (Australia)' , COADD_ID = 'CO-ADD:PC0601' where Project_ID = 'P0601'; </v>
      </c>
    </row>
    <row r="605" spans="1:17">
      <c r="A605" t="s">
        <v>7238</v>
      </c>
      <c r="C605" t="s">
        <v>5633</v>
      </c>
      <c r="D605" t="s">
        <v>59</v>
      </c>
      <c r="E605" t="s">
        <v>483</v>
      </c>
      <c r="G605" t="s">
        <v>9018</v>
      </c>
      <c r="H605" t="s">
        <v>5798</v>
      </c>
      <c r="I605" t="s">
        <v>55</v>
      </c>
      <c r="K605" t="s">
        <v>5828</v>
      </c>
      <c r="L605" t="s">
        <v>8242</v>
      </c>
      <c r="M605" t="s">
        <v>7237</v>
      </c>
      <c r="N605" s="2">
        <v>45657</v>
      </c>
      <c r="P605" t="str">
        <f>"Update Project Set Organisation = '"&amp;H605&amp;"' where Project_ID = '"&amp;A605&amp;"'; "</f>
        <v xml:space="preserve">Update Project Set Organisation = 'Modern University for Technology and Information' where Project_ID = 'P0602'; </v>
      </c>
      <c r="Q605" t="str">
        <f>"Update Project Set Library_name = '"&amp;L605&amp;"' , COADD_ID = '"&amp;M605&amp;"' where Project_ID = '"&amp;A605&amp;"'; "</f>
        <v xml:space="preserve">Update Project Set Library_name = 'Modern University for Technology and Information (Egypt)' , COADD_ID = 'CO-ADD:PC0602' where Project_ID = 'P0602'; </v>
      </c>
    </row>
    <row r="606" spans="1:17">
      <c r="A606" t="s">
        <v>7240</v>
      </c>
      <c r="C606" t="s">
        <v>5633</v>
      </c>
      <c r="D606" t="s">
        <v>594</v>
      </c>
      <c r="E606" t="s">
        <v>593</v>
      </c>
      <c r="G606" t="s">
        <v>9132</v>
      </c>
      <c r="H606" t="s">
        <v>596</v>
      </c>
      <c r="I606" t="s">
        <v>223</v>
      </c>
      <c r="K606" t="s">
        <v>5828</v>
      </c>
      <c r="L606" t="s">
        <v>8167</v>
      </c>
      <c r="M606" t="s">
        <v>7239</v>
      </c>
      <c r="N606" s="2">
        <v>45657</v>
      </c>
      <c r="P606" t="str">
        <f>"Update Project Set Organisation = '"&amp;H606&amp;"' where Project_ID = '"&amp;A606&amp;"'; "</f>
        <v xml:space="preserve">Update Project Set Organisation = 'University of Auckland' where Project_ID = 'P0603'; </v>
      </c>
      <c r="Q606" t="str">
        <f>"Update Project Set Library_name = '"&amp;L606&amp;"' , COADD_ID = '"&amp;M606&amp;"' where Project_ID = '"&amp;A606&amp;"'; "</f>
        <v xml:space="preserve">Update Project Set Library_name = 'University of Auckland (New Zealand)' , COADD_ID = 'CO-ADD:PC0603' where Project_ID = 'P0603'; </v>
      </c>
    </row>
    <row r="607" spans="1:17">
      <c r="A607" t="s">
        <v>7243</v>
      </c>
      <c r="B607" t="s">
        <v>7242</v>
      </c>
      <c r="C607" t="s">
        <v>5633</v>
      </c>
      <c r="D607" t="s">
        <v>4643</v>
      </c>
      <c r="E607" t="s">
        <v>4642</v>
      </c>
      <c r="G607" t="s">
        <v>9068</v>
      </c>
      <c r="H607" t="s">
        <v>4646</v>
      </c>
      <c r="I607" t="s">
        <v>1600</v>
      </c>
      <c r="K607" t="s">
        <v>5828</v>
      </c>
      <c r="L607" t="s">
        <v>5995</v>
      </c>
      <c r="M607" t="s">
        <v>7241</v>
      </c>
      <c r="N607" s="2">
        <v>45657</v>
      </c>
      <c r="P607" t="str">
        <f>"Update Project Set Organisation = '"&amp;H607&amp;"' where Project_ID = '"&amp;A607&amp;"'; "</f>
        <v xml:space="preserve">Update Project Set Organisation = 'Russian Academy of Science' where Project_ID = 'P0604'; </v>
      </c>
      <c r="Q607" t="str">
        <f>"Update Project Set Library_name = '"&amp;L607&amp;"' , COADD_ID = '"&amp;M607&amp;"' where Project_ID = '"&amp;A607&amp;"'; "</f>
        <v xml:space="preserve">Update Project Set Library_name = 'Russian Academy of Science (Russia)' , COADD_ID = 'CO-ADD:PC0604' where Project_ID = 'P0604'; </v>
      </c>
    </row>
    <row r="608" spans="1:17">
      <c r="A608" t="s">
        <v>7245</v>
      </c>
      <c r="C608" t="s">
        <v>5633</v>
      </c>
      <c r="D608" t="s">
        <v>4023</v>
      </c>
      <c r="E608" t="s">
        <v>4022</v>
      </c>
      <c r="G608" t="s">
        <v>8975</v>
      </c>
      <c r="H608" t="s">
        <v>208</v>
      </c>
      <c r="I608" t="s">
        <v>211</v>
      </c>
      <c r="K608" t="s">
        <v>5828</v>
      </c>
      <c r="L608" t="s">
        <v>6572</v>
      </c>
      <c r="M608" t="s">
        <v>7244</v>
      </c>
      <c r="N608" s="2">
        <v>45657</v>
      </c>
      <c r="P608" t="str">
        <f>"Update Project Set Organisation = '"&amp;H608&amp;"' where Project_ID = '"&amp;A608&amp;"'; "</f>
        <v xml:space="preserve">Update Project Set Organisation = 'Jain University' where Project_ID = 'P0605'; </v>
      </c>
      <c r="Q608" t="str">
        <f>"Update Project Set Library_name = '"&amp;L608&amp;"' , COADD_ID = '"&amp;M608&amp;"' where Project_ID = '"&amp;A608&amp;"'; "</f>
        <v xml:space="preserve">Update Project Set Library_name = 'Jain University (India)' , COADD_ID = 'CO-ADD:PC0605' where Project_ID = 'P0605'; </v>
      </c>
    </row>
    <row r="609" spans="1:17">
      <c r="A609" t="s">
        <v>7247</v>
      </c>
      <c r="C609" t="s">
        <v>5633</v>
      </c>
      <c r="D609" t="s">
        <v>3436</v>
      </c>
      <c r="E609" t="s">
        <v>3435</v>
      </c>
      <c r="G609" t="s">
        <v>9266</v>
      </c>
      <c r="H609" t="s">
        <v>3439</v>
      </c>
      <c r="I609" t="s">
        <v>557</v>
      </c>
      <c r="K609" t="s">
        <v>5828</v>
      </c>
      <c r="L609" t="s">
        <v>8255</v>
      </c>
      <c r="M609" t="s">
        <v>7246</v>
      </c>
      <c r="N609" s="2">
        <v>45657</v>
      </c>
      <c r="P609" t="str">
        <f>"Update Project Set Organisation = '"&amp;H609&amp;"' where Project_ID = '"&amp;A609&amp;"'; "</f>
        <v xml:space="preserve">Update Project Set Organisation = 'Würzburg University' where Project_ID = 'P0606'; </v>
      </c>
      <c r="Q609" t="str">
        <f>"Update Project Set Library_name = '"&amp;L609&amp;"' , COADD_ID = '"&amp;M609&amp;"' where Project_ID = '"&amp;A609&amp;"'; "</f>
        <v xml:space="preserve">Update Project Set Library_name = 'Würzburg University (Germany)' , COADD_ID = 'CO-ADD:PC0606' where Project_ID = 'P0606'; </v>
      </c>
    </row>
    <row r="610" spans="1:17">
      <c r="A610" t="s">
        <v>7249</v>
      </c>
      <c r="C610" t="s">
        <v>5633</v>
      </c>
      <c r="D610" t="s">
        <v>1656</v>
      </c>
      <c r="E610" t="s">
        <v>1655</v>
      </c>
      <c r="G610" t="s">
        <v>9022</v>
      </c>
      <c r="H610" t="s">
        <v>517</v>
      </c>
      <c r="I610" t="s">
        <v>14</v>
      </c>
      <c r="K610" t="s">
        <v>5828</v>
      </c>
      <c r="L610" t="s">
        <v>8212</v>
      </c>
      <c r="M610" t="s">
        <v>7248</v>
      </c>
      <c r="N610" s="2">
        <v>45657</v>
      </c>
      <c r="P610" t="str">
        <f>"Update Project Set Organisation = '"&amp;H610&amp;"' where Project_ID = '"&amp;A610&amp;"'; "</f>
        <v xml:space="preserve">Update Project Set Organisation = 'Monash University' where Project_ID = 'P0607'; </v>
      </c>
      <c r="Q610" t="str">
        <f>"Update Project Set Library_name = '"&amp;L610&amp;"' , COADD_ID = '"&amp;M610&amp;"' where Project_ID = '"&amp;A610&amp;"'; "</f>
        <v xml:space="preserve">Update Project Set Library_name = 'Monash University (Australia)' , COADD_ID = 'CO-ADD:PC0607' where Project_ID = 'P0607'; </v>
      </c>
    </row>
    <row r="611" spans="1:17">
      <c r="A611" t="s">
        <v>7252</v>
      </c>
      <c r="B611" t="s">
        <v>7251</v>
      </c>
      <c r="C611" t="s">
        <v>5633</v>
      </c>
      <c r="D611" t="s">
        <v>4643</v>
      </c>
      <c r="E611" t="s">
        <v>4642</v>
      </c>
      <c r="G611" t="s">
        <v>9068</v>
      </c>
      <c r="H611" t="s">
        <v>4646</v>
      </c>
      <c r="I611" t="s">
        <v>1600</v>
      </c>
      <c r="K611" t="s">
        <v>5828</v>
      </c>
      <c r="L611" t="s">
        <v>5995</v>
      </c>
      <c r="M611" t="s">
        <v>7250</v>
      </c>
      <c r="N611" s="2">
        <v>45657</v>
      </c>
      <c r="P611" t="str">
        <f>"Update Project Set Organisation = '"&amp;H611&amp;"' where Project_ID = '"&amp;A611&amp;"'; "</f>
        <v xml:space="preserve">Update Project Set Organisation = 'Russian Academy of Science' where Project_ID = 'P0608'; </v>
      </c>
      <c r="Q611" t="str">
        <f>"Update Project Set Library_name = '"&amp;L611&amp;"' , COADD_ID = '"&amp;M611&amp;"' where Project_ID = '"&amp;A611&amp;"'; "</f>
        <v xml:space="preserve">Update Project Set Library_name = 'Russian Academy of Science (Russia)' , COADD_ID = 'CO-ADD:PC0608' where Project_ID = 'P0608'; </v>
      </c>
    </row>
    <row r="612" spans="1:17">
      <c r="A612" t="s">
        <v>7254</v>
      </c>
      <c r="C612" t="s">
        <v>5633</v>
      </c>
      <c r="D612" t="s">
        <v>2411</v>
      </c>
      <c r="E612" t="s">
        <v>2410</v>
      </c>
      <c r="G612" t="s">
        <v>9264</v>
      </c>
      <c r="H612" t="s">
        <v>2415</v>
      </c>
      <c r="I612" t="s">
        <v>75</v>
      </c>
      <c r="K612" t="s">
        <v>5828</v>
      </c>
      <c r="L612" t="s">
        <v>8270</v>
      </c>
      <c r="M612" t="s">
        <v>7253</v>
      </c>
      <c r="N612" s="2">
        <v>45657</v>
      </c>
      <c r="P612" t="str">
        <f>"Update Project Set Organisation = '"&amp;H612&amp;"' where Project_ID = '"&amp;A612&amp;"'; "</f>
        <v xml:space="preserve">Update Project Set Organisation = 'Western University' where Project_ID = 'P0609'; </v>
      </c>
      <c r="Q612" t="str">
        <f>"Update Project Set Library_name = '"&amp;L612&amp;"' , COADD_ID = '"&amp;M612&amp;"' where Project_ID = '"&amp;A612&amp;"'; "</f>
        <v xml:space="preserve">Update Project Set Library_name = 'Western University (Canada)' , COADD_ID = 'CO-ADD:PC0609' where Project_ID = 'P0609'; </v>
      </c>
    </row>
    <row r="613" spans="1:17">
      <c r="A613" t="s">
        <v>7256</v>
      </c>
      <c r="C613" t="s">
        <v>5633</v>
      </c>
      <c r="D613" t="s">
        <v>6</v>
      </c>
      <c r="E613" t="s">
        <v>5</v>
      </c>
      <c r="G613" t="s">
        <v>9207</v>
      </c>
      <c r="H613" t="s">
        <v>11</v>
      </c>
      <c r="I613" t="s">
        <v>14</v>
      </c>
      <c r="K613" t="s">
        <v>5828</v>
      </c>
      <c r="L613" t="s">
        <v>8271</v>
      </c>
      <c r="M613" t="s">
        <v>7255</v>
      </c>
      <c r="N613" s="2">
        <v>45657</v>
      </c>
      <c r="P613" t="str">
        <f>"Update Project Set Organisation = '"&amp;H613&amp;"' where Project_ID = '"&amp;A613&amp;"'; "</f>
        <v xml:space="preserve">Update Project Set Organisation = 'University of Queensland ' where Project_ID = 'P0610'; </v>
      </c>
      <c r="Q613" t="str">
        <f>"Update Project Set Library_name = '"&amp;L613&amp;"' , COADD_ID = '"&amp;M613&amp;"' where Project_ID = '"&amp;A613&amp;"'; "</f>
        <v xml:space="preserve">Update Project Set Library_name = 'University of Queensland  (Australia)' , COADD_ID = 'CO-ADD:PC0610' where Project_ID = 'P0610'; </v>
      </c>
    </row>
    <row r="614" spans="1:17">
      <c r="A614" t="s">
        <v>7258</v>
      </c>
      <c r="C614" t="s">
        <v>5633</v>
      </c>
      <c r="D614" t="s">
        <v>2029</v>
      </c>
      <c r="E614" t="s">
        <v>2028</v>
      </c>
      <c r="G614" t="s">
        <v>9270</v>
      </c>
      <c r="H614" t="s">
        <v>1699</v>
      </c>
      <c r="I614" t="s">
        <v>1701</v>
      </c>
      <c r="K614" t="s">
        <v>5828</v>
      </c>
      <c r="L614" t="s">
        <v>8272</v>
      </c>
      <c r="M614" t="s">
        <v>7257</v>
      </c>
      <c r="N614" s="2">
        <v>45657</v>
      </c>
      <c r="P614" t="str">
        <f>"Update Project Set Organisation = '"&amp;H614&amp;"' where Project_ID = '"&amp;A614&amp;"'; "</f>
        <v xml:space="preserve">Update Project Set Organisation = 'Yerevan State University' where Project_ID = 'P0611'; </v>
      </c>
      <c r="Q614" t="str">
        <f>"Update Project Set Library_name = '"&amp;L614&amp;"' , COADD_ID = '"&amp;M614&amp;"' where Project_ID = '"&amp;A614&amp;"'; "</f>
        <v xml:space="preserve">Update Project Set Library_name = 'Yerevan State University (Armenia)' , COADD_ID = 'CO-ADD:PC0611' where Project_ID = 'P0611'; </v>
      </c>
    </row>
    <row r="615" spans="1:17">
      <c r="A615" t="s">
        <v>7260</v>
      </c>
      <c r="C615" t="s">
        <v>5633</v>
      </c>
      <c r="D615" t="s">
        <v>2194</v>
      </c>
      <c r="E615" t="s">
        <v>4382</v>
      </c>
      <c r="G615" t="s">
        <v>9194</v>
      </c>
      <c r="H615" t="s">
        <v>362</v>
      </c>
      <c r="I615" t="s">
        <v>14</v>
      </c>
      <c r="K615" t="s">
        <v>5843</v>
      </c>
      <c r="M615" t="s">
        <v>7259</v>
      </c>
      <c r="P615" t="str">
        <f>"Update Project Set Organisation = '"&amp;H615&amp;"' where Project_ID = '"&amp;A615&amp;"'; "</f>
        <v xml:space="preserve">Update Project Set Organisation = 'University of Queensland' where Project_ID = 'P0612'; </v>
      </c>
      <c r="Q615" t="str">
        <f>"Update Project Set Library_name = '"&amp;L615&amp;"' , COADD_ID = '"&amp;M615&amp;"' where Project_ID = '"&amp;A615&amp;"'; "</f>
        <v xml:space="preserve">Update Project Set Library_name = '' , COADD_ID = 'CO-ADD:PC0612' where Project_ID = 'P0612'; </v>
      </c>
    </row>
    <row r="616" spans="1:17">
      <c r="A616" t="s">
        <v>7263</v>
      </c>
      <c r="B616" t="s">
        <v>7262</v>
      </c>
      <c r="C616" t="s">
        <v>5633</v>
      </c>
      <c r="D616" t="s">
        <v>4643</v>
      </c>
      <c r="E616" t="s">
        <v>4642</v>
      </c>
      <c r="G616" t="s">
        <v>9068</v>
      </c>
      <c r="H616" t="s">
        <v>4646</v>
      </c>
      <c r="I616" t="s">
        <v>1600</v>
      </c>
      <c r="K616" t="s">
        <v>5828</v>
      </c>
      <c r="L616" t="s">
        <v>5995</v>
      </c>
      <c r="M616" t="s">
        <v>7261</v>
      </c>
      <c r="N616" s="2">
        <v>45657</v>
      </c>
      <c r="P616" t="str">
        <f>"Update Project Set Organisation = '"&amp;H616&amp;"' where Project_ID = '"&amp;A616&amp;"'; "</f>
        <v xml:space="preserve">Update Project Set Organisation = 'Russian Academy of Science' where Project_ID = 'P0613'; </v>
      </c>
      <c r="Q616" t="str">
        <f>"Update Project Set Library_name = '"&amp;L616&amp;"' , COADD_ID = '"&amp;M616&amp;"' where Project_ID = '"&amp;A616&amp;"'; "</f>
        <v xml:space="preserve">Update Project Set Library_name = 'Russian Academy of Science (Russia)' , COADD_ID = 'CO-ADD:PC0613' where Project_ID = 'P0613'; </v>
      </c>
    </row>
    <row r="617" spans="1:17">
      <c r="A617" t="s">
        <v>7265</v>
      </c>
      <c r="C617" t="s">
        <v>5633</v>
      </c>
      <c r="D617" t="s">
        <v>2063</v>
      </c>
      <c r="E617" t="s">
        <v>2062</v>
      </c>
      <c r="F617" t="s">
        <v>4271</v>
      </c>
      <c r="G617" t="s">
        <v>8896</v>
      </c>
      <c r="H617" t="s">
        <v>2066</v>
      </c>
      <c r="I617" t="s">
        <v>211</v>
      </c>
      <c r="K617" t="s">
        <v>5828</v>
      </c>
      <c r="L617" t="s">
        <v>8273</v>
      </c>
      <c r="M617" t="s">
        <v>7264</v>
      </c>
      <c r="N617" s="2">
        <v>45657</v>
      </c>
      <c r="P617" t="str">
        <f>"Update Project Set Organisation = '"&amp;H617&amp;"' where Project_ID = '"&amp;A617&amp;"'; "</f>
        <v xml:space="preserve">Update Project Set Organisation = 'BMS College of Engineering' where Project_ID = 'P0614'; </v>
      </c>
      <c r="Q617" t="str">
        <f>"Update Project Set Library_name = '"&amp;L617&amp;"' , COADD_ID = '"&amp;M617&amp;"' where Project_ID = '"&amp;A617&amp;"'; "</f>
        <v xml:space="preserve">Update Project Set Library_name = 'BMS College of Engineering (India)' , COADD_ID = 'CO-ADD:PC0614' where Project_ID = 'P0614'; </v>
      </c>
    </row>
    <row r="618" spans="1:17">
      <c r="A618" t="s">
        <v>7267</v>
      </c>
      <c r="C618" t="s">
        <v>5633</v>
      </c>
      <c r="D618" t="s">
        <v>1681</v>
      </c>
      <c r="E618" t="s">
        <v>1680</v>
      </c>
      <c r="F618" t="s">
        <v>3139</v>
      </c>
      <c r="G618" t="s">
        <v>9097</v>
      </c>
      <c r="H618" t="s">
        <v>1684</v>
      </c>
      <c r="I618" t="s">
        <v>481</v>
      </c>
      <c r="K618" t="s">
        <v>5828</v>
      </c>
      <c r="L618" t="s">
        <v>8274</v>
      </c>
      <c r="M618" t="s">
        <v>7266</v>
      </c>
      <c r="N618" s="2">
        <v>45657</v>
      </c>
      <c r="P618" t="str">
        <f>"Update Project Set Organisation = '"&amp;H618&amp;"' where Project_ID = '"&amp;A618&amp;"'; "</f>
        <v xml:space="preserve">Update Project Set Organisation = 'Universidad de Buenos Aires' where Project_ID = 'P0615'; </v>
      </c>
      <c r="Q618" t="str">
        <f>"Update Project Set Library_name = '"&amp;L618&amp;"' , COADD_ID = '"&amp;M618&amp;"' where Project_ID = '"&amp;A618&amp;"'; "</f>
        <v xml:space="preserve">Update Project Set Library_name = 'Universidad de Buenos Aires (Argentina)' , COADD_ID = 'CO-ADD:PC0615' where Project_ID = 'P0615'; </v>
      </c>
    </row>
    <row r="619" spans="1:17">
      <c r="A619" t="s">
        <v>7270</v>
      </c>
      <c r="B619" t="s">
        <v>7269</v>
      </c>
      <c r="C619" t="s">
        <v>5633</v>
      </c>
      <c r="D619" t="s">
        <v>4643</v>
      </c>
      <c r="E619" t="s">
        <v>4642</v>
      </c>
      <c r="G619" t="s">
        <v>9068</v>
      </c>
      <c r="H619" t="s">
        <v>4646</v>
      </c>
      <c r="I619" t="s">
        <v>1600</v>
      </c>
      <c r="K619" t="s">
        <v>5828</v>
      </c>
      <c r="L619" t="s">
        <v>5995</v>
      </c>
      <c r="M619" t="s">
        <v>7268</v>
      </c>
      <c r="N619" s="2">
        <v>45657</v>
      </c>
      <c r="P619" t="str">
        <f>"Update Project Set Organisation = '"&amp;H619&amp;"' where Project_ID = '"&amp;A619&amp;"'; "</f>
        <v xml:space="preserve">Update Project Set Organisation = 'Russian Academy of Science' where Project_ID = 'P0616'; </v>
      </c>
      <c r="Q619" t="str">
        <f>"Update Project Set Library_name = '"&amp;L619&amp;"' , COADD_ID = '"&amp;M619&amp;"' where Project_ID = '"&amp;A619&amp;"'; "</f>
        <v xml:space="preserve">Update Project Set Library_name = 'Russian Academy of Science (Russia)' , COADD_ID = 'CO-ADD:PC0616' where Project_ID = 'P0616'; </v>
      </c>
    </row>
    <row r="620" spans="1:17">
      <c r="A620" t="s">
        <v>7273</v>
      </c>
      <c r="B620" t="s">
        <v>7272</v>
      </c>
      <c r="C620" t="s">
        <v>5633</v>
      </c>
      <c r="D620" t="s">
        <v>4643</v>
      </c>
      <c r="E620" t="s">
        <v>4642</v>
      </c>
      <c r="G620" t="s">
        <v>9068</v>
      </c>
      <c r="H620" t="s">
        <v>4646</v>
      </c>
      <c r="I620" t="s">
        <v>1600</v>
      </c>
      <c r="K620" t="s">
        <v>5828</v>
      </c>
      <c r="L620" t="s">
        <v>5995</v>
      </c>
      <c r="M620" t="s">
        <v>7271</v>
      </c>
      <c r="N620" s="2">
        <v>45657</v>
      </c>
      <c r="P620" t="str">
        <f>"Update Project Set Organisation = '"&amp;H620&amp;"' where Project_ID = '"&amp;A620&amp;"'; "</f>
        <v xml:space="preserve">Update Project Set Organisation = 'Russian Academy of Science' where Project_ID = 'P0617'; </v>
      </c>
      <c r="Q620" t="str">
        <f>"Update Project Set Library_name = '"&amp;L620&amp;"' , COADD_ID = '"&amp;M620&amp;"' where Project_ID = '"&amp;A620&amp;"'; "</f>
        <v xml:space="preserve">Update Project Set Library_name = 'Russian Academy of Science (Russia)' , COADD_ID = 'CO-ADD:PC0617' where Project_ID = 'P0617'; </v>
      </c>
    </row>
    <row r="621" spans="1:17">
      <c r="A621" t="s">
        <v>7275</v>
      </c>
      <c r="B621" t="s">
        <v>6022</v>
      </c>
      <c r="C621" t="s">
        <v>5633</v>
      </c>
      <c r="D621" t="s">
        <v>2021</v>
      </c>
      <c r="E621" t="s">
        <v>3154</v>
      </c>
      <c r="F621" t="s">
        <v>2020</v>
      </c>
      <c r="G621" t="s">
        <v>9039</v>
      </c>
      <c r="H621" t="s">
        <v>2024</v>
      </c>
      <c r="I621" t="s">
        <v>1235</v>
      </c>
      <c r="K621" t="s">
        <v>5828</v>
      </c>
      <c r="L621" t="s">
        <v>8250</v>
      </c>
      <c r="M621" t="s">
        <v>7274</v>
      </c>
      <c r="N621" s="2">
        <v>45657</v>
      </c>
      <c r="P621" t="str">
        <f>"Update Project Set Organisation = '"&amp;H621&amp;"' where Project_ID = '"&amp;A621&amp;"'; "</f>
        <v xml:space="preserve">Update Project Set Organisation = 'National University of Ireland Galway' where Project_ID = 'P0618'; </v>
      </c>
      <c r="Q621" t="str">
        <f>"Update Project Set Library_name = '"&amp;L621&amp;"' , COADD_ID = '"&amp;M621&amp;"' where Project_ID = '"&amp;A621&amp;"'; "</f>
        <v xml:space="preserve">Update Project Set Library_name = 'National University of Ireland Galway (Ireland)' , COADD_ID = 'CO-ADD:PC0618' where Project_ID = 'P0618'; </v>
      </c>
    </row>
    <row r="622" spans="1:17">
      <c r="A622" t="s">
        <v>7278</v>
      </c>
      <c r="B622" t="s">
        <v>7277</v>
      </c>
      <c r="C622" t="s">
        <v>5633</v>
      </c>
      <c r="D622" t="s">
        <v>4643</v>
      </c>
      <c r="E622" t="s">
        <v>4642</v>
      </c>
      <c r="G622" t="s">
        <v>9068</v>
      </c>
      <c r="H622" t="s">
        <v>4646</v>
      </c>
      <c r="I622" t="s">
        <v>1600</v>
      </c>
      <c r="K622" t="s">
        <v>5828</v>
      </c>
      <c r="L622" t="s">
        <v>5995</v>
      </c>
      <c r="M622" t="s">
        <v>7276</v>
      </c>
      <c r="N622" s="2">
        <v>45657</v>
      </c>
      <c r="P622" t="str">
        <f>"Update Project Set Organisation = '"&amp;H622&amp;"' where Project_ID = '"&amp;A622&amp;"'; "</f>
        <v xml:space="preserve">Update Project Set Organisation = 'Russian Academy of Science' where Project_ID = 'P0619'; </v>
      </c>
      <c r="Q622" t="str">
        <f>"Update Project Set Library_name = '"&amp;L622&amp;"' , COADD_ID = '"&amp;M622&amp;"' where Project_ID = '"&amp;A622&amp;"'; "</f>
        <v xml:space="preserve">Update Project Set Library_name = 'Russian Academy of Science (Russia)' , COADD_ID = 'CO-ADD:PC0619' where Project_ID = 'P0619'; </v>
      </c>
    </row>
    <row r="623" spans="1:17">
      <c r="A623" t="s">
        <v>7280</v>
      </c>
      <c r="C623" t="s">
        <v>5633</v>
      </c>
      <c r="D623" t="s">
        <v>3312</v>
      </c>
      <c r="E623" t="s">
        <v>5231</v>
      </c>
      <c r="F623" t="s">
        <v>4964</v>
      </c>
      <c r="G623" t="s">
        <v>9049</v>
      </c>
      <c r="H623" t="s">
        <v>3315</v>
      </c>
      <c r="I623" t="s">
        <v>1600</v>
      </c>
      <c r="K623" t="s">
        <v>5828</v>
      </c>
      <c r="L623" t="s">
        <v>8182</v>
      </c>
      <c r="M623" t="s">
        <v>7279</v>
      </c>
      <c r="N623" s="2">
        <v>45657</v>
      </c>
      <c r="P623" t="str">
        <f>"Update Project Set Organisation = '"&amp;H623&amp;"' where Project_ID = '"&amp;A623&amp;"'; "</f>
        <v xml:space="preserve">Update Project Set Organisation = 'Novosibirsk Institute of Organic Chemistry' where Project_ID = 'P0620'; </v>
      </c>
      <c r="Q623" t="str">
        <f>"Update Project Set Library_name = '"&amp;L623&amp;"' , COADD_ID = '"&amp;M623&amp;"' where Project_ID = '"&amp;A623&amp;"'; "</f>
        <v xml:space="preserve">Update Project Set Library_name = 'Novosibirsk Institute of Organic Chemistry (Russia)' , COADD_ID = 'CO-ADD:PC0620' where Project_ID = 'P0620'; </v>
      </c>
    </row>
    <row r="624" spans="1:17">
      <c r="A624" t="s">
        <v>7283</v>
      </c>
      <c r="B624" t="s">
        <v>7282</v>
      </c>
      <c r="C624" t="s">
        <v>5633</v>
      </c>
      <c r="D624" t="s">
        <v>4643</v>
      </c>
      <c r="E624" t="s">
        <v>4642</v>
      </c>
      <c r="G624" t="s">
        <v>9068</v>
      </c>
      <c r="H624" t="s">
        <v>4646</v>
      </c>
      <c r="I624" t="s">
        <v>1600</v>
      </c>
      <c r="K624" t="s">
        <v>5828</v>
      </c>
      <c r="L624" t="s">
        <v>5995</v>
      </c>
      <c r="M624" t="s">
        <v>7281</v>
      </c>
      <c r="N624" s="2">
        <v>45657</v>
      </c>
      <c r="P624" t="str">
        <f>"Update Project Set Organisation = '"&amp;H624&amp;"' where Project_ID = '"&amp;A624&amp;"'; "</f>
        <v xml:space="preserve">Update Project Set Organisation = 'Russian Academy of Science' where Project_ID = 'P0621'; </v>
      </c>
      <c r="Q624" t="str">
        <f>"Update Project Set Library_name = '"&amp;L624&amp;"' , COADD_ID = '"&amp;M624&amp;"' where Project_ID = '"&amp;A624&amp;"'; "</f>
        <v xml:space="preserve">Update Project Set Library_name = 'Russian Academy of Science (Russia)' , COADD_ID = 'CO-ADD:PC0621' where Project_ID = 'P0621'; </v>
      </c>
    </row>
    <row r="625" spans="1:17">
      <c r="A625" t="s">
        <v>7286</v>
      </c>
      <c r="B625" t="s">
        <v>7285</v>
      </c>
      <c r="C625" t="s">
        <v>5633</v>
      </c>
      <c r="D625" t="s">
        <v>1664</v>
      </c>
      <c r="E625" t="s">
        <v>1663</v>
      </c>
      <c r="F625" t="s">
        <v>2637</v>
      </c>
      <c r="G625" t="s">
        <v>9016</v>
      </c>
      <c r="H625" t="s">
        <v>1667</v>
      </c>
      <c r="I625" t="s">
        <v>1600</v>
      </c>
      <c r="K625" t="s">
        <v>5828</v>
      </c>
      <c r="L625" t="s">
        <v>8219</v>
      </c>
      <c r="M625" t="s">
        <v>7284</v>
      </c>
      <c r="N625" s="2">
        <v>45657</v>
      </c>
      <c r="P625" t="str">
        <f>"Update Project Set Organisation = '"&amp;H625&amp;"' where Project_ID = '"&amp;A625&amp;"'; "</f>
        <v xml:space="preserve">Update Project Set Organisation = 'Mendeleev University of Chemical Technology of Russia' where Project_ID = 'P0622'; </v>
      </c>
      <c r="Q625" t="str">
        <f>"Update Project Set Library_name = '"&amp;L625&amp;"' , COADD_ID = '"&amp;M625&amp;"' where Project_ID = '"&amp;A625&amp;"'; "</f>
        <v xml:space="preserve">Update Project Set Library_name = 'Mendeleev University of Chemical Technology of Russia (Russia)' , COADD_ID = 'CO-ADD:PC0622' where Project_ID = 'P0622'; </v>
      </c>
    </row>
    <row r="626" spans="1:17">
      <c r="A626" t="s">
        <v>7288</v>
      </c>
      <c r="B626" t="s">
        <v>6232</v>
      </c>
      <c r="C626" t="s">
        <v>5633</v>
      </c>
      <c r="D626" t="s">
        <v>645</v>
      </c>
      <c r="E626" t="s">
        <v>644</v>
      </c>
      <c r="G626" t="s">
        <v>8968</v>
      </c>
      <c r="H626" t="s">
        <v>649</v>
      </c>
      <c r="I626" t="s">
        <v>427</v>
      </c>
      <c r="K626" t="s">
        <v>5828</v>
      </c>
      <c r="L626" t="s">
        <v>8239</v>
      </c>
      <c r="M626" t="s">
        <v>7287</v>
      </c>
      <c r="N626" s="2">
        <v>45657</v>
      </c>
      <c r="P626" t="str">
        <f>"Update Project Set Organisation = '"&amp;H626&amp;"' where Project_ID = '"&amp;A626&amp;"'; "</f>
        <v xml:space="preserve">Update Project Set Organisation = 'Institute of Molecular Biology and Genetics of NASU' where Project_ID = 'P0624'; </v>
      </c>
      <c r="Q626" t="str">
        <f>"Update Project Set Library_name = '"&amp;L626&amp;"' , COADD_ID = '"&amp;M626&amp;"' where Project_ID = '"&amp;A626&amp;"'; "</f>
        <v xml:space="preserve">Update Project Set Library_name = 'Institute of Molecular Biology and Genetics of NASU (Ukraine)' , COADD_ID = 'CO-ADD:PC0624' where Project_ID = 'P0624'; </v>
      </c>
    </row>
    <row r="627" spans="1:17">
      <c r="A627" t="s">
        <v>7290</v>
      </c>
      <c r="C627" t="s">
        <v>5633</v>
      </c>
      <c r="D627" t="s">
        <v>1260</v>
      </c>
      <c r="E627" t="s">
        <v>1259</v>
      </c>
      <c r="G627" t="s">
        <v>9173</v>
      </c>
      <c r="H627" t="s">
        <v>1262</v>
      </c>
      <c r="I627" t="s">
        <v>117</v>
      </c>
      <c r="K627" t="s">
        <v>5828</v>
      </c>
      <c r="L627" t="s">
        <v>8188</v>
      </c>
      <c r="M627" t="s">
        <v>7289</v>
      </c>
      <c r="N627" s="2">
        <v>45657</v>
      </c>
      <c r="P627" t="str">
        <f>"Update Project Set Organisation = '"&amp;H627&amp;"' where Project_ID = '"&amp;A627&amp;"'; "</f>
        <v xml:space="preserve">Update Project Set Organisation = 'University of Nebraska Medical Center' where Project_ID = 'P0625'; </v>
      </c>
      <c r="Q627" t="str">
        <f>"Update Project Set Library_name = '"&amp;L627&amp;"' , COADD_ID = '"&amp;M627&amp;"' where Project_ID = '"&amp;A627&amp;"'; "</f>
        <v xml:space="preserve">Update Project Set Library_name = 'University of Nebraska Medical Center (United States)' , COADD_ID = 'CO-ADD:PC0625' where Project_ID = 'P0625'; </v>
      </c>
    </row>
    <row r="628" spans="1:17">
      <c r="A628" t="s">
        <v>7292</v>
      </c>
      <c r="C628" t="s">
        <v>5633</v>
      </c>
      <c r="D628" t="s">
        <v>2627</v>
      </c>
      <c r="E628" t="s">
        <v>3540</v>
      </c>
      <c r="G628" t="s">
        <v>9038</v>
      </c>
      <c r="H628" t="s">
        <v>2631</v>
      </c>
      <c r="I628" t="s">
        <v>2634</v>
      </c>
      <c r="K628" t="s">
        <v>5828</v>
      </c>
      <c r="L628" t="s">
        <v>8244</v>
      </c>
      <c r="M628" t="s">
        <v>7291</v>
      </c>
      <c r="N628" s="2">
        <v>45657</v>
      </c>
      <c r="P628" t="str">
        <f>"Update Project Set Organisation = '"&amp;H628&amp;"' where Project_ID = '"&amp;A628&amp;"'; "</f>
        <v xml:space="preserve">Update Project Set Organisation = 'National Technical University of Athens' where Project_ID = 'P0626'; </v>
      </c>
      <c r="Q628" t="str">
        <f>"Update Project Set Library_name = '"&amp;L628&amp;"' , COADD_ID = '"&amp;M628&amp;"' where Project_ID = '"&amp;A628&amp;"'; "</f>
        <v xml:space="preserve">Update Project Set Library_name = 'National Technical University of Athens (Greece)' , COADD_ID = 'CO-ADD:PC0626' where Project_ID = 'P0626'; </v>
      </c>
    </row>
    <row r="629" spans="1:17">
      <c r="A629" t="s">
        <v>7295</v>
      </c>
      <c r="B629" t="s">
        <v>7294</v>
      </c>
      <c r="C629" t="s">
        <v>5633</v>
      </c>
      <c r="D629" t="s">
        <v>3671</v>
      </c>
      <c r="E629" t="s">
        <v>5256</v>
      </c>
      <c r="G629" t="s">
        <v>9185</v>
      </c>
      <c r="H629" t="s">
        <v>3123</v>
      </c>
      <c r="I629" t="s">
        <v>269</v>
      </c>
      <c r="K629" t="s">
        <v>5828</v>
      </c>
      <c r="L629" t="s">
        <v>8175</v>
      </c>
      <c r="M629" t="s">
        <v>7293</v>
      </c>
      <c r="N629" s="2">
        <v>45657</v>
      </c>
      <c r="P629" t="str">
        <f>"Update Project Set Organisation = '"&amp;H629&amp;"' where Project_ID = '"&amp;A629&amp;"'; "</f>
        <v xml:space="preserve">Update Project Set Organisation = 'University of Nottingham' where Project_ID = 'P0627'; </v>
      </c>
      <c r="Q629" t="str">
        <f>"Update Project Set Library_name = '"&amp;L629&amp;"' , COADD_ID = '"&amp;M629&amp;"' where Project_ID = '"&amp;A629&amp;"'; "</f>
        <v xml:space="preserve">Update Project Set Library_name = 'University of Nottingham (United Kingdom)' , COADD_ID = 'CO-ADD:PC0627' where Project_ID = 'P0627'; </v>
      </c>
    </row>
    <row r="630" spans="1:17">
      <c r="A630" t="s">
        <v>7298</v>
      </c>
      <c r="B630" t="s">
        <v>7297</v>
      </c>
      <c r="C630" t="s">
        <v>5633</v>
      </c>
      <c r="D630" t="s">
        <v>2907</v>
      </c>
      <c r="E630" t="s">
        <v>4835</v>
      </c>
      <c r="G630" t="s">
        <v>8957</v>
      </c>
      <c r="H630" t="s">
        <v>2910</v>
      </c>
      <c r="I630" t="s">
        <v>211</v>
      </c>
      <c r="K630" t="s">
        <v>5828</v>
      </c>
      <c r="L630" t="s">
        <v>8275</v>
      </c>
      <c r="M630" t="s">
        <v>7296</v>
      </c>
      <c r="N630" s="2">
        <v>45657</v>
      </c>
      <c r="P630" t="str">
        <f>"Update Project Set Organisation = '"&amp;H630&amp;"' where Project_ID = '"&amp;A630&amp;"'; "</f>
        <v xml:space="preserve">Update Project Set Organisation = 'IIT Madras' where Project_ID = 'P0628'; </v>
      </c>
      <c r="Q630" t="str">
        <f>"Update Project Set Library_name = '"&amp;L630&amp;"' , COADD_ID = '"&amp;M630&amp;"' where Project_ID = '"&amp;A630&amp;"'; "</f>
        <v xml:space="preserve">Update Project Set Library_name = 'IIT Madras (India)' , COADD_ID = 'CO-ADD:PC0628' where Project_ID = 'P0628'; </v>
      </c>
    </row>
    <row r="631" spans="1:17">
      <c r="A631" t="s">
        <v>7301</v>
      </c>
      <c r="B631" t="s">
        <v>7300</v>
      </c>
      <c r="C631" t="s">
        <v>5633</v>
      </c>
      <c r="D631" t="s">
        <v>4423</v>
      </c>
      <c r="E631" t="s">
        <v>4436</v>
      </c>
      <c r="G631" t="s">
        <v>8950</v>
      </c>
      <c r="H631" t="s">
        <v>1327</v>
      </c>
      <c r="I631" t="s">
        <v>14</v>
      </c>
      <c r="K631" t="s">
        <v>5828</v>
      </c>
      <c r="L631" t="s">
        <v>8162</v>
      </c>
      <c r="M631" t="s">
        <v>7299</v>
      </c>
      <c r="N631" s="2">
        <v>45657</v>
      </c>
      <c r="P631" t="str">
        <f>"Update Project Set Organisation = '"&amp;H631&amp;"' where Project_ID = '"&amp;A631&amp;"'; "</f>
        <v xml:space="preserve">Update Project Set Organisation = 'Griffith University' where Project_ID = 'P0629'; </v>
      </c>
      <c r="Q631" t="str">
        <f>"Update Project Set Library_name = '"&amp;L631&amp;"' , COADD_ID = '"&amp;M631&amp;"' where Project_ID = '"&amp;A631&amp;"'; "</f>
        <v xml:space="preserve">Update Project Set Library_name = 'Griffith University (Australia)' , COADD_ID = 'CO-ADD:PC0629' where Project_ID = 'P0629'; </v>
      </c>
    </row>
    <row r="632" spans="1:17">
      <c r="A632" t="s">
        <v>7304</v>
      </c>
      <c r="B632" t="s">
        <v>7303</v>
      </c>
      <c r="C632" t="s">
        <v>5633</v>
      </c>
      <c r="D632" t="s">
        <v>925</v>
      </c>
      <c r="E632" t="s">
        <v>5171</v>
      </c>
      <c r="G632" t="s">
        <v>9063</v>
      </c>
      <c r="H632" t="s">
        <v>929</v>
      </c>
      <c r="I632" t="s">
        <v>14</v>
      </c>
      <c r="K632" t="s">
        <v>5843</v>
      </c>
      <c r="M632" t="s">
        <v>7302</v>
      </c>
      <c r="P632" t="str">
        <f>"Update Project Set Organisation = '"&amp;H632&amp;"' where Project_ID = '"&amp;A632&amp;"'; "</f>
        <v xml:space="preserve">Update Project Set Organisation = 'RMIT University' where Project_ID = 'P0630'; </v>
      </c>
      <c r="Q632" t="str">
        <f>"Update Project Set Library_name = '"&amp;L632&amp;"' , COADD_ID = '"&amp;M632&amp;"' where Project_ID = '"&amp;A632&amp;"'; "</f>
        <v xml:space="preserve">Update Project Set Library_name = '' , COADD_ID = 'CO-ADD:PC0630' where Project_ID = 'P0630'; </v>
      </c>
    </row>
    <row r="633" spans="1:17">
      <c r="A633" t="s">
        <v>7307</v>
      </c>
      <c r="B633" t="s">
        <v>7306</v>
      </c>
      <c r="C633" t="s">
        <v>5633</v>
      </c>
      <c r="D633" t="s">
        <v>2294</v>
      </c>
      <c r="E633" t="s">
        <v>2293</v>
      </c>
      <c r="G633" t="s">
        <v>9010</v>
      </c>
      <c r="H633" t="s">
        <v>2296</v>
      </c>
      <c r="I633" t="s">
        <v>694</v>
      </c>
      <c r="K633" t="s">
        <v>5843</v>
      </c>
      <c r="M633" t="s">
        <v>7305</v>
      </c>
      <c r="P633" t="str">
        <f>"Update Project Set Organisation = '"&amp;H633&amp;"' where Project_ID = '"&amp;A633&amp;"'; "</f>
        <v xml:space="preserve">Update Project Set Organisation = 'Medical University of Vienna' where Project_ID = 'P0631'; </v>
      </c>
      <c r="Q633" t="str">
        <f>"Update Project Set Library_name = '"&amp;L633&amp;"' , COADD_ID = '"&amp;M633&amp;"' where Project_ID = '"&amp;A633&amp;"'; "</f>
        <v xml:space="preserve">Update Project Set Library_name = '' , COADD_ID = 'CO-ADD:PC0631' where Project_ID = 'P0631'; </v>
      </c>
    </row>
    <row r="634" spans="1:17">
      <c r="A634" t="s">
        <v>7309</v>
      </c>
      <c r="C634" t="s">
        <v>5633</v>
      </c>
      <c r="D634" t="s">
        <v>349</v>
      </c>
      <c r="E634" t="s">
        <v>348</v>
      </c>
      <c r="F634" t="s">
        <v>2001</v>
      </c>
      <c r="G634" t="s">
        <v>9230</v>
      </c>
      <c r="H634" t="s">
        <v>352</v>
      </c>
      <c r="I634" t="s">
        <v>355</v>
      </c>
      <c r="K634" t="s">
        <v>5828</v>
      </c>
      <c r="L634" t="s">
        <v>8276</v>
      </c>
      <c r="M634" t="s">
        <v>7308</v>
      </c>
      <c r="N634" s="2">
        <v>45657</v>
      </c>
      <c r="P634" t="str">
        <f>"Update Project Set Organisation = '"&amp;H634&amp;"' where Project_ID = '"&amp;A634&amp;"'; "</f>
        <v xml:space="preserve">Update Project Set Organisation = 'University of Trieste' where Project_ID = 'P0632'; </v>
      </c>
      <c r="Q634" t="str">
        <f>"Update Project Set Library_name = '"&amp;L634&amp;"' , COADD_ID = '"&amp;M634&amp;"' where Project_ID = '"&amp;A634&amp;"'; "</f>
        <v xml:space="preserve">Update Project Set Library_name = 'University of Trieste (Italy)' , COADD_ID = 'CO-ADD:PC0632' where Project_ID = 'P0632'; </v>
      </c>
    </row>
    <row r="635" spans="1:17">
      <c r="A635" t="s">
        <v>7311</v>
      </c>
      <c r="C635" t="s">
        <v>5633</v>
      </c>
      <c r="D635" t="s">
        <v>330</v>
      </c>
      <c r="E635" t="s">
        <v>329</v>
      </c>
      <c r="F635" t="s">
        <v>2001</v>
      </c>
      <c r="G635" t="s">
        <v>9249</v>
      </c>
      <c r="H635" t="s">
        <v>334</v>
      </c>
      <c r="I635" t="s">
        <v>253</v>
      </c>
      <c r="K635" t="s">
        <v>5828</v>
      </c>
      <c r="L635" t="s">
        <v>8277</v>
      </c>
      <c r="M635" t="s">
        <v>7310</v>
      </c>
      <c r="N635" s="2">
        <v>45657</v>
      </c>
      <c r="P635" t="str">
        <f>"Update Project Set Organisation = '"&amp;H635&amp;"' where Project_ID = '"&amp;A635&amp;"'; "</f>
        <v xml:space="preserve">Update Project Set Organisation = 'University of Zurich' where Project_ID = 'P0633'; </v>
      </c>
      <c r="Q635" t="str">
        <f>"Update Project Set Library_name = '"&amp;L635&amp;"' , COADD_ID = '"&amp;M635&amp;"' where Project_ID = '"&amp;A635&amp;"'; "</f>
        <v xml:space="preserve">Update Project Set Library_name = 'University of Zurich (Switzerland)' , COADD_ID = 'CO-ADD:PC0633' where Project_ID = 'P0633'; </v>
      </c>
    </row>
    <row r="636" spans="1:17">
      <c r="A636" t="s">
        <v>7313</v>
      </c>
      <c r="C636" t="s">
        <v>5633</v>
      </c>
      <c r="D636" t="s">
        <v>2107</v>
      </c>
      <c r="E636" t="s">
        <v>2106</v>
      </c>
      <c r="F636" t="s">
        <v>2001</v>
      </c>
      <c r="G636" t="s">
        <v>8908</v>
      </c>
      <c r="H636" t="s">
        <v>2110</v>
      </c>
      <c r="I636" t="s">
        <v>704</v>
      </c>
      <c r="K636" t="s">
        <v>5828</v>
      </c>
      <c r="L636" t="s">
        <v>8278</v>
      </c>
      <c r="M636" t="s">
        <v>7312</v>
      </c>
      <c r="N636" s="2">
        <v>45657</v>
      </c>
      <c r="P636" t="str">
        <f>"Update Project Set Organisation = '"&amp;H636&amp;"' where Project_ID = '"&amp;A636&amp;"'; "</f>
        <v xml:space="preserve">Update Project Set Organisation = 'Chimie ParisTech PSL University' where Project_ID = 'P0634'; </v>
      </c>
      <c r="Q636" t="str">
        <f>"Update Project Set Library_name = '"&amp;L636&amp;"' , COADD_ID = '"&amp;M636&amp;"' where Project_ID = '"&amp;A636&amp;"'; "</f>
        <v xml:space="preserve">Update Project Set Library_name = 'Chimie ParisTech PSL University (France)' , COADD_ID = 'CO-ADD:PC0634' where Project_ID = 'P0634'; </v>
      </c>
    </row>
    <row r="637" spans="1:17">
      <c r="A637" t="s">
        <v>7316</v>
      </c>
      <c r="B637" t="s">
        <v>7315</v>
      </c>
      <c r="C637" t="s">
        <v>5633</v>
      </c>
      <c r="D637" t="s">
        <v>3802</v>
      </c>
      <c r="E637" t="s">
        <v>3801</v>
      </c>
      <c r="G637" t="s">
        <v>8880</v>
      </c>
      <c r="H637" t="s">
        <v>3805</v>
      </c>
      <c r="I637" t="s">
        <v>2674</v>
      </c>
      <c r="K637" t="s">
        <v>5828</v>
      </c>
      <c r="L637" t="s">
        <v>8279</v>
      </c>
      <c r="M637" t="s">
        <v>7314</v>
      </c>
      <c r="N637" s="2">
        <v>45657</v>
      </c>
      <c r="P637" t="str">
        <f>"Update Project Set Organisation = '"&amp;H637&amp;"' where Project_ID = '"&amp;A637&amp;"'; "</f>
        <v xml:space="preserve">Update Project Set Organisation = 'Allama Iqbal Open University Islamabad' where Project_ID = 'P0635'; </v>
      </c>
      <c r="Q637" t="str">
        <f>"Update Project Set Library_name = '"&amp;L637&amp;"' , COADD_ID = '"&amp;M637&amp;"' where Project_ID = '"&amp;A637&amp;"'; "</f>
        <v xml:space="preserve">Update Project Set Library_name = 'Allama Iqbal Open University Islamabad (Pakistan)' , COADD_ID = 'CO-ADD:PC0635' where Project_ID = 'P0635'; </v>
      </c>
    </row>
    <row r="638" spans="1:17">
      <c r="A638" t="s">
        <v>7318</v>
      </c>
      <c r="C638" t="s">
        <v>5633</v>
      </c>
      <c r="D638" t="s">
        <v>2878</v>
      </c>
      <c r="E638" t="s">
        <v>2877</v>
      </c>
      <c r="G638" t="s">
        <v>9139</v>
      </c>
      <c r="H638" t="s">
        <v>2880</v>
      </c>
      <c r="I638" t="s">
        <v>117</v>
      </c>
      <c r="K638" t="s">
        <v>5843</v>
      </c>
      <c r="M638" t="s">
        <v>7317</v>
      </c>
      <c r="P638" t="str">
        <f>"Update Project Set Organisation = '"&amp;H638&amp;"' where Project_ID = '"&amp;A638&amp;"'; "</f>
        <v xml:space="preserve">Update Project Set Organisation = 'University of California San Diego (UCSD)' where Project_ID = 'P0636'; </v>
      </c>
      <c r="Q638" t="str">
        <f>"Update Project Set Library_name = '"&amp;L638&amp;"' , COADD_ID = '"&amp;M638&amp;"' where Project_ID = '"&amp;A638&amp;"'; "</f>
        <v xml:space="preserve">Update Project Set Library_name = '' , COADD_ID = 'CO-ADD:PC0636' where Project_ID = 'P0636'; </v>
      </c>
    </row>
    <row r="639" spans="1:17">
      <c r="A639" t="s">
        <v>7321</v>
      </c>
      <c r="B639" t="s">
        <v>7320</v>
      </c>
      <c r="C639" t="s">
        <v>5633</v>
      </c>
      <c r="D639" t="s">
        <v>5052</v>
      </c>
      <c r="E639" t="s">
        <v>5051</v>
      </c>
      <c r="G639" t="s">
        <v>8964</v>
      </c>
      <c r="H639" t="s">
        <v>5054</v>
      </c>
      <c r="I639" t="s">
        <v>211</v>
      </c>
      <c r="K639" t="s">
        <v>5828</v>
      </c>
      <c r="L639" t="s">
        <v>8280</v>
      </c>
      <c r="M639" t="s">
        <v>7319</v>
      </c>
      <c r="N639" s="2">
        <v>45657</v>
      </c>
      <c r="P639" t="str">
        <f>"Update Project Set Organisation = '"&amp;H639&amp;"' where Project_ID = '"&amp;A639&amp;"'; "</f>
        <v xml:space="preserve">Update Project Set Organisation = 'Indira Gandhi National Tribal University' where Project_ID = 'P0637'; </v>
      </c>
      <c r="Q639" t="str">
        <f>"Update Project Set Library_name = '"&amp;L639&amp;"' , COADD_ID = '"&amp;M639&amp;"' where Project_ID = '"&amp;A639&amp;"'; "</f>
        <v xml:space="preserve">Update Project Set Library_name = 'Indira Gandhi National Tribal University (India)' , COADD_ID = 'CO-ADD:PC0637' where Project_ID = 'P0637'; </v>
      </c>
    </row>
    <row r="640" spans="1:17">
      <c r="A640" t="s">
        <v>7324</v>
      </c>
      <c r="B640" t="s">
        <v>7323</v>
      </c>
      <c r="C640" t="s">
        <v>5633</v>
      </c>
      <c r="D640" t="s">
        <v>4557</v>
      </c>
      <c r="E640" t="s">
        <v>4556</v>
      </c>
      <c r="G640" t="s">
        <v>9082</v>
      </c>
      <c r="H640" t="s">
        <v>4560</v>
      </c>
      <c r="I640" t="s">
        <v>117</v>
      </c>
      <c r="K640" t="s">
        <v>5843</v>
      </c>
      <c r="M640" t="s">
        <v>7322</v>
      </c>
      <c r="P640" t="str">
        <f>"Update Project Set Organisation = '"&amp;H640&amp;"' where Project_ID = '"&amp;A640&amp;"'; "</f>
        <v xml:space="preserve">Update Project Set Organisation = 'Stanford University' where Project_ID = 'P0638'; </v>
      </c>
      <c r="Q640" t="str">
        <f>"Update Project Set Library_name = '"&amp;L640&amp;"' , COADD_ID = '"&amp;M640&amp;"' where Project_ID = '"&amp;A640&amp;"'; "</f>
        <v xml:space="preserve">Update Project Set Library_name = '' , COADD_ID = 'CO-ADD:PC0638' where Project_ID = 'P0638'; </v>
      </c>
    </row>
    <row r="641" spans="1:17">
      <c r="A641" t="s">
        <v>7326</v>
      </c>
      <c r="C641" t="s">
        <v>5633</v>
      </c>
      <c r="D641" t="s">
        <v>1725</v>
      </c>
      <c r="E641" t="s">
        <v>1896</v>
      </c>
      <c r="G641" t="s">
        <v>8965</v>
      </c>
      <c r="H641" t="s">
        <v>8152</v>
      </c>
      <c r="I641" t="s">
        <v>1256</v>
      </c>
      <c r="K641" t="s">
        <v>5828</v>
      </c>
      <c r="L641" t="s">
        <v>8184</v>
      </c>
      <c r="M641" t="s">
        <v>7325</v>
      </c>
      <c r="N641" s="2">
        <v>45657</v>
      </c>
      <c r="P641" t="str">
        <f>"Update Project Set Organisation = '"&amp;H641&amp;"' where Project_ID = '"&amp;A641&amp;"'; "</f>
        <v xml:space="preserve">Update Project Set Organisation = 'Institut Català Investigació Química (ICIQ)' where Project_ID = 'P0639'; </v>
      </c>
      <c r="Q641" t="str">
        <f>"Update Project Set Library_name = '"&amp;L641&amp;"' , COADD_ID = '"&amp;M641&amp;"' where Project_ID = '"&amp;A641&amp;"'; "</f>
        <v xml:space="preserve">Update Project Set Library_name = 'Institut Català Investigació Química (ICIQ) (Spain)' , COADD_ID = 'CO-ADD:PC0639' where Project_ID = 'P0639'; </v>
      </c>
    </row>
    <row r="642" spans="1:17">
      <c r="A642" t="s">
        <v>7328</v>
      </c>
      <c r="B642" t="s">
        <v>7315</v>
      </c>
      <c r="C642" t="s">
        <v>5633</v>
      </c>
      <c r="D642" t="s">
        <v>3802</v>
      </c>
      <c r="E642" t="s">
        <v>3801</v>
      </c>
      <c r="G642" t="s">
        <v>8880</v>
      </c>
      <c r="H642" t="s">
        <v>3805</v>
      </c>
      <c r="I642" t="s">
        <v>2674</v>
      </c>
      <c r="K642" t="s">
        <v>5828</v>
      </c>
      <c r="L642" t="s">
        <v>8279</v>
      </c>
      <c r="M642" t="s">
        <v>7327</v>
      </c>
      <c r="N642" s="2">
        <v>45657</v>
      </c>
      <c r="P642" t="str">
        <f>"Update Project Set Organisation = '"&amp;H642&amp;"' where Project_ID = '"&amp;A642&amp;"'; "</f>
        <v xml:space="preserve">Update Project Set Organisation = 'Allama Iqbal Open University Islamabad' where Project_ID = 'P0641'; </v>
      </c>
      <c r="Q642" t="str">
        <f>"Update Project Set Library_name = '"&amp;L642&amp;"' , COADD_ID = '"&amp;M642&amp;"' where Project_ID = '"&amp;A642&amp;"'; "</f>
        <v xml:space="preserve">Update Project Set Library_name = 'Allama Iqbal Open University Islamabad (Pakistan)' , COADD_ID = 'CO-ADD:PC0641' where Project_ID = 'P0641'; </v>
      </c>
    </row>
    <row r="643" spans="1:17">
      <c r="A643" t="s">
        <v>7330</v>
      </c>
      <c r="C643" t="s">
        <v>5633</v>
      </c>
      <c r="D643" t="s">
        <v>3372</v>
      </c>
      <c r="E643" t="s">
        <v>3371</v>
      </c>
      <c r="F643" t="s">
        <v>2871</v>
      </c>
      <c r="G643" t="s">
        <v>9242</v>
      </c>
      <c r="H643" t="s">
        <v>1422</v>
      </c>
      <c r="I643" t="s">
        <v>14</v>
      </c>
      <c r="K643" t="s">
        <v>5828</v>
      </c>
      <c r="L643" t="s">
        <v>8156</v>
      </c>
      <c r="M643" t="s">
        <v>7329</v>
      </c>
      <c r="N643" s="2">
        <v>45657</v>
      </c>
      <c r="P643" t="str">
        <f>"Update Project Set Organisation = '"&amp;H643&amp;"' where Project_ID = '"&amp;A643&amp;"'; "</f>
        <v xml:space="preserve">Update Project Set Organisation = 'University of Wollongong' where Project_ID = 'P0642'; </v>
      </c>
      <c r="Q643" t="str">
        <f>"Update Project Set Library_name = '"&amp;L643&amp;"' , COADD_ID = '"&amp;M643&amp;"' where Project_ID = '"&amp;A643&amp;"'; "</f>
        <v xml:space="preserve">Update Project Set Library_name = 'University of Wollongong (Australia)' , COADD_ID = 'CO-ADD:PC0642' where Project_ID = 'P0642'; </v>
      </c>
    </row>
    <row r="644" spans="1:17">
      <c r="A644" t="s">
        <v>7333</v>
      </c>
      <c r="B644" t="s">
        <v>7332</v>
      </c>
      <c r="C644" t="s">
        <v>5633</v>
      </c>
      <c r="D644" t="s">
        <v>1077</v>
      </c>
      <c r="E644" t="s">
        <v>1076</v>
      </c>
      <c r="G644" t="s">
        <v>9158</v>
      </c>
      <c r="H644" t="s">
        <v>1080</v>
      </c>
      <c r="I644" t="s">
        <v>117</v>
      </c>
      <c r="K644" t="s">
        <v>5828</v>
      </c>
      <c r="L644" t="s">
        <v>8246</v>
      </c>
      <c r="M644" t="s">
        <v>7331</v>
      </c>
      <c r="N644" s="2">
        <v>45657</v>
      </c>
      <c r="P644" t="str">
        <f>"Update Project Set Organisation = '"&amp;H644&amp;"' where Project_ID = '"&amp;A644&amp;"'; "</f>
        <v xml:space="preserve">Update Project Set Organisation = 'University of Leeds' where Project_ID = 'P0643'; </v>
      </c>
      <c r="Q644" t="str">
        <f>"Update Project Set Library_name = '"&amp;L644&amp;"' , COADD_ID = '"&amp;M644&amp;"' where Project_ID = '"&amp;A644&amp;"'; "</f>
        <v xml:space="preserve">Update Project Set Library_name = 'University of Leeds (United States)' , COADD_ID = 'CO-ADD:PC0643' where Project_ID = 'P0643'; </v>
      </c>
    </row>
    <row r="645" spans="1:17">
      <c r="A645" t="s">
        <v>7335</v>
      </c>
      <c r="C645" t="s">
        <v>5633</v>
      </c>
      <c r="D645" t="s">
        <v>2769</v>
      </c>
      <c r="E645" t="s">
        <v>2768</v>
      </c>
      <c r="F645" t="s">
        <v>2001</v>
      </c>
      <c r="G645" t="s">
        <v>9225</v>
      </c>
      <c r="H645" t="s">
        <v>2773</v>
      </c>
      <c r="I645" t="s">
        <v>609</v>
      </c>
      <c r="K645" t="s">
        <v>5828</v>
      </c>
      <c r="L645" t="s">
        <v>8281</v>
      </c>
      <c r="M645" t="s">
        <v>7334</v>
      </c>
      <c r="N645" s="2">
        <v>45657</v>
      </c>
      <c r="P645" t="str">
        <f>"Update Project Set Organisation = '"&amp;H645&amp;"' where Project_ID = '"&amp;A645&amp;"'; "</f>
        <v xml:space="preserve">Update Project Set Organisation = 'University of The Free State' where Project_ID = 'P0644'; </v>
      </c>
      <c r="Q645" t="str">
        <f>"Update Project Set Library_name = '"&amp;L645&amp;"' , COADD_ID = '"&amp;M645&amp;"' where Project_ID = '"&amp;A645&amp;"'; "</f>
        <v xml:space="preserve">Update Project Set Library_name = 'University of The Free State (South Africa)' , COADD_ID = 'CO-ADD:PC0644' where Project_ID = 'P0644'; </v>
      </c>
    </row>
    <row r="646" spans="1:17">
      <c r="A646" t="s">
        <v>7338</v>
      </c>
      <c r="B646" t="s">
        <v>7337</v>
      </c>
      <c r="C646" t="s">
        <v>5633</v>
      </c>
      <c r="D646" t="s">
        <v>2529</v>
      </c>
      <c r="E646" t="s">
        <v>2528</v>
      </c>
      <c r="G646" t="s">
        <v>9148</v>
      </c>
      <c r="H646" t="s">
        <v>2321</v>
      </c>
      <c r="I646" t="s">
        <v>269</v>
      </c>
      <c r="K646" t="s">
        <v>5843</v>
      </c>
      <c r="M646" t="s">
        <v>7336</v>
      </c>
      <c r="P646" t="str">
        <f>"Update Project Set Organisation = '"&amp;H646&amp;"' where Project_ID = '"&amp;A646&amp;"'; "</f>
        <v xml:space="preserve">Update Project Set Organisation = 'University of Dundee' where Project_ID = 'P0645'; </v>
      </c>
      <c r="Q646" t="str">
        <f>"Update Project Set Library_name = '"&amp;L646&amp;"' , COADD_ID = '"&amp;M646&amp;"' where Project_ID = '"&amp;A646&amp;"'; "</f>
        <v xml:space="preserve">Update Project Set Library_name = '' , COADD_ID = 'CO-ADD:PC0645' where Project_ID = 'P0645'; </v>
      </c>
    </row>
    <row r="647" spans="1:17">
      <c r="A647" t="s">
        <v>7341</v>
      </c>
      <c r="B647" t="s">
        <v>7340</v>
      </c>
      <c r="C647" t="s">
        <v>5633</v>
      </c>
      <c r="D647" t="s">
        <v>4117</v>
      </c>
      <c r="E647" t="s">
        <v>4116</v>
      </c>
      <c r="G647" t="s">
        <v>9137</v>
      </c>
      <c r="H647" t="s">
        <v>4120</v>
      </c>
      <c r="I647" t="s">
        <v>269</v>
      </c>
      <c r="K647" t="s">
        <v>5837</v>
      </c>
      <c r="M647" t="s">
        <v>7339</v>
      </c>
      <c r="P647" t="str">
        <f>"Update Project Set Organisation = '"&amp;H647&amp;"' where Project_ID = '"&amp;A647&amp;"'; "</f>
        <v xml:space="preserve">Update Project Set Organisation = 'University of Bradford' where Project_ID = 'P0646'; </v>
      </c>
      <c r="Q647" t="str">
        <f>"Update Project Set Library_name = '"&amp;L647&amp;"' , COADD_ID = '"&amp;M647&amp;"' where Project_ID = '"&amp;A647&amp;"'; "</f>
        <v xml:space="preserve">Update Project Set Library_name = '' , COADD_ID = 'CO-ADD:PC0646' where Project_ID = 'P0646'; </v>
      </c>
    </row>
    <row r="648" spans="1:17">
      <c r="A648" t="s">
        <v>7344</v>
      </c>
      <c r="B648" t="s">
        <v>7343</v>
      </c>
      <c r="C648" t="s">
        <v>5633</v>
      </c>
      <c r="D648" t="s">
        <v>3175</v>
      </c>
      <c r="E648" t="s">
        <v>3174</v>
      </c>
      <c r="F648" t="s">
        <v>3952</v>
      </c>
      <c r="G648" t="s">
        <v>8873</v>
      </c>
      <c r="H648" t="s">
        <v>3177</v>
      </c>
      <c r="I648" t="s">
        <v>117</v>
      </c>
      <c r="K648" t="s">
        <v>5837</v>
      </c>
      <c r="M648" t="s">
        <v>7342</v>
      </c>
      <c r="P648" t="str">
        <f>"Update Project Set Organisation = '"&amp;H648&amp;"' where Project_ID = '"&amp;A648&amp;"'; "</f>
        <v xml:space="preserve">Update Project Set Organisation = 'Abilene Christian University' where Project_ID = 'P0647'; </v>
      </c>
      <c r="Q648" t="str">
        <f>"Update Project Set Library_name = '"&amp;L648&amp;"' , COADD_ID = '"&amp;M648&amp;"' where Project_ID = '"&amp;A648&amp;"'; "</f>
        <v xml:space="preserve">Update Project Set Library_name = '' , COADD_ID = 'CO-ADD:PC0647' where Project_ID = 'P0647'; </v>
      </c>
    </row>
    <row r="649" spans="1:17">
      <c r="A649" t="s">
        <v>7347</v>
      </c>
      <c r="B649" t="s">
        <v>7346</v>
      </c>
      <c r="C649" t="s">
        <v>5633</v>
      </c>
      <c r="D649" t="s">
        <v>4764</v>
      </c>
      <c r="E649" t="s">
        <v>4763</v>
      </c>
      <c r="F649" t="s">
        <v>4770</v>
      </c>
      <c r="G649" t="s">
        <v>9001</v>
      </c>
      <c r="H649" t="s">
        <v>4766</v>
      </c>
      <c r="I649" t="s">
        <v>211</v>
      </c>
      <c r="K649" t="s">
        <v>5837</v>
      </c>
      <c r="M649" t="s">
        <v>7345</v>
      </c>
      <c r="P649" t="str">
        <f>"Update Project Set Organisation = '"&amp;H649&amp;"' where Project_ID = '"&amp;A649&amp;"'; "</f>
        <v xml:space="preserve">Update Project Set Organisation = 'Maharishi Markandeshwar University Mullana' where Project_ID = 'P0648'; </v>
      </c>
      <c r="Q649" t="str">
        <f>"Update Project Set Library_name = '"&amp;L649&amp;"' , COADD_ID = '"&amp;M649&amp;"' where Project_ID = '"&amp;A649&amp;"'; "</f>
        <v xml:space="preserve">Update Project Set Library_name = '' , COADD_ID = 'CO-ADD:PC0648' where Project_ID = 'P0648'; </v>
      </c>
    </row>
    <row r="650" spans="1:17">
      <c r="A650" t="s">
        <v>7349</v>
      </c>
      <c r="C650" t="s">
        <v>5633</v>
      </c>
      <c r="D650" t="s">
        <v>4353</v>
      </c>
      <c r="E650" t="s">
        <v>4352</v>
      </c>
      <c r="G650" t="s">
        <v>9273</v>
      </c>
      <c r="H650" t="s">
        <v>4357</v>
      </c>
      <c r="I650" t="s">
        <v>253</v>
      </c>
      <c r="K650" t="s">
        <v>5806</v>
      </c>
      <c r="M650" t="s">
        <v>7348</v>
      </c>
      <c r="P650" t="str">
        <f>"Update Project Set Organisation = '"&amp;H650&amp;"' where Project_ID = '"&amp;A650&amp;"'; "</f>
        <v xml:space="preserve">Update Project Set Organisation = 'Zurich University of Applied Sciences (ZHAW)' where Project_ID = 'P0649'; </v>
      </c>
      <c r="Q650" t="str">
        <f>"Update Project Set Library_name = '"&amp;L650&amp;"' , COADD_ID = '"&amp;M650&amp;"' where Project_ID = '"&amp;A650&amp;"'; "</f>
        <v xml:space="preserve">Update Project Set Library_name = '' , COADD_ID = 'CO-ADD:PC0649' where Project_ID = 'P0649'; </v>
      </c>
    </row>
    <row r="651" spans="1:17">
      <c r="A651" t="s">
        <v>7352</v>
      </c>
      <c r="B651" t="s">
        <v>7351</v>
      </c>
      <c r="C651" t="s">
        <v>5633</v>
      </c>
      <c r="D651" t="s">
        <v>4596</v>
      </c>
      <c r="E651" t="s">
        <v>5137</v>
      </c>
      <c r="G651" t="s">
        <v>9024</v>
      </c>
      <c r="H651" t="s">
        <v>517</v>
      </c>
      <c r="I651" t="s">
        <v>14</v>
      </c>
      <c r="K651" t="s">
        <v>5828</v>
      </c>
      <c r="L651" t="s">
        <v>8212</v>
      </c>
      <c r="M651" t="s">
        <v>7350</v>
      </c>
      <c r="N651" s="2">
        <v>45657</v>
      </c>
      <c r="P651" t="str">
        <f>"Update Project Set Organisation = '"&amp;H651&amp;"' where Project_ID = '"&amp;A651&amp;"'; "</f>
        <v xml:space="preserve">Update Project Set Organisation = 'Monash University' where Project_ID = 'P0650'; </v>
      </c>
      <c r="Q651" t="str">
        <f>"Update Project Set Library_name = '"&amp;L651&amp;"' , COADD_ID = '"&amp;M651&amp;"' where Project_ID = '"&amp;A651&amp;"'; "</f>
        <v xml:space="preserve">Update Project Set Library_name = 'Monash University (Australia)' , COADD_ID = 'CO-ADD:PC0650' where Project_ID = 'P0650'; </v>
      </c>
    </row>
    <row r="652" spans="1:17">
      <c r="A652" t="s">
        <v>7355</v>
      </c>
      <c r="B652" t="s">
        <v>7354</v>
      </c>
      <c r="C652" t="s">
        <v>5633</v>
      </c>
      <c r="D652" t="s">
        <v>622</v>
      </c>
      <c r="E652" t="s">
        <v>736</v>
      </c>
      <c r="G652" t="s">
        <v>9036</v>
      </c>
      <c r="H652" t="s">
        <v>472</v>
      </c>
      <c r="I652" t="s">
        <v>211</v>
      </c>
      <c r="K652" t="s">
        <v>5837</v>
      </c>
      <c r="M652" t="s">
        <v>7353</v>
      </c>
      <c r="P652" t="str">
        <f>"Update Project Set Organisation = '"&amp;H652&amp;"' where Project_ID = '"&amp;A652&amp;"'; "</f>
        <v xml:space="preserve">Update Project Set Organisation = 'National Institute of Technology (NIT) Warangal' where Project_ID = 'P0651'; </v>
      </c>
      <c r="Q652" t="str">
        <f>"Update Project Set Library_name = '"&amp;L652&amp;"' , COADD_ID = '"&amp;M652&amp;"' where Project_ID = '"&amp;A652&amp;"'; "</f>
        <v xml:space="preserve">Update Project Set Library_name = '' , COADD_ID = 'CO-ADD:PC0651' where Project_ID = 'P0651'; </v>
      </c>
    </row>
    <row r="653" spans="1:17">
      <c r="A653" t="s">
        <v>7358</v>
      </c>
      <c r="B653" t="s">
        <v>7357</v>
      </c>
      <c r="C653" t="s">
        <v>5633</v>
      </c>
      <c r="D653" t="s">
        <v>862</v>
      </c>
      <c r="E653" t="s">
        <v>2100</v>
      </c>
      <c r="G653" t="s">
        <v>9189</v>
      </c>
      <c r="H653" t="s">
        <v>865</v>
      </c>
      <c r="I653" t="s">
        <v>408</v>
      </c>
      <c r="K653" t="s">
        <v>5828</v>
      </c>
      <c r="L653" t="s">
        <v>8241</v>
      </c>
      <c r="M653" t="s">
        <v>7356</v>
      </c>
      <c r="N653" s="2">
        <v>45657</v>
      </c>
      <c r="P653" t="str">
        <f>"Update Project Set Organisation = '"&amp;H653&amp;"' where Project_ID = '"&amp;A653&amp;"'; "</f>
        <v xml:space="preserve">Update Project Set Organisation = 'University of Porto' where Project_ID = 'P0652'; </v>
      </c>
      <c r="Q653" t="str">
        <f>"Update Project Set Library_name = '"&amp;L653&amp;"' , COADD_ID = '"&amp;M653&amp;"' where Project_ID = '"&amp;A653&amp;"'; "</f>
        <v xml:space="preserve">Update Project Set Library_name = 'University of Porto (Portugal)' , COADD_ID = 'CO-ADD:PC0652' where Project_ID = 'P0652'; </v>
      </c>
    </row>
    <row r="654" spans="1:17">
      <c r="A654" t="s">
        <v>7361</v>
      </c>
      <c r="B654" t="s">
        <v>7360</v>
      </c>
      <c r="C654" t="s">
        <v>5633</v>
      </c>
      <c r="D654" t="s">
        <v>2212</v>
      </c>
      <c r="E654" t="s">
        <v>2211</v>
      </c>
      <c r="F654" t="s">
        <v>3557</v>
      </c>
      <c r="G654" t="s">
        <v>9070</v>
      </c>
      <c r="H654" t="s">
        <v>2214</v>
      </c>
      <c r="I654" t="s">
        <v>75</v>
      </c>
      <c r="K654" t="s">
        <v>5828</v>
      </c>
      <c r="L654" t="s">
        <v>8282</v>
      </c>
      <c r="M654" t="s">
        <v>7359</v>
      </c>
      <c r="N654" s="2">
        <v>45657</v>
      </c>
      <c r="P654" t="str">
        <f>"Update Project Set Organisation = '"&amp;H654&amp;"' where Project_ID = '"&amp;A654&amp;"'; "</f>
        <v xml:space="preserve">Update Project Set Organisation = 'Ryerson Unversity' where Project_ID = 'P0653'; </v>
      </c>
      <c r="Q654" t="str">
        <f>"Update Project Set Library_name = '"&amp;L654&amp;"' , COADD_ID = '"&amp;M654&amp;"' where Project_ID = '"&amp;A654&amp;"'; "</f>
        <v xml:space="preserve">Update Project Set Library_name = 'Ryerson Unversity (Canada)' , COADD_ID = 'CO-ADD:PC0653' where Project_ID = 'P0653'; </v>
      </c>
    </row>
    <row r="655" spans="1:17">
      <c r="A655" t="s">
        <v>7364</v>
      </c>
      <c r="B655" t="s">
        <v>7363</v>
      </c>
      <c r="C655" t="s">
        <v>5633</v>
      </c>
      <c r="D655" t="s">
        <v>4643</v>
      </c>
      <c r="E655" t="s">
        <v>4642</v>
      </c>
      <c r="G655" t="s">
        <v>9068</v>
      </c>
      <c r="H655" t="s">
        <v>4646</v>
      </c>
      <c r="I655" t="s">
        <v>1600</v>
      </c>
      <c r="K655" t="s">
        <v>5828</v>
      </c>
      <c r="L655" t="s">
        <v>5995</v>
      </c>
      <c r="M655" t="s">
        <v>7362</v>
      </c>
      <c r="N655" s="2">
        <v>45657</v>
      </c>
      <c r="P655" t="str">
        <f>"Update Project Set Organisation = '"&amp;H655&amp;"' where Project_ID = '"&amp;A655&amp;"'; "</f>
        <v xml:space="preserve">Update Project Set Organisation = 'Russian Academy of Science' where Project_ID = 'P0654'; </v>
      </c>
      <c r="Q655" t="str">
        <f>"Update Project Set Library_name = '"&amp;L655&amp;"' , COADD_ID = '"&amp;M655&amp;"' where Project_ID = '"&amp;A655&amp;"'; "</f>
        <v xml:space="preserve">Update Project Set Library_name = 'Russian Academy of Science (Russia)' , COADD_ID = 'CO-ADD:PC0654' where Project_ID = 'P0654'; </v>
      </c>
    </row>
    <row r="656" spans="1:17">
      <c r="A656" t="s">
        <v>7367</v>
      </c>
      <c r="B656" t="s">
        <v>7366</v>
      </c>
      <c r="C656" t="s">
        <v>5633</v>
      </c>
      <c r="D656" t="s">
        <v>4643</v>
      </c>
      <c r="E656" t="s">
        <v>4642</v>
      </c>
      <c r="G656" t="s">
        <v>9068</v>
      </c>
      <c r="H656" t="s">
        <v>4646</v>
      </c>
      <c r="I656" t="s">
        <v>1600</v>
      </c>
      <c r="K656" t="s">
        <v>5828</v>
      </c>
      <c r="L656" t="s">
        <v>5995</v>
      </c>
      <c r="M656" t="s">
        <v>7365</v>
      </c>
      <c r="N656" s="2">
        <v>45657</v>
      </c>
      <c r="P656" t="str">
        <f>"Update Project Set Organisation = '"&amp;H656&amp;"' where Project_ID = '"&amp;A656&amp;"'; "</f>
        <v xml:space="preserve">Update Project Set Organisation = 'Russian Academy of Science' where Project_ID = 'P0655'; </v>
      </c>
      <c r="Q656" t="str">
        <f>"Update Project Set Library_name = '"&amp;L656&amp;"' , COADD_ID = '"&amp;M656&amp;"' where Project_ID = '"&amp;A656&amp;"'; "</f>
        <v xml:space="preserve">Update Project Set Library_name = 'Russian Academy of Science (Russia)' , COADD_ID = 'CO-ADD:PC0655' where Project_ID = 'P0655'; </v>
      </c>
    </row>
    <row r="657" spans="1:17">
      <c r="A657" t="s">
        <v>7370</v>
      </c>
      <c r="B657" t="s">
        <v>7369</v>
      </c>
      <c r="C657" t="s">
        <v>5633</v>
      </c>
      <c r="D657" t="s">
        <v>377</v>
      </c>
      <c r="E657" t="s">
        <v>3763</v>
      </c>
      <c r="F657" t="s">
        <v>376</v>
      </c>
      <c r="G657" t="s">
        <v>9150</v>
      </c>
      <c r="H657" t="s">
        <v>381</v>
      </c>
      <c r="I657" t="s">
        <v>269</v>
      </c>
      <c r="K657" t="s">
        <v>5828</v>
      </c>
      <c r="L657" t="s">
        <v>8260</v>
      </c>
      <c r="M657" t="s">
        <v>7368</v>
      </c>
      <c r="N657" s="2">
        <v>45657</v>
      </c>
      <c r="P657" t="str">
        <f>"Update Project Set Organisation = '"&amp;H657&amp;"' where Project_ID = '"&amp;A657&amp;"'; "</f>
        <v xml:space="preserve">Update Project Set Organisation = 'University of East Anglia' where Project_ID = 'P0656'; </v>
      </c>
      <c r="Q657" t="str">
        <f>"Update Project Set Library_name = '"&amp;L657&amp;"' , COADD_ID = '"&amp;M657&amp;"' where Project_ID = '"&amp;A657&amp;"'; "</f>
        <v xml:space="preserve">Update Project Set Library_name = 'University of East Anglia (United Kingdom)' , COADD_ID = 'CO-ADD:PC0656' where Project_ID = 'P0656'; </v>
      </c>
    </row>
    <row r="658" spans="1:17">
      <c r="A658" t="s">
        <v>7373</v>
      </c>
      <c r="B658" t="s">
        <v>7372</v>
      </c>
      <c r="C658" t="s">
        <v>5633</v>
      </c>
      <c r="D658" t="s">
        <v>3160</v>
      </c>
      <c r="E658" t="s">
        <v>3159</v>
      </c>
      <c r="F658" t="s">
        <v>3753</v>
      </c>
      <c r="G658" t="s">
        <v>9110</v>
      </c>
      <c r="H658" t="s">
        <v>3164</v>
      </c>
      <c r="I658" t="s">
        <v>75</v>
      </c>
      <c r="K658" t="s">
        <v>5828</v>
      </c>
      <c r="L658" t="s">
        <v>8283</v>
      </c>
      <c r="M658" t="s">
        <v>7371</v>
      </c>
      <c r="N658" s="2">
        <v>45657</v>
      </c>
      <c r="P658" t="str">
        <f>"Update Project Set Organisation = '"&amp;H658&amp;"' where Project_ID = '"&amp;A658&amp;"'; "</f>
        <v xml:space="preserve">Update Project Set Organisation = 'Université de Sherbrooke' where Project_ID = 'P0657'; </v>
      </c>
      <c r="Q658" t="str">
        <f>"Update Project Set Library_name = '"&amp;L658&amp;"' , COADD_ID = '"&amp;M658&amp;"' where Project_ID = '"&amp;A658&amp;"'; "</f>
        <v xml:space="preserve">Update Project Set Library_name = 'Université de Sherbrooke (Canada)' , COADD_ID = 'CO-ADD:PC0657' where Project_ID = 'P0657'; </v>
      </c>
    </row>
    <row r="659" spans="1:17">
      <c r="A659" t="s">
        <v>7375</v>
      </c>
      <c r="C659" t="s">
        <v>5633</v>
      </c>
      <c r="D659" t="s">
        <v>367</v>
      </c>
      <c r="E659" t="s">
        <v>1529</v>
      </c>
      <c r="G659" t="s">
        <v>9059</v>
      </c>
      <c r="H659" t="s">
        <v>371</v>
      </c>
      <c r="I659" t="s">
        <v>14</v>
      </c>
      <c r="K659" t="s">
        <v>5843</v>
      </c>
      <c r="M659" t="s">
        <v>7374</v>
      </c>
      <c r="P659" t="str">
        <f>"Update Project Set Organisation = '"&amp;H659&amp;"' where Project_ID = '"&amp;A659&amp;"'; "</f>
        <v xml:space="preserve">Update Project Set Organisation = 'Queensland University of Technology' where Project_ID = 'P0658'; </v>
      </c>
      <c r="Q659" t="str">
        <f>"Update Project Set Library_name = '"&amp;L659&amp;"' , COADD_ID = '"&amp;M659&amp;"' where Project_ID = '"&amp;A659&amp;"'; "</f>
        <v xml:space="preserve">Update Project Set Library_name = '' , COADD_ID = 'CO-ADD:PC0658' where Project_ID = 'P0658'; </v>
      </c>
    </row>
    <row r="660" spans="1:17">
      <c r="A660" t="s">
        <v>7377</v>
      </c>
      <c r="C660" t="s">
        <v>5633</v>
      </c>
      <c r="D660" t="s">
        <v>1581</v>
      </c>
      <c r="E660" t="s">
        <v>1580</v>
      </c>
      <c r="G660" t="s">
        <v>8976</v>
      </c>
      <c r="H660" t="s">
        <v>208</v>
      </c>
      <c r="I660" t="s">
        <v>211</v>
      </c>
      <c r="K660" t="s">
        <v>5828</v>
      </c>
      <c r="L660" t="s">
        <v>6572</v>
      </c>
      <c r="M660" t="s">
        <v>7376</v>
      </c>
      <c r="N660" s="2">
        <v>45657</v>
      </c>
      <c r="P660" t="str">
        <f>"Update Project Set Organisation = '"&amp;H660&amp;"' where Project_ID = '"&amp;A660&amp;"'; "</f>
        <v xml:space="preserve">Update Project Set Organisation = 'Jain University' where Project_ID = 'P0659'; </v>
      </c>
      <c r="Q660" t="str">
        <f>"Update Project Set Library_name = '"&amp;L660&amp;"' , COADD_ID = '"&amp;M660&amp;"' where Project_ID = '"&amp;A660&amp;"'; "</f>
        <v xml:space="preserve">Update Project Set Library_name = 'Jain University (India)' , COADD_ID = 'CO-ADD:PC0659' where Project_ID = 'P0659'; </v>
      </c>
    </row>
    <row r="661" spans="1:17">
      <c r="A661" t="s">
        <v>7380</v>
      </c>
      <c r="B661" t="s">
        <v>7379</v>
      </c>
      <c r="C661" t="s">
        <v>5633</v>
      </c>
      <c r="D661" t="s">
        <v>917</v>
      </c>
      <c r="E661" t="s">
        <v>916</v>
      </c>
      <c r="G661" t="s">
        <v>8930</v>
      </c>
      <c r="H661" t="s">
        <v>920</v>
      </c>
      <c r="I661" t="s">
        <v>269</v>
      </c>
      <c r="K661" t="s">
        <v>5828</v>
      </c>
      <c r="L661" t="s">
        <v>8284</v>
      </c>
      <c r="M661" t="s">
        <v>7378</v>
      </c>
      <c r="N661" s="2">
        <v>45657</v>
      </c>
      <c r="P661" t="str">
        <f>"Update Project Set Organisation = '"&amp;H661&amp;"' where Project_ID = '"&amp;A661&amp;"'; "</f>
        <v xml:space="preserve">Update Project Set Organisation = 'Durham University' where Project_ID = 'P0660'; </v>
      </c>
      <c r="Q661" t="str">
        <f>"Update Project Set Library_name = '"&amp;L661&amp;"' , COADD_ID = '"&amp;M661&amp;"' where Project_ID = '"&amp;A661&amp;"'; "</f>
        <v xml:space="preserve">Update Project Set Library_name = 'Durham University (United Kingdom)' , COADD_ID = 'CO-ADD:PC0660' where Project_ID = 'P0660'; </v>
      </c>
    </row>
    <row r="662" spans="1:17">
      <c r="A662" t="s">
        <v>7383</v>
      </c>
      <c r="B662" t="s">
        <v>7382</v>
      </c>
      <c r="C662" t="s">
        <v>5633</v>
      </c>
      <c r="D662" t="s">
        <v>17</v>
      </c>
      <c r="E662" t="s">
        <v>4699</v>
      </c>
      <c r="G662" t="s">
        <v>9170</v>
      </c>
      <c r="H662" t="s">
        <v>22</v>
      </c>
      <c r="I662" t="s">
        <v>25</v>
      </c>
      <c r="K662" t="s">
        <v>5828</v>
      </c>
      <c r="L662" t="s">
        <v>6162</v>
      </c>
      <c r="M662" t="s">
        <v>7381</v>
      </c>
      <c r="N662" s="2">
        <v>45657</v>
      </c>
      <c r="P662" t="str">
        <f>"Update Project Set Organisation = '"&amp;H662&amp;"' where Project_ID = '"&amp;A662&amp;"'; "</f>
        <v xml:space="preserve">Update Project Set Organisation = 'University of Mosul' where Project_ID = 'P0661'; </v>
      </c>
      <c r="Q662" t="str">
        <f>"Update Project Set Library_name = '"&amp;L662&amp;"' , COADD_ID = '"&amp;M662&amp;"' where Project_ID = '"&amp;A662&amp;"'; "</f>
        <v xml:space="preserve">Update Project Set Library_name = 'University of Mosul (Iraq)' , COADD_ID = 'CO-ADD:PC0661' where Project_ID = 'P0661'; </v>
      </c>
    </row>
    <row r="663" spans="1:17">
      <c r="A663" t="s">
        <v>7386</v>
      </c>
      <c r="B663" t="s">
        <v>7385</v>
      </c>
      <c r="C663" t="s">
        <v>5633</v>
      </c>
      <c r="D663" t="s">
        <v>4643</v>
      </c>
      <c r="E663" t="s">
        <v>4642</v>
      </c>
      <c r="G663" t="s">
        <v>9068</v>
      </c>
      <c r="H663" t="s">
        <v>4646</v>
      </c>
      <c r="I663" t="s">
        <v>1600</v>
      </c>
      <c r="K663" t="s">
        <v>5828</v>
      </c>
      <c r="L663" t="s">
        <v>5995</v>
      </c>
      <c r="M663" t="s">
        <v>7384</v>
      </c>
      <c r="N663" s="2">
        <v>45657</v>
      </c>
      <c r="P663" t="str">
        <f>"Update Project Set Organisation = '"&amp;H663&amp;"' where Project_ID = '"&amp;A663&amp;"'; "</f>
        <v xml:space="preserve">Update Project Set Organisation = 'Russian Academy of Science' where Project_ID = 'P0662'; </v>
      </c>
      <c r="Q663" t="str">
        <f>"Update Project Set Library_name = '"&amp;L663&amp;"' , COADD_ID = '"&amp;M663&amp;"' where Project_ID = '"&amp;A663&amp;"'; "</f>
        <v xml:space="preserve">Update Project Set Library_name = 'Russian Academy of Science (Russia)' , COADD_ID = 'CO-ADD:PC0662' where Project_ID = 'P0662'; </v>
      </c>
    </row>
    <row r="664" spans="1:17">
      <c r="A664" t="s">
        <v>7389</v>
      </c>
      <c r="B664" t="s">
        <v>7388</v>
      </c>
      <c r="C664" t="s">
        <v>5633</v>
      </c>
      <c r="D664" t="s">
        <v>4643</v>
      </c>
      <c r="E664" t="s">
        <v>4642</v>
      </c>
      <c r="G664" t="s">
        <v>9068</v>
      </c>
      <c r="H664" t="s">
        <v>4646</v>
      </c>
      <c r="I664" t="s">
        <v>1600</v>
      </c>
      <c r="K664" t="s">
        <v>5828</v>
      </c>
      <c r="L664" t="s">
        <v>5995</v>
      </c>
      <c r="M664" t="s">
        <v>7387</v>
      </c>
      <c r="N664" s="2">
        <v>45657</v>
      </c>
      <c r="P664" t="str">
        <f>"Update Project Set Organisation = '"&amp;H664&amp;"' where Project_ID = '"&amp;A664&amp;"'; "</f>
        <v xml:space="preserve">Update Project Set Organisation = 'Russian Academy of Science' where Project_ID = 'P0663'; </v>
      </c>
      <c r="Q664" t="str">
        <f>"Update Project Set Library_name = '"&amp;L664&amp;"' , COADD_ID = '"&amp;M664&amp;"' where Project_ID = '"&amp;A664&amp;"'; "</f>
        <v xml:space="preserve">Update Project Set Library_name = 'Russian Academy of Science (Russia)' , COADD_ID = 'CO-ADD:PC0663' where Project_ID = 'P0663'; </v>
      </c>
    </row>
    <row r="665" spans="1:17">
      <c r="A665" t="s">
        <v>7392</v>
      </c>
      <c r="B665" t="s">
        <v>7391</v>
      </c>
      <c r="C665" t="s">
        <v>5633</v>
      </c>
      <c r="D665" t="s">
        <v>4643</v>
      </c>
      <c r="E665" t="s">
        <v>4642</v>
      </c>
      <c r="G665" t="s">
        <v>9068</v>
      </c>
      <c r="H665" t="s">
        <v>4646</v>
      </c>
      <c r="I665" t="s">
        <v>1600</v>
      </c>
      <c r="K665" t="s">
        <v>5828</v>
      </c>
      <c r="L665" t="s">
        <v>5995</v>
      </c>
      <c r="M665" t="s">
        <v>7390</v>
      </c>
      <c r="N665" s="2">
        <v>45657</v>
      </c>
      <c r="P665" t="str">
        <f>"Update Project Set Organisation = '"&amp;H665&amp;"' where Project_ID = '"&amp;A665&amp;"'; "</f>
        <v xml:space="preserve">Update Project Set Organisation = 'Russian Academy of Science' where Project_ID = 'P0664'; </v>
      </c>
      <c r="Q665" t="str">
        <f>"Update Project Set Library_name = '"&amp;L665&amp;"' , COADD_ID = '"&amp;M665&amp;"' where Project_ID = '"&amp;A665&amp;"'; "</f>
        <v xml:space="preserve">Update Project Set Library_name = 'Russian Academy of Science (Russia)' , COADD_ID = 'CO-ADD:PC0664' where Project_ID = 'P0664'; </v>
      </c>
    </row>
    <row r="666" spans="1:17">
      <c r="A666" t="s">
        <v>7395</v>
      </c>
      <c r="B666" t="s">
        <v>7394</v>
      </c>
      <c r="C666" t="s">
        <v>5633</v>
      </c>
      <c r="D666" t="s">
        <v>4824</v>
      </c>
      <c r="E666" t="s">
        <v>4823</v>
      </c>
      <c r="G666" t="s">
        <v>9144</v>
      </c>
      <c r="H666" t="s">
        <v>3052</v>
      </c>
      <c r="I666" t="s">
        <v>269</v>
      </c>
      <c r="K666" t="s">
        <v>5828</v>
      </c>
      <c r="L666" t="s">
        <v>8285</v>
      </c>
      <c r="M666" t="s">
        <v>7393</v>
      </c>
      <c r="N666" s="2">
        <v>45657</v>
      </c>
      <c r="P666" t="str">
        <f>"Update Project Set Organisation = '"&amp;H666&amp;"' where Project_ID = '"&amp;A666&amp;"'; "</f>
        <v xml:space="preserve">Update Project Set Organisation = 'University of Central Lancashire' where Project_ID = 'P0665'; </v>
      </c>
      <c r="Q666" t="str">
        <f>"Update Project Set Library_name = '"&amp;L666&amp;"' , COADD_ID = '"&amp;M666&amp;"' where Project_ID = '"&amp;A666&amp;"'; "</f>
        <v xml:space="preserve">Update Project Set Library_name = 'University of Central Lancashire (United Kingdom)' , COADD_ID = 'CO-ADD:PC0665' where Project_ID = 'P0665'; </v>
      </c>
    </row>
    <row r="667" spans="1:17">
      <c r="A667" t="s">
        <v>7398</v>
      </c>
      <c r="B667" t="s">
        <v>7397</v>
      </c>
      <c r="C667" t="s">
        <v>5633</v>
      </c>
      <c r="D667" t="s">
        <v>2669</v>
      </c>
      <c r="E667" t="s">
        <v>5251</v>
      </c>
      <c r="F667" t="s">
        <v>3736</v>
      </c>
      <c r="G667" t="s">
        <v>8937</v>
      </c>
      <c r="H667" t="s">
        <v>2672</v>
      </c>
      <c r="I667" t="s">
        <v>2674</v>
      </c>
      <c r="K667" t="s">
        <v>5828</v>
      </c>
      <c r="L667" t="s">
        <v>8286</v>
      </c>
      <c r="M667" t="s">
        <v>7396</v>
      </c>
      <c r="N667" s="2">
        <v>45657</v>
      </c>
      <c r="P667" t="str">
        <f>"Update Project Set Organisation = '"&amp;H667&amp;"' where Project_ID = '"&amp;A667&amp;"'; "</f>
        <v xml:space="preserve">Update Project Set Organisation = 'Federal Urdu University of Arts, Science and Technology' where Project_ID = 'P0666'; </v>
      </c>
      <c r="Q667" t="str">
        <f>"Update Project Set Library_name = '"&amp;L667&amp;"' , COADD_ID = '"&amp;M667&amp;"' where Project_ID = '"&amp;A667&amp;"'; "</f>
        <v xml:space="preserve">Update Project Set Library_name = 'Federal Urdu University of Arts, Science and Technology (Pakistan)' , COADD_ID = 'CO-ADD:PC0666' where Project_ID = 'P0666'; </v>
      </c>
    </row>
    <row r="668" spans="1:17">
      <c r="A668" t="s">
        <v>7401</v>
      </c>
      <c r="B668" t="s">
        <v>7400</v>
      </c>
      <c r="C668" t="s">
        <v>5633</v>
      </c>
      <c r="D668" t="s">
        <v>968</v>
      </c>
      <c r="E668" t="s">
        <v>1523</v>
      </c>
      <c r="F668" t="s">
        <v>2750</v>
      </c>
      <c r="G668" t="s">
        <v>8983</v>
      </c>
      <c r="H668" t="s">
        <v>971</v>
      </c>
      <c r="I668" t="s">
        <v>557</v>
      </c>
      <c r="K668" t="s">
        <v>5806</v>
      </c>
      <c r="M668" t="s">
        <v>7399</v>
      </c>
      <c r="P668" t="str">
        <f>"Update Project Set Organisation = '"&amp;H668&amp;"' where Project_ID = '"&amp;A668&amp;"'; "</f>
        <v xml:space="preserve">Update Project Set Organisation = 'Karlsruhe Institute of Technology (KIT)' where Project_ID = 'P0667'; </v>
      </c>
      <c r="Q668" t="str">
        <f>"Update Project Set Library_name = '"&amp;L668&amp;"' , COADD_ID = '"&amp;M668&amp;"' where Project_ID = '"&amp;A668&amp;"'; "</f>
        <v xml:space="preserve">Update Project Set Library_name = '' , COADD_ID = 'CO-ADD:PC0667' where Project_ID = 'P0667'; </v>
      </c>
    </row>
    <row r="669" spans="1:17">
      <c r="A669" t="s">
        <v>7404</v>
      </c>
      <c r="B669" t="s">
        <v>7403</v>
      </c>
      <c r="C669" t="s">
        <v>5633</v>
      </c>
      <c r="D669" t="s">
        <v>2735</v>
      </c>
      <c r="E669" t="s">
        <v>2734</v>
      </c>
      <c r="G669" t="s">
        <v>9133</v>
      </c>
      <c r="H669" t="s">
        <v>596</v>
      </c>
      <c r="I669" t="s">
        <v>223</v>
      </c>
      <c r="K669" t="s">
        <v>5828</v>
      </c>
      <c r="L669" t="s">
        <v>8167</v>
      </c>
      <c r="M669" t="s">
        <v>7402</v>
      </c>
      <c r="N669" s="2">
        <v>45657</v>
      </c>
      <c r="P669" t="str">
        <f>"Update Project Set Organisation = '"&amp;H669&amp;"' where Project_ID = '"&amp;A669&amp;"'; "</f>
        <v xml:space="preserve">Update Project Set Organisation = 'University of Auckland' where Project_ID = 'P0668'; </v>
      </c>
      <c r="Q669" t="str">
        <f>"Update Project Set Library_name = '"&amp;L669&amp;"' , COADD_ID = '"&amp;M669&amp;"' where Project_ID = '"&amp;A669&amp;"'; "</f>
        <v xml:space="preserve">Update Project Set Library_name = 'University of Auckland (New Zealand)' , COADD_ID = 'CO-ADD:PC0668' where Project_ID = 'P0668'; </v>
      </c>
    </row>
    <row r="670" spans="1:17">
      <c r="A670" t="s">
        <v>7407</v>
      </c>
      <c r="B670" t="s">
        <v>7406</v>
      </c>
      <c r="C670" t="s">
        <v>5633</v>
      </c>
      <c r="D670" t="s">
        <v>1102</v>
      </c>
      <c r="E670" t="s">
        <v>1101</v>
      </c>
      <c r="G670" t="s">
        <v>9254</v>
      </c>
      <c r="H670" t="s">
        <v>1105</v>
      </c>
      <c r="I670" t="s">
        <v>117</v>
      </c>
      <c r="K670" t="s">
        <v>5828</v>
      </c>
      <c r="L670" t="s">
        <v>8187</v>
      </c>
      <c r="M670" t="s">
        <v>7405</v>
      </c>
      <c r="N670" s="2">
        <v>45657</v>
      </c>
      <c r="P670" t="str">
        <f>"Update Project Set Organisation = '"&amp;H670&amp;"' where Project_ID = '"&amp;A670&amp;"'; "</f>
        <v xml:space="preserve">Update Project Set Organisation = 'Vanderbilt University' where Project_ID = 'P0669'; </v>
      </c>
      <c r="Q670" t="str">
        <f>"Update Project Set Library_name = '"&amp;L670&amp;"' , COADD_ID = '"&amp;M670&amp;"' where Project_ID = '"&amp;A670&amp;"'; "</f>
        <v xml:space="preserve">Update Project Set Library_name = 'Vanderbilt University (United States)' , COADD_ID = 'CO-ADD:PC0669' where Project_ID = 'P0669'; </v>
      </c>
    </row>
    <row r="671" spans="1:17">
      <c r="A671" t="s">
        <v>7410</v>
      </c>
      <c r="B671" t="s">
        <v>7409</v>
      </c>
      <c r="C671" t="s">
        <v>5633</v>
      </c>
      <c r="D671" t="s">
        <v>4023</v>
      </c>
      <c r="E671" t="s">
        <v>4022</v>
      </c>
      <c r="F671" t="s">
        <v>4022</v>
      </c>
      <c r="G671" t="s">
        <v>8975</v>
      </c>
      <c r="H671" t="s">
        <v>208</v>
      </c>
      <c r="I671" t="s">
        <v>211</v>
      </c>
      <c r="K671" t="s">
        <v>5828</v>
      </c>
      <c r="L671" t="s">
        <v>6572</v>
      </c>
      <c r="M671" t="s">
        <v>7408</v>
      </c>
      <c r="N671" s="2">
        <v>45657</v>
      </c>
      <c r="P671" t="str">
        <f>"Update Project Set Organisation = '"&amp;H671&amp;"' where Project_ID = '"&amp;A671&amp;"'; "</f>
        <v xml:space="preserve">Update Project Set Organisation = 'Jain University' where Project_ID = 'P0670'; </v>
      </c>
      <c r="Q671" t="str">
        <f>"Update Project Set Library_name = '"&amp;L671&amp;"' , COADD_ID = '"&amp;M671&amp;"' where Project_ID = '"&amp;A671&amp;"'; "</f>
        <v xml:space="preserve">Update Project Set Library_name = 'Jain University (India)' , COADD_ID = 'CO-ADD:PC0670' where Project_ID = 'P0670'; </v>
      </c>
    </row>
    <row r="672" spans="1:17">
      <c r="A672" t="s">
        <v>7413</v>
      </c>
      <c r="B672" t="s">
        <v>7412</v>
      </c>
      <c r="C672" t="s">
        <v>5633</v>
      </c>
      <c r="D672" t="s">
        <v>2258</v>
      </c>
      <c r="E672" t="s">
        <v>3319</v>
      </c>
      <c r="G672" t="s">
        <v>9175</v>
      </c>
      <c r="H672" t="s">
        <v>1539</v>
      </c>
      <c r="I672" t="s">
        <v>14</v>
      </c>
      <c r="K672" t="s">
        <v>5828</v>
      </c>
      <c r="L672" t="s">
        <v>8245</v>
      </c>
      <c r="M672" t="s">
        <v>7411</v>
      </c>
      <c r="N672" s="2">
        <v>45657</v>
      </c>
      <c r="P672" t="str">
        <f>"Update Project Set Organisation = '"&amp;H672&amp;"' where Project_ID = '"&amp;A672&amp;"'; "</f>
        <v xml:space="preserve">Update Project Set Organisation = 'University of New England' where Project_ID = 'P0671'; </v>
      </c>
      <c r="Q672" t="str">
        <f>"Update Project Set Library_name = '"&amp;L672&amp;"' , COADD_ID = '"&amp;M672&amp;"' where Project_ID = '"&amp;A672&amp;"'; "</f>
        <v xml:space="preserve">Update Project Set Library_name = 'University of New England (Australia)' , COADD_ID = 'CO-ADD:PC0671' where Project_ID = 'P0671'; </v>
      </c>
    </row>
    <row r="673" spans="1:17">
      <c r="A673" t="s">
        <v>7416</v>
      </c>
      <c r="B673" t="s">
        <v>7415</v>
      </c>
      <c r="C673" t="s">
        <v>5633</v>
      </c>
      <c r="D673" t="s">
        <v>4643</v>
      </c>
      <c r="E673" t="s">
        <v>4642</v>
      </c>
      <c r="G673" t="s">
        <v>9068</v>
      </c>
      <c r="H673" t="s">
        <v>4646</v>
      </c>
      <c r="I673" t="s">
        <v>1600</v>
      </c>
      <c r="K673" t="s">
        <v>5828</v>
      </c>
      <c r="L673" t="s">
        <v>5995</v>
      </c>
      <c r="M673" t="s">
        <v>7414</v>
      </c>
      <c r="N673" s="2">
        <v>45657</v>
      </c>
      <c r="P673" t="str">
        <f>"Update Project Set Organisation = '"&amp;H673&amp;"' where Project_ID = '"&amp;A673&amp;"'; "</f>
        <v xml:space="preserve">Update Project Set Organisation = 'Russian Academy of Science' where Project_ID = 'P0672'; </v>
      </c>
      <c r="Q673" t="str">
        <f>"Update Project Set Library_name = '"&amp;L673&amp;"' , COADD_ID = '"&amp;M673&amp;"' where Project_ID = '"&amp;A673&amp;"'; "</f>
        <v xml:space="preserve">Update Project Set Library_name = 'Russian Academy of Science (Russia)' , COADD_ID = 'CO-ADD:PC0672' where Project_ID = 'P0672'; </v>
      </c>
    </row>
    <row r="674" spans="1:17">
      <c r="A674" t="s">
        <v>7418</v>
      </c>
      <c r="C674" t="s">
        <v>5633</v>
      </c>
      <c r="D674" t="s">
        <v>1020</v>
      </c>
      <c r="E674" t="s">
        <v>1312</v>
      </c>
      <c r="G674" t="s">
        <v>9131</v>
      </c>
      <c r="H674" t="s">
        <v>596</v>
      </c>
      <c r="I674" t="s">
        <v>223</v>
      </c>
      <c r="K674" t="s">
        <v>5828</v>
      </c>
      <c r="L674" t="s">
        <v>8167</v>
      </c>
      <c r="M674" t="s">
        <v>7417</v>
      </c>
      <c r="N674" s="2">
        <v>45657</v>
      </c>
      <c r="P674" t="str">
        <f>"Update Project Set Organisation = '"&amp;H674&amp;"' where Project_ID = '"&amp;A674&amp;"'; "</f>
        <v xml:space="preserve">Update Project Set Organisation = 'University of Auckland' where Project_ID = 'P0673'; </v>
      </c>
      <c r="Q674" t="str">
        <f>"Update Project Set Library_name = '"&amp;L674&amp;"' , COADD_ID = '"&amp;M674&amp;"' where Project_ID = '"&amp;A674&amp;"'; "</f>
        <v xml:space="preserve">Update Project Set Library_name = 'University of Auckland (New Zealand)' , COADD_ID = 'CO-ADD:PC0673' where Project_ID = 'P0673'; </v>
      </c>
    </row>
    <row r="675" spans="1:17">
      <c r="A675" t="s">
        <v>7421</v>
      </c>
      <c r="B675" t="s">
        <v>7420</v>
      </c>
      <c r="C675" t="s">
        <v>5633</v>
      </c>
      <c r="D675" t="s">
        <v>4643</v>
      </c>
      <c r="E675" t="s">
        <v>4642</v>
      </c>
      <c r="G675" t="s">
        <v>9068</v>
      </c>
      <c r="H675" t="s">
        <v>4646</v>
      </c>
      <c r="I675" t="s">
        <v>1600</v>
      </c>
      <c r="K675" t="s">
        <v>5828</v>
      </c>
      <c r="L675" t="s">
        <v>5995</v>
      </c>
      <c r="M675" t="s">
        <v>7419</v>
      </c>
      <c r="N675" s="2">
        <v>45657</v>
      </c>
      <c r="P675" t="str">
        <f>"Update Project Set Organisation = '"&amp;H675&amp;"' where Project_ID = '"&amp;A675&amp;"'; "</f>
        <v xml:space="preserve">Update Project Set Organisation = 'Russian Academy of Science' where Project_ID = 'P0674'; </v>
      </c>
      <c r="Q675" t="str">
        <f>"Update Project Set Library_name = '"&amp;L675&amp;"' , COADD_ID = '"&amp;M675&amp;"' where Project_ID = '"&amp;A675&amp;"'; "</f>
        <v xml:space="preserve">Update Project Set Library_name = 'Russian Academy of Science (Russia)' , COADD_ID = 'CO-ADD:PC0674' where Project_ID = 'P0674'; </v>
      </c>
    </row>
    <row r="676" spans="1:17">
      <c r="A676" t="s">
        <v>7424</v>
      </c>
      <c r="B676" t="s">
        <v>7423</v>
      </c>
      <c r="C676" t="s">
        <v>5633</v>
      </c>
      <c r="D676" t="s">
        <v>4643</v>
      </c>
      <c r="E676" t="s">
        <v>4642</v>
      </c>
      <c r="G676" t="s">
        <v>9068</v>
      </c>
      <c r="H676" t="s">
        <v>4646</v>
      </c>
      <c r="I676" t="s">
        <v>1600</v>
      </c>
      <c r="K676" t="s">
        <v>5828</v>
      </c>
      <c r="L676" t="s">
        <v>5995</v>
      </c>
      <c r="M676" t="s">
        <v>7422</v>
      </c>
      <c r="N676" s="2">
        <v>45657</v>
      </c>
      <c r="P676" t="str">
        <f>"Update Project Set Organisation = '"&amp;H676&amp;"' where Project_ID = '"&amp;A676&amp;"'; "</f>
        <v xml:space="preserve">Update Project Set Organisation = 'Russian Academy of Science' where Project_ID = 'P0675'; </v>
      </c>
      <c r="Q676" t="str">
        <f>"Update Project Set Library_name = '"&amp;L676&amp;"' , COADD_ID = '"&amp;M676&amp;"' where Project_ID = '"&amp;A676&amp;"'; "</f>
        <v xml:space="preserve">Update Project Set Library_name = 'Russian Academy of Science (Russia)' , COADD_ID = 'CO-ADD:PC0675' where Project_ID = 'P0675'; </v>
      </c>
    </row>
    <row r="677" spans="1:17">
      <c r="A677" t="s">
        <v>7426</v>
      </c>
      <c r="C677" t="s">
        <v>5633</v>
      </c>
      <c r="D677" t="s">
        <v>1828</v>
      </c>
      <c r="E677" t="s">
        <v>1827</v>
      </c>
      <c r="G677" t="s">
        <v>9077</v>
      </c>
      <c r="H677" t="s">
        <v>1832</v>
      </c>
      <c r="I677" t="s">
        <v>55</v>
      </c>
      <c r="K677" t="s">
        <v>5828</v>
      </c>
      <c r="L677" t="s">
        <v>8287</v>
      </c>
      <c r="M677" t="s">
        <v>7425</v>
      </c>
      <c r="N677" s="2">
        <v>45657</v>
      </c>
      <c r="P677" t="str">
        <f>"Update Project Set Organisation = '"&amp;H677&amp;"' where Project_ID = '"&amp;A677&amp;"'; "</f>
        <v xml:space="preserve">Update Project Set Organisation = 'Sinai University' where Project_ID = 'P0676'; </v>
      </c>
      <c r="Q677" t="str">
        <f>"Update Project Set Library_name = '"&amp;L677&amp;"' , COADD_ID = '"&amp;M677&amp;"' where Project_ID = '"&amp;A677&amp;"'; "</f>
        <v xml:space="preserve">Update Project Set Library_name = 'Sinai University (Egypt)' , COADD_ID = 'CO-ADD:PC0676' where Project_ID = 'P0676'; </v>
      </c>
    </row>
    <row r="678" spans="1:17">
      <c r="A678" t="s">
        <v>7428</v>
      </c>
      <c r="C678" t="s">
        <v>5633</v>
      </c>
      <c r="D678" t="s">
        <v>1681</v>
      </c>
      <c r="E678" t="s">
        <v>1680</v>
      </c>
      <c r="F678" t="s">
        <v>3139</v>
      </c>
      <c r="G678" t="s">
        <v>9097</v>
      </c>
      <c r="H678" t="s">
        <v>1684</v>
      </c>
      <c r="I678" t="s">
        <v>481</v>
      </c>
      <c r="K678" t="s">
        <v>5828</v>
      </c>
      <c r="L678" t="s">
        <v>8274</v>
      </c>
      <c r="M678" t="s">
        <v>7427</v>
      </c>
      <c r="N678" s="2">
        <v>45657</v>
      </c>
      <c r="P678" t="str">
        <f>"Update Project Set Organisation = '"&amp;H678&amp;"' where Project_ID = '"&amp;A678&amp;"'; "</f>
        <v xml:space="preserve">Update Project Set Organisation = 'Universidad de Buenos Aires' where Project_ID = 'P0677'; </v>
      </c>
      <c r="Q678" t="str">
        <f>"Update Project Set Library_name = '"&amp;L678&amp;"' , COADD_ID = '"&amp;M678&amp;"' where Project_ID = '"&amp;A678&amp;"'; "</f>
        <v xml:space="preserve">Update Project Set Library_name = 'Universidad de Buenos Aires (Argentina)' , COADD_ID = 'CO-ADD:PC0677' where Project_ID = 'P0677'; </v>
      </c>
    </row>
    <row r="679" spans="1:17">
      <c r="A679" t="s">
        <v>7431</v>
      </c>
      <c r="B679" t="s">
        <v>7430</v>
      </c>
      <c r="C679" t="s">
        <v>5633</v>
      </c>
      <c r="D679" t="s">
        <v>4643</v>
      </c>
      <c r="E679" t="s">
        <v>4642</v>
      </c>
      <c r="G679" t="s">
        <v>9068</v>
      </c>
      <c r="H679" t="s">
        <v>4646</v>
      </c>
      <c r="I679" t="s">
        <v>1600</v>
      </c>
      <c r="K679" t="s">
        <v>5828</v>
      </c>
      <c r="L679" t="s">
        <v>5995</v>
      </c>
      <c r="M679" t="s">
        <v>7429</v>
      </c>
      <c r="N679" s="2">
        <v>45657</v>
      </c>
      <c r="P679" t="str">
        <f>"Update Project Set Organisation = '"&amp;H679&amp;"' where Project_ID = '"&amp;A679&amp;"'; "</f>
        <v xml:space="preserve">Update Project Set Organisation = 'Russian Academy of Science' where Project_ID = 'P0678'; </v>
      </c>
      <c r="Q679" t="str">
        <f>"Update Project Set Library_name = '"&amp;L679&amp;"' , COADD_ID = '"&amp;M679&amp;"' where Project_ID = '"&amp;A679&amp;"'; "</f>
        <v xml:space="preserve">Update Project Set Library_name = 'Russian Academy of Science (Russia)' , COADD_ID = 'CO-ADD:PC0678' where Project_ID = 'P0678'; </v>
      </c>
    </row>
    <row r="680" spans="1:17">
      <c r="A680" t="s">
        <v>7434</v>
      </c>
      <c r="B680" t="s">
        <v>7433</v>
      </c>
      <c r="C680" t="s">
        <v>5633</v>
      </c>
      <c r="D680" t="s">
        <v>4643</v>
      </c>
      <c r="E680" t="s">
        <v>4642</v>
      </c>
      <c r="G680" t="s">
        <v>9068</v>
      </c>
      <c r="H680" t="s">
        <v>4646</v>
      </c>
      <c r="I680" t="s">
        <v>1600</v>
      </c>
      <c r="K680" t="s">
        <v>5828</v>
      </c>
      <c r="L680" t="s">
        <v>5995</v>
      </c>
      <c r="M680" t="s">
        <v>7432</v>
      </c>
      <c r="N680" s="2">
        <v>45657</v>
      </c>
      <c r="P680" t="str">
        <f>"Update Project Set Organisation = '"&amp;H680&amp;"' where Project_ID = '"&amp;A680&amp;"'; "</f>
        <v xml:space="preserve">Update Project Set Organisation = 'Russian Academy of Science' where Project_ID = 'P0679'; </v>
      </c>
      <c r="Q680" t="str">
        <f>"Update Project Set Library_name = '"&amp;L680&amp;"' , COADD_ID = '"&amp;M680&amp;"' where Project_ID = '"&amp;A680&amp;"'; "</f>
        <v xml:space="preserve">Update Project Set Library_name = 'Russian Academy of Science (Russia)' , COADD_ID = 'CO-ADD:PC0679' where Project_ID = 'P0679'; </v>
      </c>
    </row>
    <row r="681" spans="1:17">
      <c r="A681" t="s">
        <v>7436</v>
      </c>
      <c r="C681" t="s">
        <v>5633</v>
      </c>
      <c r="D681" t="s">
        <v>5225</v>
      </c>
      <c r="E681" t="s">
        <v>5224</v>
      </c>
      <c r="G681" t="s">
        <v>9027</v>
      </c>
      <c r="H681" t="s">
        <v>5227</v>
      </c>
      <c r="I681" t="s">
        <v>75</v>
      </c>
      <c r="K681" t="s">
        <v>5828</v>
      </c>
      <c r="L681" t="s">
        <v>8288</v>
      </c>
      <c r="M681" t="s">
        <v>7435</v>
      </c>
      <c r="N681" s="2">
        <v>45657</v>
      </c>
      <c r="P681" t="str">
        <f>"Update Project Set Organisation = '"&amp;H681&amp;"' where Project_ID = '"&amp;A681&amp;"'; "</f>
        <v xml:space="preserve">Update Project Set Organisation = 'Mount Allison University' where Project_ID = 'P0680'; </v>
      </c>
      <c r="Q681" t="str">
        <f>"Update Project Set Library_name = '"&amp;L681&amp;"' , COADD_ID = '"&amp;M681&amp;"' where Project_ID = '"&amp;A681&amp;"'; "</f>
        <v xml:space="preserve">Update Project Set Library_name = 'Mount Allison University (Canada)' , COADD_ID = 'CO-ADD:PC0680' where Project_ID = 'P0680'; </v>
      </c>
    </row>
    <row r="682" spans="1:17">
      <c r="A682" t="s">
        <v>7438</v>
      </c>
      <c r="C682" t="s">
        <v>5633</v>
      </c>
      <c r="D682" t="s">
        <v>2080</v>
      </c>
      <c r="E682" t="s">
        <v>4512</v>
      </c>
      <c r="F682" t="s">
        <v>3878</v>
      </c>
      <c r="G682" t="s">
        <v>8963</v>
      </c>
      <c r="H682" t="s">
        <v>3881</v>
      </c>
      <c r="I682" t="s">
        <v>117</v>
      </c>
      <c r="K682" t="s">
        <v>5828</v>
      </c>
      <c r="L682" t="s">
        <v>8208</v>
      </c>
      <c r="M682" t="s">
        <v>7437</v>
      </c>
      <c r="N682" s="2">
        <v>45657</v>
      </c>
      <c r="P682" t="str">
        <f>"Update Project Set Organisation = '"&amp;H682&amp;"' where Project_ID = '"&amp;A682&amp;"'; "</f>
        <v xml:space="preserve">Update Project Set Organisation = 'Indiana University-Purdue University Indianapolis' where Project_ID = 'P0681'; </v>
      </c>
      <c r="Q682" t="str">
        <f>"Update Project Set Library_name = '"&amp;L682&amp;"' , COADD_ID = '"&amp;M682&amp;"' where Project_ID = '"&amp;A682&amp;"'; "</f>
        <v xml:space="preserve">Update Project Set Library_name = 'Indiana University-Purdue University Indianapolis (United States)' , COADD_ID = 'CO-ADD:PC0681' where Project_ID = 'P0681'; </v>
      </c>
    </row>
    <row r="683" spans="1:17">
      <c r="A683" t="s">
        <v>7440</v>
      </c>
      <c r="C683" t="s">
        <v>5633</v>
      </c>
      <c r="D683" t="s">
        <v>3586</v>
      </c>
      <c r="E683" t="s">
        <v>3585</v>
      </c>
      <c r="G683" t="s">
        <v>9116</v>
      </c>
      <c r="H683" t="s">
        <v>1234</v>
      </c>
      <c r="I683" t="s">
        <v>1235</v>
      </c>
      <c r="K683" t="s">
        <v>5837</v>
      </c>
      <c r="M683" t="s">
        <v>7439</v>
      </c>
      <c r="P683" t="str">
        <f>"Update Project Set Organisation = '"&amp;H683&amp;"' where Project_ID = '"&amp;A683&amp;"'; "</f>
        <v xml:space="preserve">Update Project Set Organisation = 'University College Cork' where Project_ID = 'P0682'; </v>
      </c>
      <c r="Q683" t="str">
        <f>"Update Project Set Library_name = '"&amp;L683&amp;"' , COADD_ID = '"&amp;M683&amp;"' where Project_ID = '"&amp;A683&amp;"'; "</f>
        <v xml:space="preserve">Update Project Set Library_name = '' , COADD_ID = 'CO-ADD:PC0682' where Project_ID = 'P0682'; </v>
      </c>
    </row>
    <row r="684" spans="1:17">
      <c r="A684" t="s">
        <v>7442</v>
      </c>
      <c r="C684" t="s">
        <v>5633</v>
      </c>
      <c r="D684" t="s">
        <v>2611</v>
      </c>
      <c r="E684" t="s">
        <v>2610</v>
      </c>
      <c r="G684" t="s">
        <v>8924</v>
      </c>
      <c r="H684" t="s">
        <v>2614</v>
      </c>
      <c r="I684" t="s">
        <v>748</v>
      </c>
      <c r="K684" t="s">
        <v>5828</v>
      </c>
      <c r="L684" t="s">
        <v>8289</v>
      </c>
      <c r="M684" t="s">
        <v>7441</v>
      </c>
      <c r="N684" s="2">
        <v>45657</v>
      </c>
      <c r="P684" t="str">
        <f>"Update Project Set Organisation = '"&amp;H684&amp;"' where Project_ID = '"&amp;A684&amp;"'; "</f>
        <v xml:space="preserve">Update Project Set Organisation = 'Dalain University of Technology' where Project_ID = 'P0683'; </v>
      </c>
      <c r="Q684" t="str">
        <f>"Update Project Set Library_name = '"&amp;L684&amp;"' , COADD_ID = '"&amp;M684&amp;"' where Project_ID = '"&amp;A684&amp;"'; "</f>
        <v xml:space="preserve">Update Project Set Library_name = 'Dalain University of Technology (China)' , COADD_ID = 'CO-ADD:PC0683' where Project_ID = 'P0683'; </v>
      </c>
    </row>
    <row r="685" spans="1:17">
      <c r="A685" t="s">
        <v>7445</v>
      </c>
      <c r="C685" t="s">
        <v>5633</v>
      </c>
      <c r="D685" t="s">
        <v>2143</v>
      </c>
      <c r="E685" t="s">
        <v>2142</v>
      </c>
      <c r="G685" t="s">
        <v>9013</v>
      </c>
      <c r="H685" t="s">
        <v>2146</v>
      </c>
      <c r="I685" t="s">
        <v>75</v>
      </c>
      <c r="J685" t="s">
        <v>7444</v>
      </c>
      <c r="K685" t="s">
        <v>5828</v>
      </c>
      <c r="L685" t="s">
        <v>8176</v>
      </c>
      <c r="M685" t="s">
        <v>7443</v>
      </c>
      <c r="N685" s="2">
        <v>45657</v>
      </c>
      <c r="P685" t="str">
        <f>"Update Project Set Organisation = '"&amp;H685&amp;"' where Project_ID = '"&amp;A685&amp;"'; "</f>
        <v xml:space="preserve">Update Project Set Organisation = 'Memorial University of Newfoundland' where Project_ID = 'P0684'; </v>
      </c>
      <c r="Q685" t="str">
        <f>"Update Project Set Library_name = '"&amp;L685&amp;"' , COADD_ID = '"&amp;M685&amp;"' where Project_ID = '"&amp;A685&amp;"'; "</f>
        <v xml:space="preserve">Update Project Set Library_name = 'Memorial University of Newfoundland (Canada)' , COADD_ID = 'CO-ADD:PC0684' where Project_ID = 'P0684'; </v>
      </c>
    </row>
    <row r="686" spans="1:17">
      <c r="A686" t="s">
        <v>7447</v>
      </c>
      <c r="C686" t="s">
        <v>5633</v>
      </c>
      <c r="D686" t="s">
        <v>4756</v>
      </c>
      <c r="E686" t="s">
        <v>4755</v>
      </c>
      <c r="G686" t="s">
        <v>9155</v>
      </c>
      <c r="H686" t="s">
        <v>4758</v>
      </c>
      <c r="I686" t="s">
        <v>609</v>
      </c>
      <c r="K686" t="s">
        <v>5828</v>
      </c>
      <c r="L686" t="s">
        <v>8248</v>
      </c>
      <c r="M686" t="s">
        <v>7446</v>
      </c>
      <c r="N686" s="2">
        <v>45657</v>
      </c>
      <c r="P686" t="str">
        <f>"Update Project Set Organisation = '"&amp;H686&amp;"' where Project_ID = '"&amp;A686&amp;"'; "</f>
        <v xml:space="preserve">Update Project Set Organisation = 'University of KwaZulu Natal' where Project_ID = 'P0685'; </v>
      </c>
      <c r="Q686" t="str">
        <f>"Update Project Set Library_name = '"&amp;L686&amp;"' , COADD_ID = '"&amp;M686&amp;"' where Project_ID = '"&amp;A686&amp;"'; "</f>
        <v xml:space="preserve">Update Project Set Library_name = 'University of KwaZulu Natal (South Africa)' , COADD_ID = 'CO-ADD:PC0685' where Project_ID = 'P0685'; </v>
      </c>
    </row>
    <row r="687" spans="1:17">
      <c r="A687" t="s">
        <v>7450</v>
      </c>
      <c r="B687" t="s">
        <v>7449</v>
      </c>
      <c r="C687" t="s">
        <v>5633</v>
      </c>
      <c r="D687" t="s">
        <v>1604</v>
      </c>
      <c r="E687" t="s">
        <v>1603</v>
      </c>
      <c r="F687" t="s">
        <v>3667</v>
      </c>
      <c r="G687" t="s">
        <v>9244</v>
      </c>
      <c r="H687" t="s">
        <v>1422</v>
      </c>
      <c r="I687" t="s">
        <v>14</v>
      </c>
      <c r="K687" t="s">
        <v>5828</v>
      </c>
      <c r="L687" t="s">
        <v>8156</v>
      </c>
      <c r="M687" t="s">
        <v>7448</v>
      </c>
      <c r="N687" s="2">
        <v>45657</v>
      </c>
      <c r="P687" t="str">
        <f>"Update Project Set Organisation = '"&amp;H687&amp;"' where Project_ID = '"&amp;A687&amp;"'; "</f>
        <v xml:space="preserve">Update Project Set Organisation = 'University of Wollongong' where Project_ID = 'P0686'; </v>
      </c>
      <c r="Q687" t="str">
        <f>"Update Project Set Library_name = '"&amp;L687&amp;"' , COADD_ID = '"&amp;M687&amp;"' where Project_ID = '"&amp;A687&amp;"'; "</f>
        <v xml:space="preserve">Update Project Set Library_name = 'University of Wollongong (Australia)' , COADD_ID = 'CO-ADD:PC0686' where Project_ID = 'P0686'; </v>
      </c>
    </row>
    <row r="688" spans="1:17">
      <c r="A688" t="s">
        <v>7452</v>
      </c>
      <c r="B688" t="s">
        <v>6239</v>
      </c>
      <c r="C688" t="s">
        <v>5633</v>
      </c>
      <c r="D688" t="s">
        <v>3004</v>
      </c>
      <c r="E688" t="s">
        <v>3003</v>
      </c>
      <c r="G688" t="s">
        <v>9219</v>
      </c>
      <c r="H688" t="s">
        <v>389</v>
      </c>
      <c r="I688" t="s">
        <v>14</v>
      </c>
      <c r="K688" t="s">
        <v>5828</v>
      </c>
      <c r="L688" t="s">
        <v>6581</v>
      </c>
      <c r="M688" t="s">
        <v>7451</v>
      </c>
      <c r="N688" s="2">
        <v>45657</v>
      </c>
      <c r="P688" t="str">
        <f>"Update Project Set Organisation = '"&amp;H688&amp;"' where Project_ID = '"&amp;A688&amp;"'; "</f>
        <v xml:space="preserve">Update Project Set Organisation = 'University of Sydney' where Project_ID = 'P0687'; </v>
      </c>
      <c r="Q688" t="str">
        <f>"Update Project Set Library_name = '"&amp;L688&amp;"' , COADD_ID = '"&amp;M688&amp;"' where Project_ID = '"&amp;A688&amp;"'; "</f>
        <v xml:space="preserve">Update Project Set Library_name = 'University of Sydney (Australia)' , COADD_ID = 'CO-ADD:PC0687' where Project_ID = 'P0687'; </v>
      </c>
    </row>
    <row r="689" spans="1:17">
      <c r="A689" t="s">
        <v>7455</v>
      </c>
      <c r="B689" t="s">
        <v>7454</v>
      </c>
      <c r="C689" t="s">
        <v>5633</v>
      </c>
      <c r="D689" t="s">
        <v>2173</v>
      </c>
      <c r="E689" t="s">
        <v>2237</v>
      </c>
      <c r="G689" t="s">
        <v>8945</v>
      </c>
      <c r="H689" t="s">
        <v>1327</v>
      </c>
      <c r="I689" t="s">
        <v>14</v>
      </c>
      <c r="K689" t="s">
        <v>5828</v>
      </c>
      <c r="L689" t="s">
        <v>8162</v>
      </c>
      <c r="M689" t="s">
        <v>7453</v>
      </c>
      <c r="N689" s="2">
        <v>45657</v>
      </c>
      <c r="P689" t="str">
        <f>"Update Project Set Organisation = '"&amp;H689&amp;"' where Project_ID = '"&amp;A689&amp;"'; "</f>
        <v xml:space="preserve">Update Project Set Organisation = 'Griffith University' where Project_ID = 'P0688'; </v>
      </c>
      <c r="Q689" t="str">
        <f>"Update Project Set Library_name = '"&amp;L689&amp;"' , COADD_ID = '"&amp;M689&amp;"' where Project_ID = '"&amp;A689&amp;"'; "</f>
        <v xml:space="preserve">Update Project Set Library_name = 'Griffith University (Australia)' , COADD_ID = 'CO-ADD:PC0688' where Project_ID = 'P0688'; </v>
      </c>
    </row>
    <row r="690" spans="1:17">
      <c r="A690" t="s">
        <v>7458</v>
      </c>
      <c r="B690" t="s">
        <v>7457</v>
      </c>
      <c r="C690" t="s">
        <v>5633</v>
      </c>
      <c r="D690" t="s">
        <v>743</v>
      </c>
      <c r="E690" t="s">
        <v>742</v>
      </c>
      <c r="F690" t="s">
        <v>3818</v>
      </c>
      <c r="G690" t="s">
        <v>9268</v>
      </c>
      <c r="H690" t="s">
        <v>746</v>
      </c>
      <c r="I690" t="s">
        <v>748</v>
      </c>
      <c r="K690" t="s">
        <v>5828</v>
      </c>
      <c r="L690" t="s">
        <v>6524</v>
      </c>
      <c r="M690" t="s">
        <v>7456</v>
      </c>
      <c r="N690" s="2">
        <v>45657</v>
      </c>
      <c r="P690" t="str">
        <f>"Update Project Set Organisation = '"&amp;H690&amp;"' where Project_ID = '"&amp;A690&amp;"'; "</f>
        <v xml:space="preserve">Update Project Set Organisation = 'Yantai University' where Project_ID = 'P0689'; </v>
      </c>
      <c r="Q690" t="str">
        <f>"Update Project Set Library_name = '"&amp;L690&amp;"' , COADD_ID = '"&amp;M690&amp;"' where Project_ID = '"&amp;A690&amp;"'; "</f>
        <v xml:space="preserve">Update Project Set Library_name = 'Yantai University (China)' , COADD_ID = 'CO-ADD:PC0689' where Project_ID = 'P0689'; </v>
      </c>
    </row>
    <row r="691" spans="1:17">
      <c r="A691" t="s">
        <v>7461</v>
      </c>
      <c r="B691" t="s">
        <v>7460</v>
      </c>
      <c r="C691" t="s">
        <v>5633</v>
      </c>
      <c r="D691" t="s">
        <v>2498</v>
      </c>
      <c r="E691" t="s">
        <v>2497</v>
      </c>
      <c r="F691" t="s">
        <v>5446</v>
      </c>
      <c r="G691" t="s">
        <v>9030</v>
      </c>
      <c r="H691" t="s">
        <v>2501</v>
      </c>
      <c r="I691" t="s">
        <v>459</v>
      </c>
      <c r="K691" t="s">
        <v>5806</v>
      </c>
      <c r="M691" t="s">
        <v>7459</v>
      </c>
      <c r="P691" t="str">
        <f>"Update Project Set Organisation = '"&amp;H691&amp;"' where Project_ID = '"&amp;A691&amp;"'; "</f>
        <v xml:space="preserve">Update Project Set Organisation = 'Nanyang Technological University' where Project_ID = 'P0690'; </v>
      </c>
      <c r="Q691" t="str">
        <f>"Update Project Set Library_name = '"&amp;L691&amp;"' , COADD_ID = '"&amp;M691&amp;"' where Project_ID = '"&amp;A691&amp;"'; "</f>
        <v xml:space="preserve">Update Project Set Library_name = '' , COADD_ID = 'CO-ADD:PC0690' where Project_ID = 'P0690'; </v>
      </c>
    </row>
    <row r="692" spans="1:17">
      <c r="A692" t="s">
        <v>7465</v>
      </c>
      <c r="B692" t="s">
        <v>7464</v>
      </c>
      <c r="C692" t="s">
        <v>5633</v>
      </c>
      <c r="D692" t="s">
        <v>2627</v>
      </c>
      <c r="E692" t="s">
        <v>3540</v>
      </c>
      <c r="G692" t="s">
        <v>9038</v>
      </c>
      <c r="H692" t="s">
        <v>2631</v>
      </c>
      <c r="I692" t="s">
        <v>2634</v>
      </c>
      <c r="J692" t="s">
        <v>7463</v>
      </c>
      <c r="K692" t="s">
        <v>5828</v>
      </c>
      <c r="L692" t="s">
        <v>8244</v>
      </c>
      <c r="M692" t="s">
        <v>7462</v>
      </c>
      <c r="N692" s="2">
        <v>45657</v>
      </c>
      <c r="P692" t="str">
        <f>"Update Project Set Organisation = '"&amp;H692&amp;"' where Project_ID = '"&amp;A692&amp;"'; "</f>
        <v xml:space="preserve">Update Project Set Organisation = 'National Technical University of Athens' where Project_ID = 'P0691'; </v>
      </c>
      <c r="Q692" t="str">
        <f>"Update Project Set Library_name = '"&amp;L692&amp;"' , COADD_ID = '"&amp;M692&amp;"' where Project_ID = '"&amp;A692&amp;"'; "</f>
        <v xml:space="preserve">Update Project Set Library_name = 'National Technical University of Athens (Greece)' , COADD_ID = 'CO-ADD:PC0691' where Project_ID = 'P0691'; </v>
      </c>
    </row>
    <row r="693" spans="1:17">
      <c r="A693" t="s">
        <v>7468</v>
      </c>
      <c r="B693" t="s">
        <v>7467</v>
      </c>
      <c r="C693" t="s">
        <v>5633</v>
      </c>
      <c r="D693" t="s">
        <v>59</v>
      </c>
      <c r="E693" t="s">
        <v>179</v>
      </c>
      <c r="G693" t="s">
        <v>9018</v>
      </c>
      <c r="H693" t="s">
        <v>5798</v>
      </c>
      <c r="I693" t="s">
        <v>55</v>
      </c>
      <c r="K693" t="s">
        <v>5828</v>
      </c>
      <c r="L693" t="s">
        <v>8242</v>
      </c>
      <c r="M693" t="s">
        <v>7466</v>
      </c>
      <c r="N693" s="2">
        <v>45657</v>
      </c>
      <c r="P693" t="str">
        <f>"Update Project Set Organisation = '"&amp;H693&amp;"' where Project_ID = '"&amp;A693&amp;"'; "</f>
        <v xml:space="preserve">Update Project Set Organisation = 'Modern University for Technology and Information' where Project_ID = 'P0692'; </v>
      </c>
      <c r="Q693" t="str">
        <f>"Update Project Set Library_name = '"&amp;L693&amp;"' , COADD_ID = '"&amp;M693&amp;"' where Project_ID = '"&amp;A693&amp;"'; "</f>
        <v xml:space="preserve">Update Project Set Library_name = 'Modern University for Technology and Information (Egypt)' , COADD_ID = 'CO-ADD:PC0692' where Project_ID = 'P0692'; </v>
      </c>
    </row>
    <row r="694" spans="1:17">
      <c r="A694" t="s">
        <v>7471</v>
      </c>
      <c r="B694" t="s">
        <v>7470</v>
      </c>
      <c r="C694" t="s">
        <v>5633</v>
      </c>
      <c r="D694" t="s">
        <v>4643</v>
      </c>
      <c r="E694" t="s">
        <v>4642</v>
      </c>
      <c r="G694" t="s">
        <v>9068</v>
      </c>
      <c r="H694" t="s">
        <v>4646</v>
      </c>
      <c r="I694" t="s">
        <v>1600</v>
      </c>
      <c r="K694" t="s">
        <v>5828</v>
      </c>
      <c r="L694" t="s">
        <v>5995</v>
      </c>
      <c r="M694" t="s">
        <v>7469</v>
      </c>
      <c r="N694" s="2">
        <v>45657</v>
      </c>
      <c r="P694" t="str">
        <f>"Update Project Set Organisation = '"&amp;H694&amp;"' where Project_ID = '"&amp;A694&amp;"'; "</f>
        <v xml:space="preserve">Update Project Set Organisation = 'Russian Academy of Science' where Project_ID = 'P0693'; </v>
      </c>
      <c r="Q694" t="str">
        <f>"Update Project Set Library_name = '"&amp;L694&amp;"' , COADD_ID = '"&amp;M694&amp;"' where Project_ID = '"&amp;A694&amp;"'; "</f>
        <v xml:space="preserve">Update Project Set Library_name = 'Russian Academy of Science (Russia)' , COADD_ID = 'CO-ADD:PC0693' where Project_ID = 'P0693'; </v>
      </c>
    </row>
    <row r="695" spans="1:17">
      <c r="A695" t="s">
        <v>7473</v>
      </c>
      <c r="C695" t="s">
        <v>5633</v>
      </c>
      <c r="D695" t="s">
        <v>835</v>
      </c>
      <c r="E695" t="s">
        <v>2013</v>
      </c>
      <c r="G695" t="s">
        <v>9125</v>
      </c>
      <c r="H695" t="s">
        <v>838</v>
      </c>
      <c r="I695" t="s">
        <v>75</v>
      </c>
      <c r="K695" t="s">
        <v>5828</v>
      </c>
      <c r="L695" t="s">
        <v>8256</v>
      </c>
      <c r="M695" t="s">
        <v>7472</v>
      </c>
      <c r="N695" s="2">
        <v>45657</v>
      </c>
      <c r="P695" t="str">
        <f>"Update Project Set Organisation = '"&amp;H695&amp;"' where Project_ID = '"&amp;A695&amp;"'; "</f>
        <v xml:space="preserve">Update Project Set Organisation = 'University of Alberta' where Project_ID = 'P0694'; </v>
      </c>
      <c r="Q695" t="str">
        <f>"Update Project Set Library_name = '"&amp;L695&amp;"' , COADD_ID = '"&amp;M695&amp;"' where Project_ID = '"&amp;A695&amp;"'; "</f>
        <v xml:space="preserve">Update Project Set Library_name = 'University of Alberta (Canada)' , COADD_ID = 'CO-ADD:PC0694' where Project_ID = 'P0694'; </v>
      </c>
    </row>
    <row r="696" spans="1:17">
      <c r="A696" t="s">
        <v>7477</v>
      </c>
      <c r="B696" t="s">
        <v>7476</v>
      </c>
      <c r="C696" t="s">
        <v>5633</v>
      </c>
      <c r="D696" t="s">
        <v>495</v>
      </c>
      <c r="E696" t="s">
        <v>5474</v>
      </c>
      <c r="G696" t="s">
        <v>9181</v>
      </c>
      <c r="H696" t="s">
        <v>499</v>
      </c>
      <c r="I696" t="s">
        <v>117</v>
      </c>
      <c r="J696" t="s">
        <v>7475</v>
      </c>
      <c r="K696" t="s">
        <v>5828</v>
      </c>
      <c r="L696" t="s">
        <v>8251</v>
      </c>
      <c r="M696" t="s">
        <v>7474</v>
      </c>
      <c r="N696" s="2">
        <v>45657</v>
      </c>
      <c r="P696" t="str">
        <f>"Update Project Set Organisation = '"&amp;H696&amp;"' where Project_ID = '"&amp;A696&amp;"'; "</f>
        <v xml:space="preserve">Update Project Set Organisation = 'University of North Carolina at Chapel Hill' where Project_ID = 'P0695'; </v>
      </c>
      <c r="Q696" t="str">
        <f>"Update Project Set Library_name = '"&amp;L696&amp;"' , COADD_ID = '"&amp;M696&amp;"' where Project_ID = '"&amp;A696&amp;"'; "</f>
        <v xml:space="preserve">Update Project Set Library_name = 'University of North Carolina at Chapel Hill (United States)' , COADD_ID = 'CO-ADD:PC0695' where Project_ID = 'P0695'; </v>
      </c>
    </row>
    <row r="697" spans="1:17">
      <c r="A697" t="s">
        <v>7479</v>
      </c>
      <c r="C697" t="s">
        <v>5633</v>
      </c>
      <c r="D697" t="s">
        <v>330</v>
      </c>
      <c r="E697" t="s">
        <v>329</v>
      </c>
      <c r="F697" t="s">
        <v>2001</v>
      </c>
      <c r="G697" t="s">
        <v>9249</v>
      </c>
      <c r="H697" t="s">
        <v>334</v>
      </c>
      <c r="I697" t="s">
        <v>253</v>
      </c>
      <c r="K697" t="s">
        <v>5843</v>
      </c>
      <c r="M697" t="s">
        <v>7478</v>
      </c>
      <c r="P697" t="str">
        <f>"Update Project Set Organisation = '"&amp;H697&amp;"' where Project_ID = '"&amp;A697&amp;"'; "</f>
        <v xml:space="preserve">Update Project Set Organisation = 'University of Zurich' where Project_ID = 'P0696'; </v>
      </c>
      <c r="Q697" t="str">
        <f>"Update Project Set Library_name = '"&amp;L697&amp;"' , COADD_ID = '"&amp;M697&amp;"' where Project_ID = '"&amp;A697&amp;"'; "</f>
        <v xml:space="preserve">Update Project Set Library_name = '' , COADD_ID = 'CO-ADD:PC0696' where Project_ID = 'P0696'; </v>
      </c>
    </row>
    <row r="698" spans="1:17">
      <c r="A698" t="s">
        <v>7481</v>
      </c>
      <c r="C698" t="s">
        <v>5633</v>
      </c>
      <c r="D698" t="s">
        <v>5313</v>
      </c>
      <c r="E698" t="s">
        <v>5312</v>
      </c>
      <c r="F698" t="s">
        <v>2001</v>
      </c>
      <c r="G698" t="s">
        <v>8919</v>
      </c>
      <c r="H698" t="s">
        <v>5316</v>
      </c>
      <c r="I698" t="s">
        <v>117</v>
      </c>
      <c r="K698" t="s">
        <v>5843</v>
      </c>
      <c r="M698" t="s">
        <v>7480</v>
      </c>
      <c r="P698" t="str">
        <f>"Update Project Set Organisation = '"&amp;H698&amp;"' where Project_ID = '"&amp;A698&amp;"'; "</f>
        <v xml:space="preserve">Update Project Set Organisation = 'Cornell University' where Project_ID = 'P0697'; </v>
      </c>
      <c r="Q698" t="str">
        <f>"Update Project Set Library_name = '"&amp;L698&amp;"' , COADD_ID = '"&amp;M698&amp;"' where Project_ID = '"&amp;A698&amp;"'; "</f>
        <v xml:space="preserve">Update Project Set Library_name = '' , COADD_ID = 'CO-ADD:PC0697' where Project_ID = 'P0697'; </v>
      </c>
    </row>
    <row r="699" spans="1:17">
      <c r="A699" t="s">
        <v>7485</v>
      </c>
      <c r="B699" t="s">
        <v>7484</v>
      </c>
      <c r="C699" t="s">
        <v>5633</v>
      </c>
      <c r="D699" t="s">
        <v>4483</v>
      </c>
      <c r="E699" t="s">
        <v>4482</v>
      </c>
      <c r="G699" t="s">
        <v>8992</v>
      </c>
      <c r="H699" t="s">
        <v>4486</v>
      </c>
      <c r="I699" t="s">
        <v>2674</v>
      </c>
      <c r="J699" t="s">
        <v>7483</v>
      </c>
      <c r="K699" t="s">
        <v>5828</v>
      </c>
      <c r="L699" t="s">
        <v>8290</v>
      </c>
      <c r="M699" t="s">
        <v>7482</v>
      </c>
      <c r="N699" s="2">
        <v>45657</v>
      </c>
      <c r="P699" t="str">
        <f>"Update Project Set Organisation = '"&amp;H699&amp;"' where Project_ID = '"&amp;A699&amp;"'; "</f>
        <v xml:space="preserve">Update Project Set Organisation = 'Lahore University of Management Sciences' where Project_ID = 'P0698'; </v>
      </c>
      <c r="Q699" t="str">
        <f>"Update Project Set Library_name = '"&amp;L699&amp;"' , COADD_ID = '"&amp;M699&amp;"' where Project_ID = '"&amp;A699&amp;"'; "</f>
        <v xml:space="preserve">Update Project Set Library_name = 'Lahore University of Management Sciences (Pakistan)' , COADD_ID = 'CO-ADD:PC0698' where Project_ID = 'P0698'; </v>
      </c>
    </row>
    <row r="700" spans="1:17">
      <c r="A700" t="s">
        <v>7488</v>
      </c>
      <c r="B700" t="s">
        <v>7487</v>
      </c>
      <c r="C700" t="s">
        <v>5633</v>
      </c>
      <c r="D700" t="s">
        <v>3040</v>
      </c>
      <c r="E700" t="s">
        <v>3039</v>
      </c>
      <c r="G700" t="s">
        <v>8893</v>
      </c>
      <c r="H700" t="s">
        <v>3654</v>
      </c>
      <c r="I700" t="s">
        <v>557</v>
      </c>
      <c r="K700" t="s">
        <v>5828</v>
      </c>
      <c r="L700" t="s">
        <v>8238</v>
      </c>
      <c r="M700" t="s">
        <v>7486</v>
      </c>
      <c r="N700" s="2">
        <v>45657</v>
      </c>
      <c r="P700" t="str">
        <f>"Update Project Set Organisation = '"&amp;H700&amp;"' where Project_ID = '"&amp;A700&amp;"'; "</f>
        <v xml:space="preserve">Update Project Set Organisation = 'Bergische Universität Wuppertal' where Project_ID = 'P0699'; </v>
      </c>
      <c r="Q700" t="str">
        <f>"Update Project Set Library_name = '"&amp;L700&amp;"' , COADD_ID = '"&amp;M700&amp;"' where Project_ID = '"&amp;A700&amp;"'; "</f>
        <v xml:space="preserve">Update Project Set Library_name = 'Bergische Universität Wuppertal (Germany)' , COADD_ID = 'CO-ADD:PC0699' where Project_ID = 'P0699'; </v>
      </c>
    </row>
    <row r="701" spans="1:17">
      <c r="A701" t="s">
        <v>7491</v>
      </c>
      <c r="B701" t="s">
        <v>7490</v>
      </c>
      <c r="C701" t="s">
        <v>5633</v>
      </c>
      <c r="D701" t="s">
        <v>495</v>
      </c>
      <c r="E701" t="s">
        <v>5474</v>
      </c>
      <c r="G701" t="s">
        <v>9181</v>
      </c>
      <c r="H701" t="s">
        <v>499</v>
      </c>
      <c r="I701" t="s">
        <v>117</v>
      </c>
      <c r="K701" t="s">
        <v>5828</v>
      </c>
      <c r="L701" t="s">
        <v>8251</v>
      </c>
      <c r="M701" t="s">
        <v>7489</v>
      </c>
      <c r="N701" s="2">
        <v>45657</v>
      </c>
      <c r="P701" t="str">
        <f>"Update Project Set Organisation = '"&amp;H701&amp;"' where Project_ID = '"&amp;A701&amp;"'; "</f>
        <v xml:space="preserve">Update Project Set Organisation = 'University of North Carolina at Chapel Hill' where Project_ID = 'P0700'; </v>
      </c>
      <c r="Q701" t="str">
        <f>"Update Project Set Library_name = '"&amp;L701&amp;"' , COADD_ID = '"&amp;M701&amp;"' where Project_ID = '"&amp;A701&amp;"'; "</f>
        <v xml:space="preserve">Update Project Set Library_name = 'University of North Carolina at Chapel Hill (United States)' , COADD_ID = 'CO-ADD:PC0700' where Project_ID = 'P0700'; </v>
      </c>
    </row>
    <row r="702" spans="1:17">
      <c r="A702" t="s">
        <v>7494</v>
      </c>
      <c r="B702" t="s">
        <v>7493</v>
      </c>
      <c r="C702" t="s">
        <v>5633</v>
      </c>
      <c r="D702" t="s">
        <v>4023</v>
      </c>
      <c r="E702" t="s">
        <v>4022</v>
      </c>
      <c r="G702" t="s">
        <v>8975</v>
      </c>
      <c r="H702" t="s">
        <v>208</v>
      </c>
      <c r="I702" t="s">
        <v>211</v>
      </c>
      <c r="K702" t="s">
        <v>5828</v>
      </c>
      <c r="L702" t="s">
        <v>6572</v>
      </c>
      <c r="M702" t="s">
        <v>7492</v>
      </c>
      <c r="N702" s="2">
        <v>45657</v>
      </c>
      <c r="P702" t="str">
        <f>"Update Project Set Organisation = '"&amp;H702&amp;"' where Project_ID = '"&amp;A702&amp;"'; "</f>
        <v xml:space="preserve">Update Project Set Organisation = 'Jain University' where Project_ID = 'P0701'; </v>
      </c>
      <c r="Q702" t="str">
        <f>"Update Project Set Library_name = '"&amp;L702&amp;"' , COADD_ID = '"&amp;M702&amp;"' where Project_ID = '"&amp;A702&amp;"'; "</f>
        <v xml:space="preserve">Update Project Set Library_name = 'Jain University (India)' , COADD_ID = 'CO-ADD:PC0701' where Project_ID = 'P0701'; </v>
      </c>
    </row>
    <row r="703" spans="1:17">
      <c r="A703" t="s">
        <v>7497</v>
      </c>
      <c r="B703" t="s">
        <v>7496</v>
      </c>
      <c r="C703" t="s">
        <v>5633</v>
      </c>
      <c r="D703" t="s">
        <v>708</v>
      </c>
      <c r="E703" t="s">
        <v>707</v>
      </c>
      <c r="G703" t="s">
        <v>9061</v>
      </c>
      <c r="H703" t="s">
        <v>711</v>
      </c>
      <c r="I703" t="s">
        <v>609</v>
      </c>
      <c r="K703" t="s">
        <v>5828</v>
      </c>
      <c r="L703" t="s">
        <v>8262</v>
      </c>
      <c r="M703" t="s">
        <v>7495</v>
      </c>
      <c r="N703" s="2">
        <v>45657</v>
      </c>
      <c r="P703" t="str">
        <f>"Update Project Set Organisation = '"&amp;H703&amp;"' where Project_ID = '"&amp;A703&amp;"'; "</f>
        <v xml:space="preserve">Update Project Set Organisation = 'Rhodes University' where Project_ID = 'P0702'; </v>
      </c>
      <c r="Q703" t="str">
        <f>"Update Project Set Library_name = '"&amp;L703&amp;"' , COADD_ID = '"&amp;M703&amp;"' where Project_ID = '"&amp;A703&amp;"'; "</f>
        <v xml:space="preserve">Update Project Set Library_name = 'Rhodes University (South Africa)' , COADD_ID = 'CO-ADD:PC0702' where Project_ID = 'P0702'; </v>
      </c>
    </row>
    <row r="704" spans="1:17">
      <c r="A704" t="s">
        <v>7501</v>
      </c>
      <c r="B704" t="s">
        <v>7500</v>
      </c>
      <c r="C704" t="s">
        <v>5633</v>
      </c>
      <c r="D704" t="s">
        <v>3326</v>
      </c>
      <c r="E704" t="s">
        <v>3325</v>
      </c>
      <c r="G704" t="s">
        <v>9118</v>
      </c>
      <c r="H704" t="s">
        <v>1234</v>
      </c>
      <c r="I704" t="s">
        <v>1235</v>
      </c>
      <c r="J704" t="s">
        <v>7499</v>
      </c>
      <c r="K704" t="s">
        <v>5828</v>
      </c>
      <c r="L704" t="s">
        <v>8236</v>
      </c>
      <c r="M704" t="s">
        <v>7498</v>
      </c>
      <c r="N704" s="2">
        <v>45657</v>
      </c>
      <c r="P704" t="str">
        <f>"Update Project Set Organisation = '"&amp;H704&amp;"' where Project_ID = '"&amp;A704&amp;"'; "</f>
        <v xml:space="preserve">Update Project Set Organisation = 'University College Cork' where Project_ID = 'P0703'; </v>
      </c>
      <c r="Q704" t="str">
        <f>"Update Project Set Library_name = '"&amp;L704&amp;"' , COADD_ID = '"&amp;M704&amp;"' where Project_ID = '"&amp;A704&amp;"'; "</f>
        <v xml:space="preserve">Update Project Set Library_name = 'University College Cork (Ireland)' , COADD_ID = 'CO-ADD:PC0703' where Project_ID = 'P0703'; </v>
      </c>
    </row>
    <row r="705" spans="1:17">
      <c r="A705" t="s">
        <v>7504</v>
      </c>
      <c r="B705" t="s">
        <v>7503</v>
      </c>
      <c r="C705" t="s">
        <v>5633</v>
      </c>
      <c r="D705" t="s">
        <v>4643</v>
      </c>
      <c r="E705" t="s">
        <v>4642</v>
      </c>
      <c r="G705" t="s">
        <v>9068</v>
      </c>
      <c r="H705" t="s">
        <v>4646</v>
      </c>
      <c r="I705" t="s">
        <v>1600</v>
      </c>
      <c r="K705" t="s">
        <v>5828</v>
      </c>
      <c r="L705" t="s">
        <v>5995</v>
      </c>
      <c r="M705" t="s">
        <v>7502</v>
      </c>
      <c r="N705" s="2">
        <v>45657</v>
      </c>
      <c r="P705" t="str">
        <f>"Update Project Set Organisation = '"&amp;H705&amp;"' where Project_ID = '"&amp;A705&amp;"'; "</f>
        <v xml:space="preserve">Update Project Set Organisation = 'Russian Academy of Science' where Project_ID = 'P0704'; </v>
      </c>
      <c r="Q705" t="str">
        <f>"Update Project Set Library_name = '"&amp;L705&amp;"' , COADD_ID = '"&amp;M705&amp;"' where Project_ID = '"&amp;A705&amp;"'; "</f>
        <v xml:space="preserve">Update Project Set Library_name = 'Russian Academy of Science (Russia)' , COADD_ID = 'CO-ADD:PC0704' where Project_ID = 'P0704'; </v>
      </c>
    </row>
    <row r="706" spans="1:17">
      <c r="A706" t="s">
        <v>7507</v>
      </c>
      <c r="B706" t="s">
        <v>7506</v>
      </c>
      <c r="C706" t="s">
        <v>5633</v>
      </c>
      <c r="D706" t="s">
        <v>4643</v>
      </c>
      <c r="E706" t="s">
        <v>4642</v>
      </c>
      <c r="G706" t="s">
        <v>9068</v>
      </c>
      <c r="H706" t="s">
        <v>4646</v>
      </c>
      <c r="I706" t="s">
        <v>1600</v>
      </c>
      <c r="K706" t="s">
        <v>5828</v>
      </c>
      <c r="L706" t="s">
        <v>5995</v>
      </c>
      <c r="M706" t="s">
        <v>7505</v>
      </c>
      <c r="N706" s="2">
        <v>45657</v>
      </c>
      <c r="P706" t="str">
        <f>"Update Project Set Organisation = '"&amp;H706&amp;"' where Project_ID = '"&amp;A706&amp;"'; "</f>
        <v xml:space="preserve">Update Project Set Organisation = 'Russian Academy of Science' where Project_ID = 'P0705'; </v>
      </c>
      <c r="Q706" t="str">
        <f>"Update Project Set Library_name = '"&amp;L706&amp;"' , COADD_ID = '"&amp;M706&amp;"' where Project_ID = '"&amp;A706&amp;"'; "</f>
        <v xml:space="preserve">Update Project Set Library_name = 'Russian Academy of Science (Russia)' , COADD_ID = 'CO-ADD:PC0705' where Project_ID = 'P0705'; </v>
      </c>
    </row>
    <row r="707" spans="1:17">
      <c r="A707" t="s">
        <v>7509</v>
      </c>
      <c r="C707" t="s">
        <v>5633</v>
      </c>
      <c r="D707" t="s">
        <v>1260</v>
      </c>
      <c r="E707" t="s">
        <v>1259</v>
      </c>
      <c r="G707" t="s">
        <v>9173</v>
      </c>
      <c r="H707" t="s">
        <v>1262</v>
      </c>
      <c r="I707" t="s">
        <v>117</v>
      </c>
      <c r="K707" t="s">
        <v>5828</v>
      </c>
      <c r="L707" t="s">
        <v>8188</v>
      </c>
      <c r="M707" t="s">
        <v>7508</v>
      </c>
      <c r="N707" s="2">
        <v>45657</v>
      </c>
      <c r="P707" t="str">
        <f>"Update Project Set Organisation = '"&amp;H707&amp;"' where Project_ID = '"&amp;A707&amp;"'; "</f>
        <v xml:space="preserve">Update Project Set Organisation = 'University of Nebraska Medical Center' where Project_ID = 'P0706'; </v>
      </c>
      <c r="Q707" t="str">
        <f>"Update Project Set Library_name = '"&amp;L707&amp;"' , COADD_ID = '"&amp;M707&amp;"' where Project_ID = '"&amp;A707&amp;"'; "</f>
        <v xml:space="preserve">Update Project Set Library_name = 'University of Nebraska Medical Center (United States)' , COADD_ID = 'CO-ADD:PC0706' where Project_ID = 'P0706'; </v>
      </c>
    </row>
    <row r="708" spans="1:17">
      <c r="A708" t="s">
        <v>7512</v>
      </c>
      <c r="B708" t="s">
        <v>7511</v>
      </c>
      <c r="C708" t="s">
        <v>5633</v>
      </c>
      <c r="D708" t="s">
        <v>2872</v>
      </c>
      <c r="E708" t="s">
        <v>5020</v>
      </c>
      <c r="G708" t="s">
        <v>9245</v>
      </c>
      <c r="H708" t="s">
        <v>1422</v>
      </c>
      <c r="I708" t="s">
        <v>14</v>
      </c>
      <c r="K708" t="s">
        <v>5828</v>
      </c>
      <c r="L708" t="s">
        <v>8156</v>
      </c>
      <c r="M708" t="s">
        <v>7510</v>
      </c>
      <c r="N708" s="2">
        <v>45657</v>
      </c>
      <c r="P708" t="str">
        <f>"Update Project Set Organisation = '"&amp;H708&amp;"' where Project_ID = '"&amp;A708&amp;"'; "</f>
        <v xml:space="preserve">Update Project Set Organisation = 'University of Wollongong' where Project_ID = 'P0707'; </v>
      </c>
      <c r="Q708" t="str">
        <f>"Update Project Set Library_name = '"&amp;L708&amp;"' , COADD_ID = '"&amp;M708&amp;"' where Project_ID = '"&amp;A708&amp;"'; "</f>
        <v xml:space="preserve">Update Project Set Library_name = 'University of Wollongong (Australia)' , COADD_ID = 'CO-ADD:PC0707' where Project_ID = 'P0707'; </v>
      </c>
    </row>
    <row r="709" spans="1:17">
      <c r="A709" t="s">
        <v>7515</v>
      </c>
      <c r="B709" t="s">
        <v>7514</v>
      </c>
      <c r="C709" t="s">
        <v>5633</v>
      </c>
      <c r="D709" t="s">
        <v>3049</v>
      </c>
      <c r="E709" t="s">
        <v>3048</v>
      </c>
      <c r="F709" t="s">
        <v>4749</v>
      </c>
      <c r="G709" t="s">
        <v>9145</v>
      </c>
      <c r="H709" t="s">
        <v>3052</v>
      </c>
      <c r="I709" t="s">
        <v>269</v>
      </c>
      <c r="K709" t="s">
        <v>5828</v>
      </c>
      <c r="L709" t="s">
        <v>8285</v>
      </c>
      <c r="M709" t="s">
        <v>7513</v>
      </c>
      <c r="N709" s="2">
        <v>45657</v>
      </c>
      <c r="P709" t="str">
        <f>"Update Project Set Organisation = '"&amp;H709&amp;"' where Project_ID = '"&amp;A709&amp;"'; "</f>
        <v xml:space="preserve">Update Project Set Organisation = 'University of Central Lancashire' where Project_ID = 'P0708'; </v>
      </c>
      <c r="Q709" t="str">
        <f>"Update Project Set Library_name = '"&amp;L709&amp;"' , COADD_ID = '"&amp;M709&amp;"' where Project_ID = '"&amp;A709&amp;"'; "</f>
        <v xml:space="preserve">Update Project Set Library_name = 'University of Central Lancashire (United Kingdom)' , COADD_ID = 'CO-ADD:PC0708' where Project_ID = 'P0708'; </v>
      </c>
    </row>
    <row r="710" spans="1:17">
      <c r="A710" t="s">
        <v>7518</v>
      </c>
      <c r="B710" t="s">
        <v>7517</v>
      </c>
      <c r="C710" t="s">
        <v>5633</v>
      </c>
      <c r="D710" t="s">
        <v>4643</v>
      </c>
      <c r="E710" t="s">
        <v>4642</v>
      </c>
      <c r="G710" t="s">
        <v>9068</v>
      </c>
      <c r="H710" t="s">
        <v>4646</v>
      </c>
      <c r="I710" t="s">
        <v>1600</v>
      </c>
      <c r="K710" t="s">
        <v>5828</v>
      </c>
      <c r="L710" t="s">
        <v>5995</v>
      </c>
      <c r="M710" t="s">
        <v>7516</v>
      </c>
      <c r="N710" s="2">
        <v>45657</v>
      </c>
      <c r="P710" t="str">
        <f>"Update Project Set Organisation = '"&amp;H710&amp;"' where Project_ID = '"&amp;A710&amp;"'; "</f>
        <v xml:space="preserve">Update Project Set Organisation = 'Russian Academy of Science' where Project_ID = 'P0709'; </v>
      </c>
      <c r="Q710" t="str">
        <f>"Update Project Set Library_name = '"&amp;L710&amp;"' , COADD_ID = '"&amp;M710&amp;"' where Project_ID = '"&amp;A710&amp;"'; "</f>
        <v xml:space="preserve">Update Project Set Library_name = 'Russian Academy of Science (Russia)' , COADD_ID = 'CO-ADD:PC0709' where Project_ID = 'P0709'; </v>
      </c>
    </row>
    <row r="711" spans="1:17">
      <c r="A711" t="s">
        <v>7521</v>
      </c>
      <c r="B711" t="s">
        <v>7520</v>
      </c>
      <c r="C711" t="s">
        <v>5633</v>
      </c>
      <c r="D711" t="s">
        <v>636</v>
      </c>
      <c r="E711" t="s">
        <v>3208</v>
      </c>
      <c r="G711" t="s">
        <v>9142</v>
      </c>
      <c r="H711" t="s">
        <v>639</v>
      </c>
      <c r="I711" t="s">
        <v>117</v>
      </c>
      <c r="K711" t="s">
        <v>5828</v>
      </c>
      <c r="L711" t="s">
        <v>8291</v>
      </c>
      <c r="M711" t="s">
        <v>7519</v>
      </c>
      <c r="N711" s="2">
        <v>45657</v>
      </c>
      <c r="P711" t="str">
        <f>"Update Project Set Organisation = '"&amp;H711&amp;"' where Project_ID = '"&amp;A711&amp;"'; "</f>
        <v xml:space="preserve">Update Project Set Organisation = 'University of California Santa Barbara (UCSB)' where Project_ID = 'P0710'; </v>
      </c>
      <c r="Q711" t="str">
        <f>"Update Project Set Library_name = '"&amp;L711&amp;"' , COADD_ID = '"&amp;M711&amp;"' where Project_ID = '"&amp;A711&amp;"'; "</f>
        <v xml:space="preserve">Update Project Set Library_name = 'University of California Santa Barbara (UCSB) (United States)' , COADD_ID = 'CO-ADD:PC0710' where Project_ID = 'P0710'; </v>
      </c>
    </row>
    <row r="712" spans="1:17">
      <c r="A712" t="s">
        <v>7524</v>
      </c>
      <c r="B712" t="s">
        <v>7523</v>
      </c>
      <c r="C712" t="s">
        <v>5633</v>
      </c>
      <c r="D712" t="s">
        <v>4643</v>
      </c>
      <c r="E712" t="s">
        <v>4642</v>
      </c>
      <c r="G712" t="s">
        <v>9068</v>
      </c>
      <c r="H712" t="s">
        <v>4646</v>
      </c>
      <c r="I712" t="s">
        <v>1600</v>
      </c>
      <c r="K712" t="s">
        <v>5828</v>
      </c>
      <c r="L712" t="s">
        <v>5995</v>
      </c>
      <c r="M712" t="s">
        <v>7522</v>
      </c>
      <c r="N712" s="2">
        <v>45657</v>
      </c>
      <c r="P712" t="str">
        <f>"Update Project Set Organisation = '"&amp;H712&amp;"' where Project_ID = '"&amp;A712&amp;"'; "</f>
        <v xml:space="preserve">Update Project Set Organisation = 'Russian Academy of Science' where Project_ID = 'P0711'; </v>
      </c>
      <c r="Q712" t="str">
        <f>"Update Project Set Library_name = '"&amp;L712&amp;"' , COADD_ID = '"&amp;M712&amp;"' where Project_ID = '"&amp;A712&amp;"'; "</f>
        <v xml:space="preserve">Update Project Set Library_name = 'Russian Academy of Science (Russia)' , COADD_ID = 'CO-ADD:PC0711' where Project_ID = 'P0711'; </v>
      </c>
    </row>
    <row r="713" spans="1:17">
      <c r="A713" t="s">
        <v>7527</v>
      </c>
      <c r="B713" t="s">
        <v>7526</v>
      </c>
      <c r="C713" t="s">
        <v>5633</v>
      </c>
      <c r="D713" t="s">
        <v>1595</v>
      </c>
      <c r="E713" t="s">
        <v>4884</v>
      </c>
      <c r="F713" t="s">
        <v>1594</v>
      </c>
      <c r="G713" t="s">
        <v>9056</v>
      </c>
      <c r="H713" t="s">
        <v>1598</v>
      </c>
      <c r="I713" t="s">
        <v>1600</v>
      </c>
      <c r="K713" t="s">
        <v>5828</v>
      </c>
      <c r="L713" t="s">
        <v>8292</v>
      </c>
      <c r="M713" t="s">
        <v>7525</v>
      </c>
      <c r="N713" s="2">
        <v>45657</v>
      </c>
      <c r="P713" t="str">
        <f>"Update Project Set Organisation = '"&amp;H713&amp;"' where Project_ID = '"&amp;A713&amp;"'; "</f>
        <v xml:space="preserve">Update Project Set Organisation = 'Perm State University' where Project_ID = 'P0712'; </v>
      </c>
      <c r="Q713" t="str">
        <f>"Update Project Set Library_name = '"&amp;L713&amp;"' , COADD_ID = '"&amp;M713&amp;"' where Project_ID = '"&amp;A713&amp;"'; "</f>
        <v xml:space="preserve">Update Project Set Library_name = 'Perm State University (Russia)' , COADD_ID = 'CO-ADD:PC0712' where Project_ID = 'P0712'; </v>
      </c>
    </row>
    <row r="714" spans="1:17">
      <c r="A714" t="s">
        <v>7530</v>
      </c>
      <c r="B714" t="s">
        <v>7529</v>
      </c>
      <c r="C714" t="s">
        <v>5633</v>
      </c>
      <c r="D714" t="s">
        <v>2143</v>
      </c>
      <c r="E714" t="s">
        <v>2142</v>
      </c>
      <c r="G714" t="s">
        <v>9013</v>
      </c>
      <c r="H714" t="s">
        <v>2146</v>
      </c>
      <c r="I714" t="s">
        <v>75</v>
      </c>
      <c r="K714" t="s">
        <v>5828</v>
      </c>
      <c r="L714" t="s">
        <v>8176</v>
      </c>
      <c r="M714" t="s">
        <v>7528</v>
      </c>
      <c r="N714" s="2">
        <v>45657</v>
      </c>
      <c r="P714" t="str">
        <f>"Update Project Set Organisation = '"&amp;H714&amp;"' where Project_ID = '"&amp;A714&amp;"'; "</f>
        <v xml:space="preserve">Update Project Set Organisation = 'Memorial University of Newfoundland' where Project_ID = 'P0713'; </v>
      </c>
      <c r="Q714" t="str">
        <f>"Update Project Set Library_name = '"&amp;L714&amp;"' , COADD_ID = '"&amp;M714&amp;"' where Project_ID = '"&amp;A714&amp;"'; "</f>
        <v xml:space="preserve">Update Project Set Library_name = 'Memorial University of Newfoundland (Canada)' , COADD_ID = 'CO-ADD:PC0713' where Project_ID = 'P0713'; </v>
      </c>
    </row>
    <row r="715" spans="1:17">
      <c r="A715" t="s">
        <v>7533</v>
      </c>
      <c r="B715" t="s">
        <v>7532</v>
      </c>
      <c r="C715" t="s">
        <v>5633</v>
      </c>
      <c r="D715" t="s">
        <v>4643</v>
      </c>
      <c r="E715" t="s">
        <v>4642</v>
      </c>
      <c r="G715" t="s">
        <v>9068</v>
      </c>
      <c r="H715" t="s">
        <v>4646</v>
      </c>
      <c r="I715" t="s">
        <v>1600</v>
      </c>
      <c r="K715" t="s">
        <v>5828</v>
      </c>
      <c r="L715" t="s">
        <v>5995</v>
      </c>
      <c r="M715" t="s">
        <v>7531</v>
      </c>
      <c r="N715" s="2">
        <v>45657</v>
      </c>
      <c r="P715" t="str">
        <f>"Update Project Set Organisation = '"&amp;H715&amp;"' where Project_ID = '"&amp;A715&amp;"'; "</f>
        <v xml:space="preserve">Update Project Set Organisation = 'Russian Academy of Science' where Project_ID = 'P0714'; </v>
      </c>
      <c r="Q715" t="str">
        <f>"Update Project Set Library_name = '"&amp;L715&amp;"' , COADD_ID = '"&amp;M715&amp;"' where Project_ID = '"&amp;A715&amp;"'; "</f>
        <v xml:space="preserve">Update Project Set Library_name = 'Russian Academy of Science (Russia)' , COADD_ID = 'CO-ADD:PC0714' where Project_ID = 'P0714'; </v>
      </c>
    </row>
    <row r="716" spans="1:17">
      <c r="A716" t="s">
        <v>7536</v>
      </c>
      <c r="B716" t="s">
        <v>7535</v>
      </c>
      <c r="C716" t="s">
        <v>5633</v>
      </c>
      <c r="D716" t="s">
        <v>4643</v>
      </c>
      <c r="E716" t="s">
        <v>4642</v>
      </c>
      <c r="G716" t="s">
        <v>9068</v>
      </c>
      <c r="H716" t="s">
        <v>4646</v>
      </c>
      <c r="I716" t="s">
        <v>1600</v>
      </c>
      <c r="K716" t="s">
        <v>5828</v>
      </c>
      <c r="L716" t="s">
        <v>5995</v>
      </c>
      <c r="M716" t="s">
        <v>7534</v>
      </c>
      <c r="N716" s="2">
        <v>45657</v>
      </c>
      <c r="P716" t="str">
        <f>"Update Project Set Organisation = '"&amp;H716&amp;"' where Project_ID = '"&amp;A716&amp;"'; "</f>
        <v xml:space="preserve">Update Project Set Organisation = 'Russian Academy of Science' where Project_ID = 'P0715'; </v>
      </c>
      <c r="Q716" t="str">
        <f>"Update Project Set Library_name = '"&amp;L716&amp;"' , COADD_ID = '"&amp;M716&amp;"' where Project_ID = '"&amp;A716&amp;"'; "</f>
        <v xml:space="preserve">Update Project Set Library_name = 'Russian Academy of Science (Russia)' , COADD_ID = 'CO-ADD:PC0715' where Project_ID = 'P0715'; </v>
      </c>
    </row>
    <row r="717" spans="1:17">
      <c r="A717" t="s">
        <v>7539</v>
      </c>
      <c r="B717" t="s">
        <v>7538</v>
      </c>
      <c r="C717" t="s">
        <v>5633</v>
      </c>
      <c r="D717" t="s">
        <v>1638</v>
      </c>
      <c r="E717" t="s">
        <v>1637</v>
      </c>
      <c r="F717" t="s">
        <v>5275</v>
      </c>
      <c r="G717" t="s">
        <v>9224</v>
      </c>
      <c r="H717" t="s">
        <v>1642</v>
      </c>
      <c r="I717" t="s">
        <v>117</v>
      </c>
      <c r="K717" t="s">
        <v>5828</v>
      </c>
      <c r="L717" t="s">
        <v>8293</v>
      </c>
      <c r="M717" t="s">
        <v>7537</v>
      </c>
      <c r="N717" s="2">
        <v>45657</v>
      </c>
      <c r="P717" t="str">
        <f>"Update Project Set Organisation = '"&amp;H717&amp;"' where Project_ID = '"&amp;A717&amp;"'; "</f>
        <v xml:space="preserve">Update Project Set Organisation = 'University of Texas at San Antonio' where Project_ID = 'P0716'; </v>
      </c>
      <c r="Q717" t="str">
        <f>"Update Project Set Library_name = '"&amp;L717&amp;"' , COADD_ID = '"&amp;M717&amp;"' where Project_ID = '"&amp;A717&amp;"'; "</f>
        <v xml:space="preserve">Update Project Set Library_name = 'University of Texas at San Antonio (United States)' , COADD_ID = 'CO-ADD:PC0716' where Project_ID = 'P0716'; </v>
      </c>
    </row>
    <row r="718" spans="1:17">
      <c r="A718" t="s">
        <v>7542</v>
      </c>
      <c r="B718" t="s">
        <v>7541</v>
      </c>
      <c r="C718" t="s">
        <v>5633</v>
      </c>
      <c r="D718" t="s">
        <v>3981</v>
      </c>
      <c r="E718" t="s">
        <v>4496</v>
      </c>
      <c r="G718" t="s">
        <v>8970</v>
      </c>
      <c r="H718" t="s">
        <v>2041</v>
      </c>
      <c r="I718" t="s">
        <v>1600</v>
      </c>
      <c r="J718" t="s">
        <v>7541</v>
      </c>
      <c r="K718" t="s">
        <v>5828</v>
      </c>
      <c r="L718" t="s">
        <v>8223</v>
      </c>
      <c r="M718" t="s">
        <v>7540</v>
      </c>
      <c r="N718" s="2">
        <v>45657</v>
      </c>
      <c r="P718" t="str">
        <f>"Update Project Set Organisation = '"&amp;H718&amp;"' where Project_ID = '"&amp;A718&amp;"'; "</f>
        <v xml:space="preserve">Update Project Set Organisation = 'Institute of Petrochemistry and Catalysis' where Project_ID = 'P0717'; </v>
      </c>
      <c r="Q718" t="str">
        <f>"Update Project Set Library_name = '"&amp;L718&amp;"' , COADD_ID = '"&amp;M718&amp;"' where Project_ID = '"&amp;A718&amp;"'; "</f>
        <v xml:space="preserve">Update Project Set Library_name = 'Institute of Petrochemistry and Catalysis (Russia)' , COADD_ID = 'CO-ADD:PC0717' where Project_ID = 'P0717'; </v>
      </c>
    </row>
    <row r="719" spans="1:17">
      <c r="A719" t="s">
        <v>7544</v>
      </c>
      <c r="C719" t="s">
        <v>5633</v>
      </c>
      <c r="D719" t="s">
        <v>448</v>
      </c>
      <c r="E719" t="s">
        <v>2001</v>
      </c>
      <c r="G719" t="s">
        <v>8900</v>
      </c>
      <c r="H719" t="s">
        <v>362</v>
      </c>
      <c r="K719" t="s">
        <v>5843</v>
      </c>
      <c r="M719" t="s">
        <v>7543</v>
      </c>
      <c r="P719" t="str">
        <f>"Update Project Set Organisation = '"&amp;H719&amp;"' where Project_ID = '"&amp;A719&amp;"'; "</f>
        <v xml:space="preserve">Update Project Set Organisation = 'University of Queensland' where Project_ID = 'P0718'; </v>
      </c>
      <c r="Q719" t="str">
        <f>"Update Project Set Library_name = '"&amp;L719&amp;"' , COADD_ID = '"&amp;M719&amp;"' where Project_ID = '"&amp;A719&amp;"'; "</f>
        <v xml:space="preserve">Update Project Set Library_name = '' , COADD_ID = 'CO-ADD:PC0718' where Project_ID = 'P0718'; </v>
      </c>
    </row>
    <row r="720" spans="1:17">
      <c r="A720" t="s">
        <v>7548</v>
      </c>
      <c r="B720" t="s">
        <v>7547</v>
      </c>
      <c r="C720" t="s">
        <v>5633</v>
      </c>
      <c r="D720" t="s">
        <v>247</v>
      </c>
      <c r="E720" t="s">
        <v>4518</v>
      </c>
      <c r="G720" t="s">
        <v>9011</v>
      </c>
      <c r="H720" t="s">
        <v>250</v>
      </c>
      <c r="I720" t="s">
        <v>253</v>
      </c>
      <c r="K720" t="s">
        <v>5828</v>
      </c>
      <c r="L720" t="s">
        <v>7546</v>
      </c>
      <c r="M720" t="s">
        <v>7545</v>
      </c>
      <c r="N720" s="2">
        <v>45657</v>
      </c>
      <c r="P720" t="str">
        <f>"Update Project Set Organisation = '"&amp;H720&amp;"' where Project_ID = '"&amp;A720&amp;"'; "</f>
        <v xml:space="preserve">Update Project Set Organisation = 'Medicines for Malaria Venture (MMV)' where Project_ID = 'P0719'; </v>
      </c>
      <c r="Q720" t="str">
        <f>"Update Project Set Library_name = '"&amp;L720&amp;"' , COADD_ID = '"&amp;M720&amp;"' where Project_ID = '"&amp;A720&amp;"'; "</f>
        <v xml:space="preserve">Update Project Set Library_name = 'MMV (CH) - SAR-1' , COADD_ID = 'CO-ADD:PC0719' where Project_ID = 'P0719'; </v>
      </c>
    </row>
    <row r="721" spans="1:17">
      <c r="A721" t="s">
        <v>7552</v>
      </c>
      <c r="B721" t="s">
        <v>7551</v>
      </c>
      <c r="C721" t="s">
        <v>5633</v>
      </c>
      <c r="D721" t="s">
        <v>4230</v>
      </c>
      <c r="E721" t="s">
        <v>4229</v>
      </c>
      <c r="G721" t="s">
        <v>8926</v>
      </c>
      <c r="H721" t="s">
        <v>2829</v>
      </c>
      <c r="I721" t="s">
        <v>55</v>
      </c>
      <c r="J721" t="s">
        <v>7550</v>
      </c>
      <c r="K721" t="s">
        <v>5828</v>
      </c>
      <c r="L721" t="s">
        <v>8263</v>
      </c>
      <c r="M721" t="s">
        <v>7549</v>
      </c>
      <c r="N721" s="2">
        <v>45657</v>
      </c>
      <c r="P721" t="str">
        <f>"Update Project Set Organisation = '"&amp;H721&amp;"' where Project_ID = '"&amp;A721&amp;"'; "</f>
        <v xml:space="preserve">Update Project Set Organisation = 'Damanhour University' where Project_ID = 'P0720'; </v>
      </c>
      <c r="Q721" t="str">
        <f>"Update Project Set Library_name = '"&amp;L721&amp;"' , COADD_ID = '"&amp;M721&amp;"' where Project_ID = '"&amp;A721&amp;"'; "</f>
        <v xml:space="preserve">Update Project Set Library_name = 'Damanhour University (Egypt)' , COADD_ID = 'CO-ADD:PC0720' where Project_ID = 'P0720'; </v>
      </c>
    </row>
    <row r="722" spans="1:17">
      <c r="A722" t="s">
        <v>7555</v>
      </c>
      <c r="B722" t="s">
        <v>7554</v>
      </c>
      <c r="C722" t="s">
        <v>5633</v>
      </c>
      <c r="D722" t="s">
        <v>5371</v>
      </c>
      <c r="E722" t="s">
        <v>5370</v>
      </c>
      <c r="G722" t="s">
        <v>9026</v>
      </c>
      <c r="H722" t="s">
        <v>5374</v>
      </c>
      <c r="I722" t="s">
        <v>2369</v>
      </c>
      <c r="K722" t="s">
        <v>5828</v>
      </c>
      <c r="L722" t="s">
        <v>8294</v>
      </c>
      <c r="M722" t="s">
        <v>7553</v>
      </c>
      <c r="N722" s="2">
        <v>45657</v>
      </c>
      <c r="P722" t="str">
        <f>"Update Project Set Organisation = '"&amp;H722&amp;"' where Project_ID = '"&amp;A722&amp;"'; "</f>
        <v xml:space="preserve">Update Project Set Organisation = 'Monash University Malaysia' where Project_ID = 'P0721'; </v>
      </c>
      <c r="Q722" t="str">
        <f>"Update Project Set Library_name = '"&amp;L722&amp;"' , COADD_ID = '"&amp;M722&amp;"' where Project_ID = '"&amp;A722&amp;"'; "</f>
        <v xml:space="preserve">Update Project Set Library_name = 'Monash University Malaysia (Malaysia)' , COADD_ID = 'CO-ADD:PC0721' where Project_ID = 'P0721'; </v>
      </c>
    </row>
    <row r="723" spans="1:17">
      <c r="A723" t="s">
        <v>7558</v>
      </c>
      <c r="B723" t="s">
        <v>7557</v>
      </c>
      <c r="C723" t="s">
        <v>5633</v>
      </c>
      <c r="D723" t="s">
        <v>2194</v>
      </c>
      <c r="E723" t="s">
        <v>4382</v>
      </c>
      <c r="G723" t="s">
        <v>9194</v>
      </c>
      <c r="H723" t="s">
        <v>362</v>
      </c>
      <c r="I723" t="s">
        <v>14</v>
      </c>
      <c r="K723" t="s">
        <v>5843</v>
      </c>
      <c r="M723" t="s">
        <v>7556</v>
      </c>
      <c r="P723" t="str">
        <f>"Update Project Set Organisation = '"&amp;H723&amp;"' where Project_ID = '"&amp;A723&amp;"'; "</f>
        <v xml:space="preserve">Update Project Set Organisation = 'University of Queensland' where Project_ID = 'P0722'; </v>
      </c>
      <c r="Q723" t="str">
        <f>"Update Project Set Library_name = '"&amp;L723&amp;"' , COADD_ID = '"&amp;M723&amp;"' where Project_ID = '"&amp;A723&amp;"'; "</f>
        <v xml:space="preserve">Update Project Set Library_name = '' , COADD_ID = 'CO-ADD:PC0722' where Project_ID = 'P0722'; </v>
      </c>
    </row>
    <row r="724" spans="1:17">
      <c r="A724" t="s">
        <v>7561</v>
      </c>
      <c r="B724" t="s">
        <v>7560</v>
      </c>
      <c r="C724" t="s">
        <v>5633</v>
      </c>
      <c r="D724" t="s">
        <v>4643</v>
      </c>
      <c r="E724" t="s">
        <v>4642</v>
      </c>
      <c r="G724" t="s">
        <v>9068</v>
      </c>
      <c r="H724" t="s">
        <v>4646</v>
      </c>
      <c r="I724" t="s">
        <v>1600</v>
      </c>
      <c r="K724" t="s">
        <v>5828</v>
      </c>
      <c r="L724" t="s">
        <v>5995</v>
      </c>
      <c r="M724" t="s">
        <v>7559</v>
      </c>
      <c r="N724" s="2">
        <v>45657</v>
      </c>
      <c r="P724" t="str">
        <f>"Update Project Set Organisation = '"&amp;H724&amp;"' where Project_ID = '"&amp;A724&amp;"'; "</f>
        <v xml:space="preserve">Update Project Set Organisation = 'Russian Academy of Science' where Project_ID = 'P0723'; </v>
      </c>
      <c r="Q724" t="str">
        <f>"Update Project Set Library_name = '"&amp;L724&amp;"' , COADD_ID = '"&amp;M724&amp;"' where Project_ID = '"&amp;A724&amp;"'; "</f>
        <v xml:space="preserve">Update Project Set Library_name = 'Russian Academy of Science (Russia)' , COADD_ID = 'CO-ADD:PC0723' where Project_ID = 'P0723'; </v>
      </c>
    </row>
    <row r="725" spans="1:17">
      <c r="A725" t="s">
        <v>7564</v>
      </c>
      <c r="B725" t="s">
        <v>7563</v>
      </c>
      <c r="C725" t="s">
        <v>5633</v>
      </c>
      <c r="D725" t="s">
        <v>1581</v>
      </c>
      <c r="E725" t="s">
        <v>2986</v>
      </c>
      <c r="G725" t="s">
        <v>8976</v>
      </c>
      <c r="H725" t="s">
        <v>208</v>
      </c>
      <c r="I725" t="s">
        <v>211</v>
      </c>
      <c r="K725" t="s">
        <v>5828</v>
      </c>
      <c r="L725" t="s">
        <v>6572</v>
      </c>
      <c r="M725" t="s">
        <v>7562</v>
      </c>
      <c r="N725" s="2">
        <v>45657</v>
      </c>
      <c r="P725" t="str">
        <f>"Update Project Set Organisation = '"&amp;H725&amp;"' where Project_ID = '"&amp;A725&amp;"'; "</f>
        <v xml:space="preserve">Update Project Set Organisation = 'Jain University' where Project_ID = 'P0724'; </v>
      </c>
      <c r="Q725" t="str">
        <f>"Update Project Set Library_name = '"&amp;L725&amp;"' , COADD_ID = '"&amp;M725&amp;"' where Project_ID = '"&amp;A725&amp;"'; "</f>
        <v xml:space="preserve">Update Project Set Library_name = 'Jain University (India)' , COADD_ID = 'CO-ADD:PC0724' where Project_ID = 'P0724'; </v>
      </c>
    </row>
    <row r="726" spans="1:17">
      <c r="A726" t="s">
        <v>7567</v>
      </c>
      <c r="B726" t="s">
        <v>7566</v>
      </c>
      <c r="C726" t="s">
        <v>5633</v>
      </c>
      <c r="D726" t="s">
        <v>1102</v>
      </c>
      <c r="E726" t="s">
        <v>1101</v>
      </c>
      <c r="F726" t="s">
        <v>2866</v>
      </c>
      <c r="G726" t="s">
        <v>9254</v>
      </c>
      <c r="H726" t="s">
        <v>1105</v>
      </c>
      <c r="I726" t="s">
        <v>117</v>
      </c>
      <c r="K726" t="s">
        <v>5828</v>
      </c>
      <c r="L726" t="s">
        <v>8187</v>
      </c>
      <c r="M726" t="s">
        <v>7565</v>
      </c>
      <c r="N726" s="2">
        <v>45657</v>
      </c>
      <c r="P726" t="str">
        <f>"Update Project Set Organisation = '"&amp;H726&amp;"' where Project_ID = '"&amp;A726&amp;"'; "</f>
        <v xml:space="preserve">Update Project Set Organisation = 'Vanderbilt University' where Project_ID = 'P0725'; </v>
      </c>
      <c r="Q726" t="str">
        <f>"Update Project Set Library_name = '"&amp;L726&amp;"' , COADD_ID = '"&amp;M726&amp;"' where Project_ID = '"&amp;A726&amp;"'; "</f>
        <v xml:space="preserve">Update Project Set Library_name = 'Vanderbilt University (United States)' , COADD_ID = 'CO-ADD:PC0725' where Project_ID = 'P0725'; </v>
      </c>
    </row>
    <row r="727" spans="1:17">
      <c r="A727" t="s">
        <v>7570</v>
      </c>
      <c r="B727" t="s">
        <v>7569</v>
      </c>
      <c r="C727" t="s">
        <v>5633</v>
      </c>
      <c r="D727" t="s">
        <v>3562</v>
      </c>
      <c r="E727" t="s">
        <v>3561</v>
      </c>
      <c r="G727" t="s">
        <v>9119</v>
      </c>
      <c r="H727" t="s">
        <v>1234</v>
      </c>
      <c r="I727" t="s">
        <v>1235</v>
      </c>
      <c r="K727" t="s">
        <v>5828</v>
      </c>
      <c r="L727" t="s">
        <v>8236</v>
      </c>
      <c r="M727" t="s">
        <v>7568</v>
      </c>
      <c r="N727" s="2">
        <v>45657</v>
      </c>
      <c r="P727" t="str">
        <f>"Update Project Set Organisation = '"&amp;H727&amp;"' where Project_ID = '"&amp;A727&amp;"'; "</f>
        <v xml:space="preserve">Update Project Set Organisation = 'University College Cork' where Project_ID = 'P0726'; </v>
      </c>
      <c r="Q727" t="str">
        <f>"Update Project Set Library_name = '"&amp;L727&amp;"' , COADD_ID = '"&amp;M727&amp;"' where Project_ID = '"&amp;A727&amp;"'; "</f>
        <v xml:space="preserve">Update Project Set Library_name = 'University College Cork (Ireland)' , COADD_ID = 'CO-ADD:PC0726' where Project_ID = 'P0726'; </v>
      </c>
    </row>
    <row r="728" spans="1:17">
      <c r="A728" t="s">
        <v>7572</v>
      </c>
      <c r="C728" t="s">
        <v>5633</v>
      </c>
      <c r="D728" t="s">
        <v>1020</v>
      </c>
      <c r="E728" t="s">
        <v>1312</v>
      </c>
      <c r="G728" t="s">
        <v>9131</v>
      </c>
      <c r="H728" t="s">
        <v>596</v>
      </c>
      <c r="I728" t="s">
        <v>223</v>
      </c>
      <c r="K728" t="s">
        <v>5828</v>
      </c>
      <c r="L728" t="s">
        <v>8167</v>
      </c>
      <c r="M728" t="s">
        <v>7571</v>
      </c>
      <c r="N728" s="2">
        <v>45657</v>
      </c>
      <c r="P728" t="str">
        <f>"Update Project Set Organisation = '"&amp;H728&amp;"' where Project_ID = '"&amp;A728&amp;"'; "</f>
        <v xml:space="preserve">Update Project Set Organisation = 'University of Auckland' where Project_ID = 'P0727'; </v>
      </c>
      <c r="Q728" t="str">
        <f>"Update Project Set Library_name = '"&amp;L728&amp;"' , COADD_ID = '"&amp;M728&amp;"' where Project_ID = '"&amp;A728&amp;"'; "</f>
        <v xml:space="preserve">Update Project Set Library_name = 'University of Auckland (New Zealand)' , COADD_ID = 'CO-ADD:PC0727' where Project_ID = 'P0727'; </v>
      </c>
    </row>
    <row r="729" spans="1:17">
      <c r="A729" t="s">
        <v>7574</v>
      </c>
      <c r="B729" t="s">
        <v>7569</v>
      </c>
      <c r="C729" t="s">
        <v>5633</v>
      </c>
      <c r="D729" t="s">
        <v>3562</v>
      </c>
      <c r="E729" t="s">
        <v>3561</v>
      </c>
      <c r="G729" t="s">
        <v>9119</v>
      </c>
      <c r="H729" t="s">
        <v>1234</v>
      </c>
      <c r="I729" t="s">
        <v>1235</v>
      </c>
      <c r="K729" t="s">
        <v>5828</v>
      </c>
      <c r="L729" t="s">
        <v>8236</v>
      </c>
      <c r="M729" t="s">
        <v>7573</v>
      </c>
      <c r="N729" s="2">
        <v>45657</v>
      </c>
      <c r="P729" t="str">
        <f>"Update Project Set Organisation = '"&amp;H729&amp;"' where Project_ID = '"&amp;A729&amp;"'; "</f>
        <v xml:space="preserve">Update Project Set Organisation = 'University College Cork' where Project_ID = 'P0728'; </v>
      </c>
      <c r="Q729" t="str">
        <f>"Update Project Set Library_name = '"&amp;L729&amp;"' , COADD_ID = '"&amp;M729&amp;"' where Project_ID = '"&amp;A729&amp;"'; "</f>
        <v xml:space="preserve">Update Project Set Library_name = 'University College Cork (Ireland)' , COADD_ID = 'CO-ADD:PC0728' where Project_ID = 'P0728'; </v>
      </c>
    </row>
    <row r="730" spans="1:17">
      <c r="A730" t="s">
        <v>7577</v>
      </c>
      <c r="B730" t="s">
        <v>7576</v>
      </c>
      <c r="C730" t="s">
        <v>5633</v>
      </c>
      <c r="D730" t="s">
        <v>3531</v>
      </c>
      <c r="E730" t="s">
        <v>3530</v>
      </c>
      <c r="G730" t="s">
        <v>9032</v>
      </c>
      <c r="H730" t="s">
        <v>3535</v>
      </c>
      <c r="I730" t="s">
        <v>2634</v>
      </c>
      <c r="K730" t="s">
        <v>5828</v>
      </c>
      <c r="L730" t="s">
        <v>8295</v>
      </c>
      <c r="M730" t="s">
        <v>7575</v>
      </c>
      <c r="N730" s="2">
        <v>45657</v>
      </c>
      <c r="P730" t="str">
        <f>"Update Project Set Organisation = '"&amp;H730&amp;"' where Project_ID = '"&amp;A730&amp;"'; "</f>
        <v xml:space="preserve">Update Project Set Organisation = 'National Center for Scientific Research (NCSR) Demokritos' where Project_ID = 'P0729'; </v>
      </c>
      <c r="Q730" t="str">
        <f>"Update Project Set Library_name = '"&amp;L730&amp;"' , COADD_ID = '"&amp;M730&amp;"' where Project_ID = '"&amp;A730&amp;"'; "</f>
        <v xml:space="preserve">Update Project Set Library_name = 'National Center for Scientific Research (NCSR) Demokritos (Greece)' , COADD_ID = 'CO-ADD:PC0729' where Project_ID = 'P0729'; </v>
      </c>
    </row>
    <row r="731" spans="1:17">
      <c r="A731" t="s">
        <v>7580</v>
      </c>
      <c r="B731" t="s">
        <v>7579</v>
      </c>
      <c r="C731" t="s">
        <v>5633</v>
      </c>
      <c r="D731" t="s">
        <v>2778</v>
      </c>
      <c r="E731" t="s">
        <v>2777</v>
      </c>
      <c r="F731" t="s">
        <v>3787</v>
      </c>
      <c r="G731" t="s">
        <v>9002</v>
      </c>
      <c r="H731" t="s">
        <v>2781</v>
      </c>
      <c r="I731" t="s">
        <v>211</v>
      </c>
      <c r="K731" t="s">
        <v>5837</v>
      </c>
      <c r="M731" t="s">
        <v>7578</v>
      </c>
      <c r="P731" t="str">
        <f>"Update Project Set Organisation = '"&amp;H731&amp;"' where Project_ID = '"&amp;A731&amp;"'; "</f>
        <v xml:space="preserve">Update Project Set Organisation = 'Mangalore University' where Project_ID = 'P0730'; </v>
      </c>
      <c r="Q731" t="str">
        <f>"Update Project Set Library_name = '"&amp;L731&amp;"' , COADD_ID = '"&amp;M731&amp;"' where Project_ID = '"&amp;A731&amp;"'; "</f>
        <v xml:space="preserve">Update Project Set Library_name = '' , COADD_ID = 'CO-ADD:PC0730' where Project_ID = 'P0730'; </v>
      </c>
    </row>
    <row r="732" spans="1:17">
      <c r="A732" t="s">
        <v>7583</v>
      </c>
      <c r="B732" t="s">
        <v>7582</v>
      </c>
      <c r="C732" t="s">
        <v>5633</v>
      </c>
      <c r="D732" t="s">
        <v>4643</v>
      </c>
      <c r="E732" t="s">
        <v>4642</v>
      </c>
      <c r="G732" t="s">
        <v>9068</v>
      </c>
      <c r="H732" t="s">
        <v>4646</v>
      </c>
      <c r="I732" t="s">
        <v>1600</v>
      </c>
      <c r="K732" t="s">
        <v>5828</v>
      </c>
      <c r="L732" t="s">
        <v>5995</v>
      </c>
      <c r="M732" t="s">
        <v>7581</v>
      </c>
      <c r="N732" s="2">
        <v>45657</v>
      </c>
      <c r="P732" t="str">
        <f>"Update Project Set Organisation = '"&amp;H732&amp;"' where Project_ID = '"&amp;A732&amp;"'; "</f>
        <v xml:space="preserve">Update Project Set Organisation = 'Russian Academy of Science' where Project_ID = 'P0731'; </v>
      </c>
      <c r="Q732" t="str">
        <f>"Update Project Set Library_name = '"&amp;L732&amp;"' , COADD_ID = '"&amp;M732&amp;"' where Project_ID = '"&amp;A732&amp;"'; "</f>
        <v xml:space="preserve">Update Project Set Library_name = 'Russian Academy of Science (Russia)' , COADD_ID = 'CO-ADD:PC0731' where Project_ID = 'P0731'; </v>
      </c>
    </row>
    <row r="733" spans="1:17">
      <c r="A733" t="s">
        <v>7586</v>
      </c>
      <c r="B733" t="s">
        <v>7585</v>
      </c>
      <c r="C733" t="s">
        <v>5633</v>
      </c>
      <c r="D733" t="s">
        <v>4643</v>
      </c>
      <c r="E733" t="s">
        <v>4642</v>
      </c>
      <c r="G733" t="s">
        <v>9068</v>
      </c>
      <c r="H733" t="s">
        <v>4646</v>
      </c>
      <c r="I733" t="s">
        <v>1600</v>
      </c>
      <c r="K733" t="s">
        <v>5828</v>
      </c>
      <c r="L733" t="s">
        <v>5995</v>
      </c>
      <c r="M733" t="s">
        <v>7584</v>
      </c>
      <c r="N733" s="2">
        <v>45657</v>
      </c>
      <c r="P733" t="str">
        <f>"Update Project Set Organisation = '"&amp;H733&amp;"' where Project_ID = '"&amp;A733&amp;"'; "</f>
        <v xml:space="preserve">Update Project Set Organisation = 'Russian Academy of Science' where Project_ID = 'P0732'; </v>
      </c>
      <c r="Q733" t="str">
        <f>"Update Project Set Library_name = '"&amp;L733&amp;"' , COADD_ID = '"&amp;M733&amp;"' where Project_ID = '"&amp;A733&amp;"'; "</f>
        <v xml:space="preserve">Update Project Set Library_name = 'Russian Academy of Science (Russia)' , COADD_ID = 'CO-ADD:PC0732' where Project_ID = 'P0732'; </v>
      </c>
    </row>
    <row r="734" spans="1:17">
      <c r="A734" t="s">
        <v>7590</v>
      </c>
      <c r="B734" t="s">
        <v>7589</v>
      </c>
      <c r="C734" t="s">
        <v>5633</v>
      </c>
      <c r="D734" t="s">
        <v>247</v>
      </c>
      <c r="E734" t="s">
        <v>1630</v>
      </c>
      <c r="G734" t="s">
        <v>9011</v>
      </c>
      <c r="H734" t="s">
        <v>250</v>
      </c>
      <c r="I734" t="s">
        <v>253</v>
      </c>
      <c r="K734" t="s">
        <v>5828</v>
      </c>
      <c r="L734" t="s">
        <v>7588</v>
      </c>
      <c r="M734" t="s">
        <v>7587</v>
      </c>
      <c r="N734" s="2">
        <v>43770</v>
      </c>
      <c r="P734" t="str">
        <f>"Update Project Set Organisation = '"&amp;H734&amp;"' where Project_ID = '"&amp;A734&amp;"'; "</f>
        <v xml:space="preserve">Update Project Set Organisation = 'Medicines for Malaria Venture (MMV)' where Project_ID = 'P0733'; </v>
      </c>
      <c r="Q734" t="str">
        <f>"Update Project Set Library_name = '"&amp;L734&amp;"' , COADD_ID = '"&amp;M734&amp;"' where Project_ID = '"&amp;A734&amp;"'; "</f>
        <v xml:space="preserve">Update Project Set Library_name = 'MMV (CH) - Pandemic Response Box' , COADD_ID = 'CO-ADD:PL0023' where Project_ID = 'P0733'; </v>
      </c>
    </row>
    <row r="735" spans="1:17">
      <c r="A735" t="s">
        <v>7593</v>
      </c>
      <c r="B735" t="s">
        <v>7592</v>
      </c>
      <c r="C735" t="s">
        <v>5633</v>
      </c>
      <c r="D735" t="s">
        <v>4643</v>
      </c>
      <c r="E735" t="s">
        <v>4642</v>
      </c>
      <c r="G735" t="s">
        <v>9068</v>
      </c>
      <c r="H735" t="s">
        <v>4646</v>
      </c>
      <c r="I735" t="s">
        <v>1600</v>
      </c>
      <c r="K735" t="s">
        <v>5828</v>
      </c>
      <c r="L735" t="s">
        <v>5995</v>
      </c>
      <c r="M735" t="s">
        <v>7591</v>
      </c>
      <c r="N735" s="2">
        <v>45657</v>
      </c>
      <c r="P735" t="str">
        <f>"Update Project Set Organisation = '"&amp;H735&amp;"' where Project_ID = '"&amp;A735&amp;"'; "</f>
        <v xml:space="preserve">Update Project Set Organisation = 'Russian Academy of Science' where Project_ID = 'P0734'; </v>
      </c>
      <c r="Q735" t="str">
        <f>"Update Project Set Library_name = '"&amp;L735&amp;"' , COADD_ID = '"&amp;M735&amp;"' where Project_ID = '"&amp;A735&amp;"'; "</f>
        <v xml:space="preserve">Update Project Set Library_name = 'Russian Academy of Science (Russia)' , COADD_ID = 'CO-ADD:PC0734' where Project_ID = 'P0734'; </v>
      </c>
    </row>
    <row r="736" spans="1:17">
      <c r="A736" t="s">
        <v>7596</v>
      </c>
      <c r="B736" t="s">
        <v>7595</v>
      </c>
      <c r="C736" t="s">
        <v>5633</v>
      </c>
      <c r="D736" t="s">
        <v>4643</v>
      </c>
      <c r="E736" t="s">
        <v>4642</v>
      </c>
      <c r="G736" t="s">
        <v>9068</v>
      </c>
      <c r="H736" t="s">
        <v>4646</v>
      </c>
      <c r="I736" t="s">
        <v>1600</v>
      </c>
      <c r="K736" t="s">
        <v>5828</v>
      </c>
      <c r="L736" t="s">
        <v>5995</v>
      </c>
      <c r="M736" t="s">
        <v>7594</v>
      </c>
      <c r="N736" s="2">
        <v>45657</v>
      </c>
      <c r="P736" t="str">
        <f>"Update Project Set Organisation = '"&amp;H736&amp;"' where Project_ID = '"&amp;A736&amp;"'; "</f>
        <v xml:space="preserve">Update Project Set Organisation = 'Russian Academy of Science' where Project_ID = 'P0735'; </v>
      </c>
      <c r="Q736" t="str">
        <f>"Update Project Set Library_name = '"&amp;L736&amp;"' , COADD_ID = '"&amp;M736&amp;"' where Project_ID = '"&amp;A736&amp;"'; "</f>
        <v xml:space="preserve">Update Project Set Library_name = 'Russian Academy of Science (Russia)' , COADD_ID = 'CO-ADD:PC0735' where Project_ID = 'P0735'; </v>
      </c>
    </row>
    <row r="737" spans="1:17">
      <c r="A737" t="s">
        <v>7599</v>
      </c>
      <c r="B737" t="s">
        <v>7598</v>
      </c>
      <c r="C737" t="s">
        <v>5633</v>
      </c>
      <c r="D737" t="s">
        <v>1013</v>
      </c>
      <c r="E737" t="s">
        <v>1012</v>
      </c>
      <c r="G737" t="s">
        <v>9098</v>
      </c>
      <c r="H737" t="s">
        <v>1684</v>
      </c>
      <c r="I737" t="s">
        <v>481</v>
      </c>
      <c r="K737" t="s">
        <v>5828</v>
      </c>
      <c r="L737" t="s">
        <v>8274</v>
      </c>
      <c r="M737" t="s">
        <v>7597</v>
      </c>
      <c r="N737" s="2">
        <v>45657</v>
      </c>
      <c r="P737" t="str">
        <f>"Update Project Set Organisation = '"&amp;H737&amp;"' where Project_ID = '"&amp;A737&amp;"'; "</f>
        <v xml:space="preserve">Update Project Set Organisation = 'Universidad de Buenos Aires' where Project_ID = 'P0736'; </v>
      </c>
      <c r="Q737" t="str">
        <f>"Update Project Set Library_name = '"&amp;L737&amp;"' , COADD_ID = '"&amp;M737&amp;"' where Project_ID = '"&amp;A737&amp;"'; "</f>
        <v xml:space="preserve">Update Project Set Library_name = 'Universidad de Buenos Aires (Argentina)' , COADD_ID = 'CO-ADD:PC0736' where Project_ID = 'P0736'; </v>
      </c>
    </row>
    <row r="738" spans="1:17">
      <c r="A738" t="s">
        <v>7602</v>
      </c>
      <c r="B738" t="s">
        <v>7601</v>
      </c>
      <c r="C738" t="s">
        <v>5633</v>
      </c>
      <c r="D738" t="s">
        <v>4643</v>
      </c>
      <c r="E738" t="s">
        <v>4642</v>
      </c>
      <c r="G738" t="s">
        <v>9068</v>
      </c>
      <c r="H738" t="s">
        <v>4646</v>
      </c>
      <c r="I738" t="s">
        <v>1600</v>
      </c>
      <c r="K738" t="s">
        <v>5828</v>
      </c>
      <c r="L738" t="s">
        <v>5995</v>
      </c>
      <c r="M738" t="s">
        <v>7600</v>
      </c>
      <c r="N738" s="2">
        <v>45657</v>
      </c>
      <c r="P738" t="str">
        <f>"Update Project Set Organisation = '"&amp;H738&amp;"' where Project_ID = '"&amp;A738&amp;"'; "</f>
        <v xml:space="preserve">Update Project Set Organisation = 'Russian Academy of Science' where Project_ID = 'P0737'; </v>
      </c>
      <c r="Q738" t="str">
        <f>"Update Project Set Library_name = '"&amp;L738&amp;"' , COADD_ID = '"&amp;M738&amp;"' where Project_ID = '"&amp;A738&amp;"'; "</f>
        <v xml:space="preserve">Update Project Set Library_name = 'Russian Academy of Science (Russia)' , COADD_ID = 'CO-ADD:PC0737' where Project_ID = 'P0737'; </v>
      </c>
    </row>
    <row r="739" spans="1:17">
      <c r="A739" t="s">
        <v>7604</v>
      </c>
      <c r="B739" t="s">
        <v>7457</v>
      </c>
      <c r="C739" t="s">
        <v>5633</v>
      </c>
      <c r="D739" t="s">
        <v>743</v>
      </c>
      <c r="E739" t="s">
        <v>742</v>
      </c>
      <c r="F739" t="s">
        <v>3818</v>
      </c>
      <c r="G739" t="s">
        <v>9268</v>
      </c>
      <c r="H739" t="s">
        <v>746</v>
      </c>
      <c r="I739" t="s">
        <v>748</v>
      </c>
      <c r="K739" t="s">
        <v>5828</v>
      </c>
      <c r="L739" t="s">
        <v>6524</v>
      </c>
      <c r="M739" t="s">
        <v>7603</v>
      </c>
      <c r="N739" s="2">
        <v>45657</v>
      </c>
      <c r="P739" t="str">
        <f>"Update Project Set Organisation = '"&amp;H739&amp;"' where Project_ID = '"&amp;A739&amp;"'; "</f>
        <v xml:space="preserve">Update Project Set Organisation = 'Yantai University' where Project_ID = 'P0738'; </v>
      </c>
      <c r="Q739" t="str">
        <f>"Update Project Set Library_name = '"&amp;L739&amp;"' , COADD_ID = '"&amp;M739&amp;"' where Project_ID = '"&amp;A739&amp;"'; "</f>
        <v xml:space="preserve">Update Project Set Library_name = 'Yantai University (China)' , COADD_ID = 'CO-ADD:PC0738' where Project_ID = 'P0738'; </v>
      </c>
    </row>
    <row r="740" spans="1:17">
      <c r="A740" t="s">
        <v>7607</v>
      </c>
      <c r="B740" t="s">
        <v>7606</v>
      </c>
      <c r="C740" t="s">
        <v>5633</v>
      </c>
      <c r="D740" t="s">
        <v>59</v>
      </c>
      <c r="E740" t="s">
        <v>4457</v>
      </c>
      <c r="G740" t="s">
        <v>9018</v>
      </c>
      <c r="H740" t="s">
        <v>5798</v>
      </c>
      <c r="I740" t="s">
        <v>55</v>
      </c>
      <c r="K740" t="s">
        <v>5828</v>
      </c>
      <c r="L740" t="s">
        <v>8242</v>
      </c>
      <c r="M740" t="s">
        <v>7605</v>
      </c>
      <c r="N740" s="2">
        <v>45657</v>
      </c>
      <c r="P740" t="str">
        <f>"Update Project Set Organisation = '"&amp;H740&amp;"' where Project_ID = '"&amp;A740&amp;"'; "</f>
        <v xml:space="preserve">Update Project Set Organisation = 'Modern University for Technology and Information' where Project_ID = 'P0739'; </v>
      </c>
      <c r="Q740" t="str">
        <f>"Update Project Set Library_name = '"&amp;L740&amp;"' , COADD_ID = '"&amp;M740&amp;"' where Project_ID = '"&amp;A740&amp;"'; "</f>
        <v xml:space="preserve">Update Project Set Library_name = 'Modern University for Technology and Information (Egypt)' , COADD_ID = 'CO-ADD:PC0739' where Project_ID = 'P0739'; </v>
      </c>
    </row>
    <row r="741" spans="1:17">
      <c r="A741" t="s">
        <v>7609</v>
      </c>
      <c r="C741" t="s">
        <v>5633</v>
      </c>
      <c r="D741" t="s">
        <v>769</v>
      </c>
      <c r="E741" t="s">
        <v>1496</v>
      </c>
      <c r="G741" t="s">
        <v>8954</v>
      </c>
      <c r="H741" t="s">
        <v>8151</v>
      </c>
      <c r="I741" t="s">
        <v>704</v>
      </c>
      <c r="K741" t="s">
        <v>5828</v>
      </c>
      <c r="L741" t="s">
        <v>8296</v>
      </c>
      <c r="M741" t="s">
        <v>7608</v>
      </c>
      <c r="N741" s="2">
        <v>45657</v>
      </c>
      <c r="P741" t="str">
        <f>"Update Project Set Organisation = '"&amp;H741&amp;"' where Project_ID = '"&amp;A741&amp;"'; "</f>
        <v xml:space="preserve">Update Project Set Organisation = 'Hautes Etudes Ingénieur (HEI)' where Project_ID = 'P0740'; </v>
      </c>
      <c r="Q741" t="str">
        <f>"Update Project Set Library_name = '"&amp;L741&amp;"' , COADD_ID = '"&amp;M741&amp;"' where Project_ID = '"&amp;A741&amp;"'; "</f>
        <v xml:space="preserve">Update Project Set Library_name = 'Hautes Etudes Ingénieur (HEI) (France)' , COADD_ID = 'CO-ADD:PC0740' where Project_ID = 'P0740'; </v>
      </c>
    </row>
    <row r="742" spans="1:17">
      <c r="A742" t="s">
        <v>7612</v>
      </c>
      <c r="B742" t="s">
        <v>7611</v>
      </c>
      <c r="C742" t="s">
        <v>5633</v>
      </c>
      <c r="D742" t="s">
        <v>2194</v>
      </c>
      <c r="E742" t="s">
        <v>4382</v>
      </c>
      <c r="G742" t="s">
        <v>9194</v>
      </c>
      <c r="H742" t="s">
        <v>362</v>
      </c>
      <c r="I742" t="s">
        <v>14</v>
      </c>
      <c r="K742" t="s">
        <v>5843</v>
      </c>
      <c r="M742" t="s">
        <v>7610</v>
      </c>
      <c r="P742" t="str">
        <f>"Update Project Set Organisation = '"&amp;H742&amp;"' where Project_ID = '"&amp;A742&amp;"'; "</f>
        <v xml:space="preserve">Update Project Set Organisation = 'University of Queensland' where Project_ID = 'P0741'; </v>
      </c>
      <c r="Q742" t="str">
        <f>"Update Project Set Library_name = '"&amp;L742&amp;"' , COADD_ID = '"&amp;M742&amp;"' where Project_ID = '"&amp;A742&amp;"'; "</f>
        <v xml:space="preserve">Update Project Set Library_name = '' , COADD_ID = 'CO-ADD:PC0741' where Project_ID = 'P0741'; </v>
      </c>
    </row>
    <row r="743" spans="1:17">
      <c r="A743" t="s">
        <v>7615</v>
      </c>
      <c r="B743" t="s">
        <v>7614</v>
      </c>
      <c r="C743" t="s">
        <v>5633</v>
      </c>
      <c r="D743" t="s">
        <v>4643</v>
      </c>
      <c r="E743" t="s">
        <v>4642</v>
      </c>
      <c r="G743" t="s">
        <v>9068</v>
      </c>
      <c r="H743" t="s">
        <v>4646</v>
      </c>
      <c r="I743" t="s">
        <v>1600</v>
      </c>
      <c r="K743" t="s">
        <v>5828</v>
      </c>
      <c r="L743" t="s">
        <v>5995</v>
      </c>
      <c r="M743" t="s">
        <v>7613</v>
      </c>
      <c r="N743" s="2">
        <v>45657</v>
      </c>
      <c r="P743" t="str">
        <f>"Update Project Set Organisation = '"&amp;H743&amp;"' where Project_ID = '"&amp;A743&amp;"'; "</f>
        <v xml:space="preserve">Update Project Set Organisation = 'Russian Academy of Science' where Project_ID = 'P0742'; </v>
      </c>
      <c r="Q743" t="str">
        <f>"Update Project Set Library_name = '"&amp;L743&amp;"' , COADD_ID = '"&amp;M743&amp;"' where Project_ID = '"&amp;A743&amp;"'; "</f>
        <v xml:space="preserve">Update Project Set Library_name = 'Russian Academy of Science (Russia)' , COADD_ID = 'CO-ADD:PC0742' where Project_ID = 'P0742'; </v>
      </c>
    </row>
    <row r="744" spans="1:17">
      <c r="A744" t="s">
        <v>7618</v>
      </c>
      <c r="B744" t="s">
        <v>7617</v>
      </c>
      <c r="C744" t="s">
        <v>5633</v>
      </c>
      <c r="D744" t="s">
        <v>4643</v>
      </c>
      <c r="E744" t="s">
        <v>4642</v>
      </c>
      <c r="G744" t="s">
        <v>9068</v>
      </c>
      <c r="H744" t="s">
        <v>4646</v>
      </c>
      <c r="I744" t="s">
        <v>1600</v>
      </c>
      <c r="K744" t="s">
        <v>5828</v>
      </c>
      <c r="L744" t="s">
        <v>5995</v>
      </c>
      <c r="M744" t="s">
        <v>7616</v>
      </c>
      <c r="N744" s="2">
        <v>45657</v>
      </c>
      <c r="P744" t="str">
        <f>"Update Project Set Organisation = '"&amp;H744&amp;"' where Project_ID = '"&amp;A744&amp;"'; "</f>
        <v xml:space="preserve">Update Project Set Organisation = 'Russian Academy of Science' where Project_ID = 'P0743'; </v>
      </c>
      <c r="Q744" t="str">
        <f>"Update Project Set Library_name = '"&amp;L744&amp;"' , COADD_ID = '"&amp;M744&amp;"' where Project_ID = '"&amp;A744&amp;"'; "</f>
        <v xml:space="preserve">Update Project Set Library_name = 'Russian Academy of Science (Russia)' , COADD_ID = 'CO-ADD:PC0743' where Project_ID = 'P0743'; </v>
      </c>
    </row>
    <row r="745" spans="1:17">
      <c r="A745" t="s">
        <v>7621</v>
      </c>
      <c r="B745" t="s">
        <v>7620</v>
      </c>
      <c r="C745" t="s">
        <v>5633</v>
      </c>
      <c r="D745" t="s">
        <v>4643</v>
      </c>
      <c r="E745" t="s">
        <v>4642</v>
      </c>
      <c r="G745" t="s">
        <v>9068</v>
      </c>
      <c r="H745" t="s">
        <v>4646</v>
      </c>
      <c r="I745" t="s">
        <v>1600</v>
      </c>
      <c r="K745" t="s">
        <v>5828</v>
      </c>
      <c r="L745" t="s">
        <v>5995</v>
      </c>
      <c r="M745" t="s">
        <v>7619</v>
      </c>
      <c r="N745" s="2">
        <v>45657</v>
      </c>
      <c r="P745" t="str">
        <f>"Update Project Set Organisation = '"&amp;H745&amp;"' where Project_ID = '"&amp;A745&amp;"'; "</f>
        <v xml:space="preserve">Update Project Set Organisation = 'Russian Academy of Science' where Project_ID = 'P0744'; </v>
      </c>
      <c r="Q745" t="str">
        <f>"Update Project Set Library_name = '"&amp;L745&amp;"' , COADD_ID = '"&amp;M745&amp;"' where Project_ID = '"&amp;A745&amp;"'; "</f>
        <v xml:space="preserve">Update Project Set Library_name = 'Russian Academy of Science (Russia)' , COADD_ID = 'CO-ADD:PC0744' where Project_ID = 'P0744'; </v>
      </c>
    </row>
    <row r="746" spans="1:17">
      <c r="A746" t="s">
        <v>7623</v>
      </c>
      <c r="B746" t="s">
        <v>3645</v>
      </c>
      <c r="C746" t="s">
        <v>5633</v>
      </c>
      <c r="D746" t="s">
        <v>59</v>
      </c>
      <c r="E746" t="s">
        <v>3644</v>
      </c>
      <c r="G746" t="s">
        <v>9018</v>
      </c>
      <c r="H746" t="s">
        <v>5798</v>
      </c>
      <c r="I746" t="s">
        <v>55</v>
      </c>
      <c r="K746" t="s">
        <v>5828</v>
      </c>
      <c r="L746" t="s">
        <v>8242</v>
      </c>
      <c r="M746" t="s">
        <v>7622</v>
      </c>
      <c r="N746" s="2">
        <v>45657</v>
      </c>
      <c r="P746" t="str">
        <f>"Update Project Set Organisation = '"&amp;H746&amp;"' where Project_ID = '"&amp;A746&amp;"'; "</f>
        <v xml:space="preserve">Update Project Set Organisation = 'Modern University for Technology and Information' where Project_ID = 'P0745'; </v>
      </c>
      <c r="Q746" t="str">
        <f>"Update Project Set Library_name = '"&amp;L746&amp;"' , COADD_ID = '"&amp;M746&amp;"' where Project_ID = '"&amp;A746&amp;"'; "</f>
        <v xml:space="preserve">Update Project Set Library_name = 'Modern University for Technology and Information (Egypt)' , COADD_ID = 'CO-ADD:PC0745' where Project_ID = 'P0745'; </v>
      </c>
    </row>
    <row r="747" spans="1:17">
      <c r="A747" t="s">
        <v>7625</v>
      </c>
      <c r="B747" t="s">
        <v>7412</v>
      </c>
      <c r="C747" t="s">
        <v>5633</v>
      </c>
      <c r="D747" t="s">
        <v>2258</v>
      </c>
      <c r="E747" t="s">
        <v>3319</v>
      </c>
      <c r="G747" t="s">
        <v>9175</v>
      </c>
      <c r="H747" t="s">
        <v>1539</v>
      </c>
      <c r="I747" t="s">
        <v>14</v>
      </c>
      <c r="K747" t="s">
        <v>5828</v>
      </c>
      <c r="L747" t="s">
        <v>8245</v>
      </c>
      <c r="M747" t="s">
        <v>7624</v>
      </c>
      <c r="N747" s="2">
        <v>45657</v>
      </c>
      <c r="P747" t="str">
        <f>"Update Project Set Organisation = '"&amp;H747&amp;"' where Project_ID = '"&amp;A747&amp;"'; "</f>
        <v xml:space="preserve">Update Project Set Organisation = 'University of New England' where Project_ID = 'P0746'; </v>
      </c>
      <c r="Q747" t="str">
        <f>"Update Project Set Library_name = '"&amp;L747&amp;"' , COADD_ID = '"&amp;M747&amp;"' where Project_ID = '"&amp;A747&amp;"'; "</f>
        <v xml:space="preserve">Update Project Set Library_name = 'University of New England (Australia)' , COADD_ID = 'CO-ADD:PC0746' where Project_ID = 'P0746'; </v>
      </c>
    </row>
    <row r="748" spans="1:17">
      <c r="A748" t="s">
        <v>7627</v>
      </c>
      <c r="B748" t="s">
        <v>7626</v>
      </c>
      <c r="C748" t="s">
        <v>5633</v>
      </c>
      <c r="D748" t="s">
        <v>4643</v>
      </c>
      <c r="E748" t="s">
        <v>4642</v>
      </c>
      <c r="G748" t="s">
        <v>9068</v>
      </c>
      <c r="H748" t="s">
        <v>4646</v>
      </c>
      <c r="I748" t="s">
        <v>1600</v>
      </c>
      <c r="K748" t="s">
        <v>5828</v>
      </c>
      <c r="L748" t="s">
        <v>5995</v>
      </c>
      <c r="M748" t="s">
        <v>8391</v>
      </c>
      <c r="N748" s="2">
        <v>45657</v>
      </c>
      <c r="P748" t="str">
        <f>"Update Project Set Organisation = '"&amp;H748&amp;"' where Project_ID = '"&amp;A748&amp;"'; "</f>
        <v xml:space="preserve">Update Project Set Organisation = 'Russian Academy of Science' where Project_ID = 'P0747'; </v>
      </c>
      <c r="Q748" t="str">
        <f>"Update Project Set Library_name = '"&amp;L748&amp;"' , COADD_ID = '"&amp;M748&amp;"' where Project_ID = '"&amp;A748&amp;"'; "</f>
        <v xml:space="preserve">Update Project Set Library_name = 'Russian Academy of Science (Russia)' , COADD_ID = 'CO-ADD:PC0747' where Project_ID = 'P0747'; </v>
      </c>
    </row>
    <row r="749" spans="1:17">
      <c r="A749" t="s">
        <v>7628</v>
      </c>
      <c r="B749" t="s">
        <v>7476</v>
      </c>
      <c r="C749" t="s">
        <v>5633</v>
      </c>
      <c r="D749" t="s">
        <v>495</v>
      </c>
      <c r="E749" t="s">
        <v>5474</v>
      </c>
      <c r="G749" t="s">
        <v>9181</v>
      </c>
      <c r="H749" t="s">
        <v>499</v>
      </c>
      <c r="I749" t="s">
        <v>117</v>
      </c>
      <c r="K749" t="s">
        <v>5828</v>
      </c>
      <c r="L749" t="s">
        <v>8251</v>
      </c>
      <c r="M749" t="s">
        <v>8426</v>
      </c>
      <c r="N749" s="2">
        <v>45657</v>
      </c>
      <c r="P749" t="str">
        <f>"Update Project Set Organisation = '"&amp;H749&amp;"' where Project_ID = '"&amp;A749&amp;"'; "</f>
        <v xml:space="preserve">Update Project Set Organisation = 'University of North Carolina at Chapel Hill' where Project_ID = 'P0748'; </v>
      </c>
      <c r="Q749" t="str">
        <f>"Update Project Set Library_name = '"&amp;L749&amp;"' , COADD_ID = '"&amp;M749&amp;"' where Project_ID = '"&amp;A749&amp;"'; "</f>
        <v xml:space="preserve">Update Project Set Library_name = 'University of North Carolina at Chapel Hill (United States)' , COADD_ID = 'CO-ADD:PC0748' where Project_ID = 'P0748'; </v>
      </c>
    </row>
    <row r="750" spans="1:17">
      <c r="A750" t="s">
        <v>7630</v>
      </c>
      <c r="B750" t="s">
        <v>7629</v>
      </c>
      <c r="C750" t="s">
        <v>5633</v>
      </c>
      <c r="D750" t="s">
        <v>968</v>
      </c>
      <c r="E750" t="s">
        <v>1523</v>
      </c>
      <c r="G750" t="s">
        <v>8983</v>
      </c>
      <c r="H750" t="s">
        <v>971</v>
      </c>
      <c r="I750" t="s">
        <v>557</v>
      </c>
      <c r="K750" t="s">
        <v>5828</v>
      </c>
      <c r="L750" t="s">
        <v>8169</v>
      </c>
      <c r="M750" t="s">
        <v>8358</v>
      </c>
      <c r="N750" s="2">
        <v>45657</v>
      </c>
      <c r="P750" t="str">
        <f>"Update Project Set Organisation = '"&amp;H750&amp;"' where Project_ID = '"&amp;A750&amp;"'; "</f>
        <v xml:space="preserve">Update Project Set Organisation = 'Karlsruhe Institute of Technology (KIT)' where Project_ID = 'P0749'; </v>
      </c>
      <c r="Q750" t="str">
        <f>"Update Project Set Library_name = '"&amp;L750&amp;"' , COADD_ID = '"&amp;M750&amp;"' where Project_ID = '"&amp;A750&amp;"'; "</f>
        <v xml:space="preserve">Update Project Set Library_name = 'Karlsruhe Institute of Technology (KIT) (Germany)' , COADD_ID = 'CO-ADD:PC0749' where Project_ID = 'P0749'; </v>
      </c>
    </row>
    <row r="751" spans="1:17">
      <c r="A751" t="s">
        <v>7632</v>
      </c>
      <c r="B751" t="s">
        <v>7631</v>
      </c>
      <c r="C751" t="s">
        <v>5633</v>
      </c>
      <c r="D751" t="s">
        <v>2173</v>
      </c>
      <c r="E751" t="s">
        <v>2237</v>
      </c>
      <c r="G751" t="s">
        <v>8945</v>
      </c>
      <c r="H751" t="s">
        <v>1327</v>
      </c>
      <c r="I751" t="s">
        <v>14</v>
      </c>
      <c r="K751" t="s">
        <v>5828</v>
      </c>
      <c r="L751" t="s">
        <v>8162</v>
      </c>
      <c r="M751" t="s">
        <v>8346</v>
      </c>
      <c r="N751" s="2">
        <v>45657</v>
      </c>
      <c r="P751" t="str">
        <f>"Update Project Set Organisation = '"&amp;H751&amp;"' where Project_ID = '"&amp;A751&amp;"'; "</f>
        <v xml:space="preserve">Update Project Set Organisation = 'Griffith University' where Project_ID = 'P0750'; </v>
      </c>
      <c r="Q751" t="str">
        <f>"Update Project Set Library_name = '"&amp;L751&amp;"' , COADD_ID = '"&amp;M751&amp;"' where Project_ID = '"&amp;A751&amp;"'; "</f>
        <v xml:space="preserve">Update Project Set Library_name = 'Griffith University (Australia)' , COADD_ID = 'CO-ADD:PC0750' where Project_ID = 'P0750'; </v>
      </c>
    </row>
    <row r="752" spans="1:17">
      <c r="A752" t="s">
        <v>7634</v>
      </c>
      <c r="B752" t="s">
        <v>7633</v>
      </c>
      <c r="C752" t="s">
        <v>5633</v>
      </c>
      <c r="D752" t="s">
        <v>4643</v>
      </c>
      <c r="E752" t="s">
        <v>4642</v>
      </c>
      <c r="G752" t="s">
        <v>9068</v>
      </c>
      <c r="H752" t="s">
        <v>4646</v>
      </c>
      <c r="I752" t="s">
        <v>1600</v>
      </c>
      <c r="K752" t="s">
        <v>5828</v>
      </c>
      <c r="L752" t="s">
        <v>5995</v>
      </c>
      <c r="M752" t="s">
        <v>8392</v>
      </c>
      <c r="N752" s="2">
        <v>45657</v>
      </c>
      <c r="P752" t="str">
        <f>"Update Project Set Organisation = '"&amp;H752&amp;"' where Project_ID = '"&amp;A752&amp;"'; "</f>
        <v xml:space="preserve">Update Project Set Organisation = 'Russian Academy of Science' where Project_ID = 'P0751'; </v>
      </c>
      <c r="Q752" t="str">
        <f>"Update Project Set Library_name = '"&amp;L752&amp;"' , COADD_ID = '"&amp;M752&amp;"' where Project_ID = '"&amp;A752&amp;"'; "</f>
        <v xml:space="preserve">Update Project Set Library_name = 'Russian Academy of Science (Russia)' , COADD_ID = 'CO-ADD:PC0751' where Project_ID = 'P0751'; </v>
      </c>
    </row>
    <row r="753" spans="1:17">
      <c r="A753" t="s">
        <v>7636</v>
      </c>
      <c r="B753" t="s">
        <v>7635</v>
      </c>
      <c r="C753" t="s">
        <v>5633</v>
      </c>
      <c r="D753" t="s">
        <v>59</v>
      </c>
      <c r="E753" t="s">
        <v>3644</v>
      </c>
      <c r="G753" t="s">
        <v>9018</v>
      </c>
      <c r="H753" t="s">
        <v>5798</v>
      </c>
      <c r="I753" t="s">
        <v>55</v>
      </c>
      <c r="K753" t="s">
        <v>5828</v>
      </c>
      <c r="L753" t="s">
        <v>8242</v>
      </c>
      <c r="M753" t="s">
        <v>8367</v>
      </c>
      <c r="N753" s="2">
        <v>45657</v>
      </c>
      <c r="P753" t="str">
        <f>"Update Project Set Organisation = '"&amp;H753&amp;"' where Project_ID = '"&amp;A753&amp;"'; "</f>
        <v xml:space="preserve">Update Project Set Organisation = 'Modern University for Technology and Information' where Project_ID = 'P0752'; </v>
      </c>
      <c r="Q753" t="str">
        <f>"Update Project Set Library_name = '"&amp;L753&amp;"' , COADD_ID = '"&amp;M753&amp;"' where Project_ID = '"&amp;A753&amp;"'; "</f>
        <v xml:space="preserve">Update Project Set Library_name = 'Modern University for Technology and Information (Egypt)' , COADD_ID = 'CO-ADD:PC0752' where Project_ID = 'P0752'; </v>
      </c>
    </row>
    <row r="754" spans="1:17">
      <c r="A754" t="s">
        <v>7638</v>
      </c>
      <c r="B754" t="s">
        <v>7637</v>
      </c>
      <c r="C754" t="s">
        <v>5633</v>
      </c>
      <c r="D754" t="s">
        <v>925</v>
      </c>
      <c r="E754" t="s">
        <v>5171</v>
      </c>
      <c r="F754" t="s">
        <v>3844</v>
      </c>
      <c r="G754" t="s">
        <v>9063</v>
      </c>
      <c r="H754" t="s">
        <v>929</v>
      </c>
      <c r="I754" t="s">
        <v>14</v>
      </c>
      <c r="K754" t="s">
        <v>5828</v>
      </c>
      <c r="L754" t="s">
        <v>8265</v>
      </c>
      <c r="M754" t="s">
        <v>8387</v>
      </c>
      <c r="N754" s="2">
        <v>45657</v>
      </c>
      <c r="P754" t="str">
        <f>"Update Project Set Organisation = '"&amp;H754&amp;"' where Project_ID = '"&amp;A754&amp;"'; "</f>
        <v xml:space="preserve">Update Project Set Organisation = 'RMIT University' where Project_ID = 'P0753'; </v>
      </c>
      <c r="Q754" t="str">
        <f>"Update Project Set Library_name = '"&amp;L754&amp;"' , COADD_ID = '"&amp;M754&amp;"' where Project_ID = '"&amp;A754&amp;"'; "</f>
        <v xml:space="preserve">Update Project Set Library_name = 'RMIT University (Australia)' , COADD_ID = 'CO-ADD:PC0753' where Project_ID = 'P0753'; </v>
      </c>
    </row>
    <row r="755" spans="1:17">
      <c r="A755" t="s">
        <v>7640</v>
      </c>
      <c r="B755" t="s">
        <v>7639</v>
      </c>
      <c r="C755" t="s">
        <v>5633</v>
      </c>
      <c r="D755" t="s">
        <v>4643</v>
      </c>
      <c r="E755" t="s">
        <v>4642</v>
      </c>
      <c r="G755" t="s">
        <v>9068</v>
      </c>
      <c r="H755" t="s">
        <v>4646</v>
      </c>
      <c r="I755" t="s">
        <v>1600</v>
      </c>
      <c r="K755" t="s">
        <v>5828</v>
      </c>
      <c r="L755" t="s">
        <v>5995</v>
      </c>
      <c r="M755" t="s">
        <v>8393</v>
      </c>
      <c r="N755" s="2">
        <v>45657</v>
      </c>
      <c r="P755" t="str">
        <f>"Update Project Set Organisation = '"&amp;H755&amp;"' where Project_ID = '"&amp;A755&amp;"'; "</f>
        <v xml:space="preserve">Update Project Set Organisation = 'Russian Academy of Science' where Project_ID = 'P0754'; </v>
      </c>
      <c r="Q755" t="str">
        <f>"Update Project Set Library_name = '"&amp;L755&amp;"' , COADD_ID = '"&amp;M755&amp;"' where Project_ID = '"&amp;A755&amp;"'; "</f>
        <v xml:space="preserve">Update Project Set Library_name = 'Russian Academy of Science (Russia)' , COADD_ID = 'CO-ADD:PC0754' where Project_ID = 'P0754'; </v>
      </c>
    </row>
    <row r="756" spans="1:17">
      <c r="A756" t="s">
        <v>7641</v>
      </c>
      <c r="B756" t="s">
        <v>7351</v>
      </c>
      <c r="C756" t="s">
        <v>5633</v>
      </c>
      <c r="D756" t="s">
        <v>4596</v>
      </c>
      <c r="E756" t="s">
        <v>5137</v>
      </c>
      <c r="F756" t="s">
        <v>4595</v>
      </c>
      <c r="G756" t="s">
        <v>9024</v>
      </c>
      <c r="H756" t="s">
        <v>517</v>
      </c>
      <c r="I756" t="s">
        <v>14</v>
      </c>
      <c r="K756" t="s">
        <v>5828</v>
      </c>
      <c r="L756" t="s">
        <v>8212</v>
      </c>
      <c r="M756" t="s">
        <v>8370</v>
      </c>
      <c r="N756" s="2">
        <v>45657</v>
      </c>
      <c r="P756" t="str">
        <f>"Update Project Set Organisation = '"&amp;H756&amp;"' where Project_ID = '"&amp;A756&amp;"'; "</f>
        <v xml:space="preserve">Update Project Set Organisation = 'Monash University' where Project_ID = 'P0755'; </v>
      </c>
      <c r="Q756" t="str">
        <f>"Update Project Set Library_name = '"&amp;L756&amp;"' , COADD_ID = '"&amp;M756&amp;"' where Project_ID = '"&amp;A756&amp;"'; "</f>
        <v xml:space="preserve">Update Project Set Library_name = 'Monash University (Australia)' , COADD_ID = 'CO-ADD:PC0755' where Project_ID = 'P0755'; </v>
      </c>
    </row>
    <row r="757" spans="1:17">
      <c r="A757" t="s">
        <v>7643</v>
      </c>
      <c r="B757" t="s">
        <v>7642</v>
      </c>
      <c r="C757" t="s">
        <v>5633</v>
      </c>
      <c r="D757" t="s">
        <v>2843</v>
      </c>
      <c r="E757" t="s">
        <v>2842</v>
      </c>
      <c r="G757" t="s">
        <v>9095</v>
      </c>
      <c r="H757" t="s">
        <v>2846</v>
      </c>
      <c r="I757" t="s">
        <v>1600</v>
      </c>
      <c r="K757" t="s">
        <v>5828</v>
      </c>
      <c r="L757" t="s">
        <v>8297</v>
      </c>
      <c r="M757" t="s">
        <v>8406</v>
      </c>
      <c r="N757" s="2">
        <v>45657</v>
      </c>
      <c r="P757" t="str">
        <f>"Update Project Set Organisation = '"&amp;H757&amp;"' where Project_ID = '"&amp;A757&amp;"'; "</f>
        <v xml:space="preserve">Update Project Set Organisation = 'Ufa Institute of Chemistry' where Project_ID = 'P0756'; </v>
      </c>
      <c r="Q757" t="str">
        <f>"Update Project Set Library_name = '"&amp;L757&amp;"' , COADD_ID = '"&amp;M757&amp;"' where Project_ID = '"&amp;A757&amp;"'; "</f>
        <v xml:space="preserve">Update Project Set Library_name = 'Ufa Institute of Chemistry (Russia)' , COADD_ID = 'CO-ADD:PC0756' where Project_ID = 'P0756'; </v>
      </c>
    </row>
    <row r="758" spans="1:17">
      <c r="A758" t="s">
        <v>7645</v>
      </c>
      <c r="B758" t="s">
        <v>7644</v>
      </c>
      <c r="C758" t="s">
        <v>5633</v>
      </c>
      <c r="D758" t="s">
        <v>1581</v>
      </c>
      <c r="E758" t="s">
        <v>2986</v>
      </c>
      <c r="F758" t="s">
        <v>1580</v>
      </c>
      <c r="G758" t="s">
        <v>8976</v>
      </c>
      <c r="H758" t="s">
        <v>208</v>
      </c>
      <c r="I758" t="s">
        <v>211</v>
      </c>
      <c r="K758" t="s">
        <v>5843</v>
      </c>
      <c r="P758" t="str">
        <f>"Update Project Set Organisation = '"&amp;H758&amp;"' where Project_ID = '"&amp;A758&amp;"'; "</f>
        <v xml:space="preserve">Update Project Set Organisation = 'Jain University' where Project_ID = 'P0757'; </v>
      </c>
      <c r="Q758" t="str">
        <f>"Update Project Set Library_name = '"&amp;L758&amp;"' , COADD_ID = '"&amp;M758&amp;"' where Project_ID = '"&amp;A758&amp;"'; "</f>
        <v xml:space="preserve">Update Project Set Library_name = '' , COADD_ID = '' where Project_ID = 'P0757'; </v>
      </c>
    </row>
    <row r="759" spans="1:17">
      <c r="A759" t="s">
        <v>7646</v>
      </c>
      <c r="C759" t="s">
        <v>5633</v>
      </c>
      <c r="D759" t="s">
        <v>330</v>
      </c>
      <c r="E759" t="s">
        <v>329</v>
      </c>
      <c r="F759" t="s">
        <v>2001</v>
      </c>
      <c r="G759" t="s">
        <v>9249</v>
      </c>
      <c r="H759" t="s">
        <v>334</v>
      </c>
      <c r="I759" t="s">
        <v>253</v>
      </c>
      <c r="K759" t="s">
        <v>5837</v>
      </c>
      <c r="P759" t="str">
        <f>"Update Project Set Organisation = '"&amp;H759&amp;"' where Project_ID = '"&amp;A759&amp;"'; "</f>
        <v xml:space="preserve">Update Project Set Organisation = 'University of Zurich' where Project_ID = 'P0758'; </v>
      </c>
      <c r="Q759" t="str">
        <f>"Update Project Set Library_name = '"&amp;L759&amp;"' , COADD_ID = '"&amp;M759&amp;"' where Project_ID = '"&amp;A759&amp;"'; "</f>
        <v xml:space="preserve">Update Project Set Library_name = '' , COADD_ID = '' where Project_ID = 'P0758'; </v>
      </c>
    </row>
    <row r="760" spans="1:17">
      <c r="A760" t="s">
        <v>7648</v>
      </c>
      <c r="B760" t="s">
        <v>7647</v>
      </c>
      <c r="C760" t="s">
        <v>5633</v>
      </c>
      <c r="D760" t="s">
        <v>4643</v>
      </c>
      <c r="E760" t="s">
        <v>4642</v>
      </c>
      <c r="G760" t="s">
        <v>9068</v>
      </c>
      <c r="H760" t="s">
        <v>4646</v>
      </c>
      <c r="I760" t="s">
        <v>1600</v>
      </c>
      <c r="K760" t="s">
        <v>5828</v>
      </c>
      <c r="L760" t="s">
        <v>5995</v>
      </c>
      <c r="M760" t="s">
        <v>8394</v>
      </c>
      <c r="N760" s="2">
        <v>45657</v>
      </c>
      <c r="P760" t="str">
        <f>"Update Project Set Organisation = '"&amp;H760&amp;"' where Project_ID = '"&amp;A760&amp;"'; "</f>
        <v xml:space="preserve">Update Project Set Organisation = 'Russian Academy of Science' where Project_ID = 'P0759'; </v>
      </c>
      <c r="Q760" t="str">
        <f>"Update Project Set Library_name = '"&amp;L760&amp;"' , COADD_ID = '"&amp;M760&amp;"' where Project_ID = '"&amp;A760&amp;"'; "</f>
        <v xml:space="preserve">Update Project Set Library_name = 'Russian Academy of Science (Russia)' , COADD_ID = 'CO-ADD:PC0759' where Project_ID = 'P0759'; </v>
      </c>
    </row>
    <row r="761" spans="1:17">
      <c r="A761" t="s">
        <v>7650</v>
      </c>
      <c r="B761" t="s">
        <v>7649</v>
      </c>
      <c r="C761" t="s">
        <v>5633</v>
      </c>
      <c r="D761" t="s">
        <v>1034</v>
      </c>
      <c r="E761" t="s">
        <v>2100</v>
      </c>
      <c r="G761" t="s">
        <v>9190</v>
      </c>
      <c r="H761" t="s">
        <v>865</v>
      </c>
      <c r="I761" t="s">
        <v>408</v>
      </c>
      <c r="K761" t="s">
        <v>5828</v>
      </c>
      <c r="L761" t="s">
        <v>8241</v>
      </c>
      <c r="M761" t="s">
        <v>8429</v>
      </c>
      <c r="N761" s="2">
        <v>45657</v>
      </c>
      <c r="P761" t="str">
        <f>"Update Project Set Organisation = '"&amp;H761&amp;"' where Project_ID = '"&amp;A761&amp;"'; "</f>
        <v xml:space="preserve">Update Project Set Organisation = 'University of Porto' where Project_ID = 'P0760'; </v>
      </c>
      <c r="Q761" t="str">
        <f>"Update Project Set Library_name = '"&amp;L761&amp;"' , COADD_ID = '"&amp;M761&amp;"' where Project_ID = '"&amp;A761&amp;"'; "</f>
        <v xml:space="preserve">Update Project Set Library_name = 'University of Porto (Portugal)' , COADD_ID = 'CO-ADD:PC0760' where Project_ID = 'P0760'; </v>
      </c>
    </row>
    <row r="762" spans="1:17">
      <c r="A762" t="s">
        <v>7652</v>
      </c>
      <c r="B762" t="s">
        <v>7651</v>
      </c>
      <c r="C762" t="s">
        <v>5633</v>
      </c>
      <c r="D762" t="s">
        <v>2058</v>
      </c>
      <c r="E762" t="s">
        <v>3420</v>
      </c>
      <c r="F762" t="s">
        <v>2057</v>
      </c>
      <c r="G762" t="s">
        <v>9209</v>
      </c>
      <c r="H762" t="s">
        <v>8147</v>
      </c>
      <c r="I762" t="s">
        <v>117</v>
      </c>
      <c r="K762" t="s">
        <v>5828</v>
      </c>
      <c r="L762" t="s">
        <v>8298</v>
      </c>
      <c r="M762" t="s">
        <v>8436</v>
      </c>
      <c r="N762" s="2">
        <v>45657</v>
      </c>
      <c r="P762" t="str">
        <f>"Update Project Set Organisation = '"&amp;H762&amp;"' where Project_ID = '"&amp;A762&amp;"'; "</f>
        <v xml:space="preserve">Update Project Set Organisation = 'University of Sciences' where Project_ID = 'P0761'; </v>
      </c>
      <c r="Q762" t="str">
        <f>"Update Project Set Library_name = '"&amp;L762&amp;"' , COADD_ID = '"&amp;M762&amp;"' where Project_ID = '"&amp;A762&amp;"'; "</f>
        <v xml:space="preserve">Update Project Set Library_name = 'University of Sciences (United States)' , COADD_ID = 'CO-ADD:PC0761' where Project_ID = 'P0761'; </v>
      </c>
    </row>
    <row r="763" spans="1:17">
      <c r="A763" t="s">
        <v>7654</v>
      </c>
      <c r="B763" t="s">
        <v>7653</v>
      </c>
      <c r="C763" t="s">
        <v>5633</v>
      </c>
      <c r="D763" t="s">
        <v>708</v>
      </c>
      <c r="E763" t="s">
        <v>707</v>
      </c>
      <c r="G763" t="s">
        <v>9061</v>
      </c>
      <c r="H763" t="s">
        <v>711</v>
      </c>
      <c r="I763" t="s">
        <v>609</v>
      </c>
      <c r="K763" t="s">
        <v>5828</v>
      </c>
      <c r="L763" t="s">
        <v>8262</v>
      </c>
      <c r="M763" t="s">
        <v>8383</v>
      </c>
      <c r="N763" s="2">
        <v>45657</v>
      </c>
      <c r="P763" t="str">
        <f>"Update Project Set Organisation = '"&amp;H763&amp;"' where Project_ID = '"&amp;A763&amp;"'; "</f>
        <v xml:space="preserve">Update Project Set Organisation = 'Rhodes University' where Project_ID = 'P0762'; </v>
      </c>
      <c r="Q763" t="str">
        <f>"Update Project Set Library_name = '"&amp;L763&amp;"' , COADD_ID = '"&amp;M763&amp;"' where Project_ID = '"&amp;A763&amp;"'; "</f>
        <v xml:space="preserve">Update Project Set Library_name = 'Rhodes University (South Africa)' , COADD_ID = 'CO-ADD:PC0762' where Project_ID = 'P0762'; </v>
      </c>
    </row>
    <row r="764" spans="1:17">
      <c r="A764" t="s">
        <v>7657</v>
      </c>
      <c r="B764" t="s">
        <v>7656</v>
      </c>
      <c r="C764" t="s">
        <v>5633</v>
      </c>
      <c r="D764" t="s">
        <v>109</v>
      </c>
      <c r="E764" t="s">
        <v>108</v>
      </c>
      <c r="G764" t="s">
        <v>9154</v>
      </c>
      <c r="H764" t="s">
        <v>114</v>
      </c>
      <c r="I764" t="s">
        <v>117</v>
      </c>
      <c r="J764" t="s">
        <v>7655</v>
      </c>
      <c r="K764" t="s">
        <v>5828</v>
      </c>
      <c r="L764" t="s">
        <v>8299</v>
      </c>
      <c r="M764" t="s">
        <v>8417</v>
      </c>
      <c r="N764" s="2">
        <v>45657</v>
      </c>
      <c r="P764" t="str">
        <f>"Update Project Set Organisation = '"&amp;H764&amp;"' where Project_ID = '"&amp;A764&amp;"'; "</f>
        <v xml:space="preserve">Update Project Set Organisation = 'University of Iowa' where Project_ID = 'P0763'; </v>
      </c>
      <c r="Q764" t="str">
        <f>"Update Project Set Library_name = '"&amp;L764&amp;"' , COADD_ID = '"&amp;M764&amp;"' where Project_ID = '"&amp;A764&amp;"'; "</f>
        <v xml:space="preserve">Update Project Set Library_name = 'University of Iowa (United States)' , COADD_ID = 'CO-ADD:PC0763' where Project_ID = 'P0763'; </v>
      </c>
    </row>
    <row r="765" spans="1:17">
      <c r="A765" t="s">
        <v>7658</v>
      </c>
      <c r="B765" t="s">
        <v>7412</v>
      </c>
      <c r="C765" t="s">
        <v>5633</v>
      </c>
      <c r="D765" t="s">
        <v>2258</v>
      </c>
      <c r="E765" t="s">
        <v>3319</v>
      </c>
      <c r="G765" t="s">
        <v>9175</v>
      </c>
      <c r="H765" t="s">
        <v>1539</v>
      </c>
      <c r="I765" t="s">
        <v>14</v>
      </c>
      <c r="K765" t="s">
        <v>5828</v>
      </c>
      <c r="L765" t="s">
        <v>8245</v>
      </c>
      <c r="M765" t="s">
        <v>8424</v>
      </c>
      <c r="N765" s="2">
        <v>45657</v>
      </c>
      <c r="P765" t="str">
        <f>"Update Project Set Organisation = '"&amp;H765&amp;"' where Project_ID = '"&amp;A765&amp;"'; "</f>
        <v xml:space="preserve">Update Project Set Organisation = 'University of New England' where Project_ID = 'P0764'; </v>
      </c>
      <c r="Q765" t="str">
        <f>"Update Project Set Library_name = '"&amp;L765&amp;"' , COADD_ID = '"&amp;M765&amp;"' where Project_ID = '"&amp;A765&amp;"'; "</f>
        <v xml:space="preserve">Update Project Set Library_name = 'University of New England (Australia)' , COADD_ID = 'CO-ADD:PC0764' where Project_ID = 'P0764'; </v>
      </c>
    </row>
    <row r="766" spans="1:17">
      <c r="A766" t="s">
        <v>7660</v>
      </c>
      <c r="B766" t="s">
        <v>7659</v>
      </c>
      <c r="C766" t="s">
        <v>5633</v>
      </c>
      <c r="D766" t="s">
        <v>301</v>
      </c>
      <c r="E766" t="s">
        <v>300</v>
      </c>
      <c r="G766" t="s">
        <v>9052</v>
      </c>
      <c r="H766" t="s">
        <v>305</v>
      </c>
      <c r="I766" t="s">
        <v>37</v>
      </c>
      <c r="K766" t="s">
        <v>5828</v>
      </c>
      <c r="L766" t="s">
        <v>8300</v>
      </c>
      <c r="M766" t="s">
        <v>8379</v>
      </c>
      <c r="N766" s="2">
        <v>45657</v>
      </c>
      <c r="P766" t="str">
        <f>"Update Project Set Organisation = '"&amp;H766&amp;"' where Project_ID = '"&amp;A766&amp;"'; "</f>
        <v xml:space="preserve">Update Project Set Organisation = 'Omdurman Islamic University' where Project_ID = 'P0765'; </v>
      </c>
      <c r="Q766" t="str">
        <f>"Update Project Set Library_name = '"&amp;L766&amp;"' , COADD_ID = '"&amp;M766&amp;"' where Project_ID = '"&amp;A766&amp;"'; "</f>
        <v xml:space="preserve">Update Project Set Library_name = 'Omdurman Islamic University (Sudan)' , COADD_ID = 'CO-ADD:PC0765' where Project_ID = 'P0765'; </v>
      </c>
    </row>
    <row r="767" spans="1:17">
      <c r="A767" t="s">
        <v>7662</v>
      </c>
      <c r="B767" t="s">
        <v>7661</v>
      </c>
      <c r="C767" t="s">
        <v>5633</v>
      </c>
      <c r="D767" t="s">
        <v>1354</v>
      </c>
      <c r="E767" t="s">
        <v>1953</v>
      </c>
      <c r="F767" t="s">
        <v>3271</v>
      </c>
      <c r="G767" t="s">
        <v>9007</v>
      </c>
      <c r="H767" t="s">
        <v>1357</v>
      </c>
      <c r="I767" t="s">
        <v>117</v>
      </c>
      <c r="K767" t="s">
        <v>5828</v>
      </c>
      <c r="L767" t="s">
        <v>8301</v>
      </c>
      <c r="M767" t="s">
        <v>8363</v>
      </c>
      <c r="N767" s="2">
        <v>45657</v>
      </c>
      <c r="P767" t="str">
        <f>"Update Project Set Organisation = '"&amp;H767&amp;"' where Project_ID = '"&amp;A767&amp;"'; "</f>
        <v xml:space="preserve">Update Project Set Organisation = 'McDaniel College' where Project_ID = 'P0766'; </v>
      </c>
      <c r="Q767" t="str">
        <f>"Update Project Set Library_name = '"&amp;L767&amp;"' , COADD_ID = '"&amp;M767&amp;"' where Project_ID = '"&amp;A767&amp;"'; "</f>
        <v xml:space="preserve">Update Project Set Library_name = 'McDaniel College (United States)' , COADD_ID = 'CO-ADD:PC0766' where Project_ID = 'P0766'; </v>
      </c>
    </row>
    <row r="768" spans="1:17">
      <c r="A768" t="s">
        <v>7664</v>
      </c>
      <c r="B768" t="s">
        <v>7663</v>
      </c>
      <c r="C768" t="s">
        <v>5633</v>
      </c>
      <c r="D768" t="s">
        <v>2660</v>
      </c>
      <c r="E768" t="s">
        <v>2659</v>
      </c>
      <c r="F768" t="s">
        <v>4275</v>
      </c>
      <c r="G768" t="s">
        <v>9074</v>
      </c>
      <c r="H768" t="s">
        <v>2663</v>
      </c>
      <c r="I768" t="s">
        <v>211</v>
      </c>
      <c r="K768" t="s">
        <v>5828</v>
      </c>
      <c r="L768" t="s">
        <v>8302</v>
      </c>
      <c r="M768" t="s">
        <v>8400</v>
      </c>
      <c r="N768" s="2">
        <v>45657</v>
      </c>
      <c r="P768" t="str">
        <f>"Update Project Set Organisation = '"&amp;H768&amp;"' where Project_ID = '"&amp;A768&amp;"'; "</f>
        <v xml:space="preserve">Update Project Set Organisation = 'Savitribai Phule Pune University' where Project_ID = 'P0767'; </v>
      </c>
      <c r="Q768" t="str">
        <f>"Update Project Set Library_name = '"&amp;L768&amp;"' , COADD_ID = '"&amp;M768&amp;"' where Project_ID = '"&amp;A768&amp;"'; "</f>
        <v xml:space="preserve">Update Project Set Library_name = 'Savitribai Phule Pune University (India)' , COADD_ID = 'CO-ADD:PC0767' where Project_ID = 'P0767'; </v>
      </c>
    </row>
    <row r="769" spans="1:17">
      <c r="A769" t="s">
        <v>7665</v>
      </c>
      <c r="C769" t="s">
        <v>5633</v>
      </c>
      <c r="D769" t="s">
        <v>5313</v>
      </c>
      <c r="E769" t="s">
        <v>5312</v>
      </c>
      <c r="F769" t="s">
        <v>2001</v>
      </c>
      <c r="G769" t="s">
        <v>8919</v>
      </c>
      <c r="H769" t="s">
        <v>5316</v>
      </c>
      <c r="I769" t="s">
        <v>117</v>
      </c>
      <c r="K769" t="s">
        <v>5843</v>
      </c>
      <c r="P769" t="str">
        <f>"Update Project Set Organisation = '"&amp;H769&amp;"' where Project_ID = '"&amp;A769&amp;"'; "</f>
        <v xml:space="preserve">Update Project Set Organisation = 'Cornell University' where Project_ID = 'P0768'; </v>
      </c>
      <c r="Q769" t="str">
        <f>"Update Project Set Library_name = '"&amp;L769&amp;"' , COADD_ID = '"&amp;M769&amp;"' where Project_ID = '"&amp;A769&amp;"'; "</f>
        <v xml:space="preserve">Update Project Set Library_name = '' , COADD_ID = '' where Project_ID = 'P0768'; </v>
      </c>
    </row>
    <row r="770" spans="1:17">
      <c r="A770" t="s">
        <v>7666</v>
      </c>
      <c r="C770" t="s">
        <v>5633</v>
      </c>
      <c r="D770" t="s">
        <v>4396</v>
      </c>
      <c r="E770" t="s">
        <v>4395</v>
      </c>
      <c r="F770" t="s">
        <v>2001</v>
      </c>
      <c r="G770" t="s">
        <v>8998</v>
      </c>
      <c r="H770" t="s">
        <v>1114</v>
      </c>
      <c r="I770" t="s">
        <v>14</v>
      </c>
      <c r="K770" t="s">
        <v>5843</v>
      </c>
      <c r="P770" t="str">
        <f>"Update Project Set Organisation = '"&amp;H770&amp;"' where Project_ID = '"&amp;A770&amp;"'; "</f>
        <v xml:space="preserve">Update Project Set Organisation = 'Macquarie University' where Project_ID = 'P0769'; </v>
      </c>
      <c r="Q770" t="str">
        <f>"Update Project Set Library_name = '"&amp;L770&amp;"' , COADD_ID = '"&amp;M770&amp;"' where Project_ID = '"&amp;A770&amp;"'; "</f>
        <v xml:space="preserve">Update Project Set Library_name = '' , COADD_ID = '' where Project_ID = 'P0769'; </v>
      </c>
    </row>
    <row r="771" spans="1:17">
      <c r="A771" t="s">
        <v>7667</v>
      </c>
      <c r="C771" t="s">
        <v>5633</v>
      </c>
      <c r="D771" t="s">
        <v>1110</v>
      </c>
      <c r="E771" t="s">
        <v>1109</v>
      </c>
      <c r="G771" t="s">
        <v>8996</v>
      </c>
      <c r="H771" t="s">
        <v>1114</v>
      </c>
      <c r="I771" t="s">
        <v>14</v>
      </c>
      <c r="K771" t="s">
        <v>5828</v>
      </c>
      <c r="L771" t="s">
        <v>6195</v>
      </c>
      <c r="M771" t="s">
        <v>8362</v>
      </c>
      <c r="N771" s="2">
        <v>45657</v>
      </c>
      <c r="P771" t="str">
        <f>"Update Project Set Organisation = '"&amp;H771&amp;"' where Project_ID = '"&amp;A771&amp;"'; "</f>
        <v xml:space="preserve">Update Project Set Organisation = 'Macquarie University' where Project_ID = 'P0770'; </v>
      </c>
      <c r="Q771" t="str">
        <f>"Update Project Set Library_name = '"&amp;L771&amp;"' , COADD_ID = '"&amp;M771&amp;"' where Project_ID = '"&amp;A771&amp;"'; "</f>
        <v xml:space="preserve">Update Project Set Library_name = 'Macquarie University (Australia)' , COADD_ID = 'CO-ADD:PC0770' where Project_ID = 'P0770'; </v>
      </c>
    </row>
    <row r="772" spans="1:17">
      <c r="A772" t="s">
        <v>7669</v>
      </c>
      <c r="B772" t="s">
        <v>7668</v>
      </c>
      <c r="C772" t="s">
        <v>5633</v>
      </c>
      <c r="D772" t="s">
        <v>48</v>
      </c>
      <c r="E772" t="s">
        <v>47</v>
      </c>
      <c r="F772" t="s">
        <v>2925</v>
      </c>
      <c r="G772" t="s">
        <v>8941</v>
      </c>
      <c r="H772" t="s">
        <v>52</v>
      </c>
      <c r="I772" t="s">
        <v>55</v>
      </c>
      <c r="K772" t="s">
        <v>5828</v>
      </c>
      <c r="L772" t="s">
        <v>8303</v>
      </c>
      <c r="M772" t="s">
        <v>8345</v>
      </c>
      <c r="N772" s="2">
        <v>45657</v>
      </c>
      <c r="P772" t="str">
        <f>"Update Project Set Organisation = '"&amp;H772&amp;"' where Project_ID = '"&amp;A772&amp;"'; "</f>
        <v xml:space="preserve">Update Project Set Organisation = 'German University in Cairo' where Project_ID = 'P0771'; </v>
      </c>
      <c r="Q772" t="str">
        <f>"Update Project Set Library_name = '"&amp;L772&amp;"' , COADD_ID = '"&amp;M772&amp;"' where Project_ID = '"&amp;A772&amp;"'; "</f>
        <v xml:space="preserve">Update Project Set Library_name = 'German University in Cairo (Egypt)' , COADD_ID = 'CO-ADD:PC0771' where Project_ID = 'P0771'; </v>
      </c>
    </row>
    <row r="773" spans="1:17">
      <c r="A773" t="s">
        <v>7671</v>
      </c>
      <c r="B773" t="s">
        <v>7670</v>
      </c>
      <c r="C773" t="s">
        <v>5633</v>
      </c>
      <c r="D773" t="s">
        <v>4218</v>
      </c>
      <c r="E773" t="s">
        <v>4217</v>
      </c>
      <c r="G773" t="s">
        <v>8884</v>
      </c>
      <c r="H773" t="s">
        <v>92</v>
      </c>
      <c r="I773" t="s">
        <v>55</v>
      </c>
      <c r="K773" t="s">
        <v>5828</v>
      </c>
      <c r="L773" t="s">
        <v>8232</v>
      </c>
      <c r="M773" t="s">
        <v>8337</v>
      </c>
      <c r="N773" s="2">
        <v>45657</v>
      </c>
      <c r="P773" t="str">
        <f>"Update Project Set Organisation = '"&amp;H773&amp;"' where Project_ID = '"&amp;A773&amp;"'; "</f>
        <v xml:space="preserve">Update Project Set Organisation = 'Assiut University' where Project_ID = 'P0772'; </v>
      </c>
      <c r="Q773" t="str">
        <f>"Update Project Set Library_name = '"&amp;L773&amp;"' , COADD_ID = '"&amp;M773&amp;"' where Project_ID = '"&amp;A773&amp;"'; "</f>
        <v xml:space="preserve">Update Project Set Library_name = 'Assiut University (Egypt)' , COADD_ID = 'CO-ADD:PC0772' where Project_ID = 'P0772'; </v>
      </c>
    </row>
    <row r="774" spans="1:17">
      <c r="A774" t="s">
        <v>7672</v>
      </c>
      <c r="C774" t="s">
        <v>5633</v>
      </c>
      <c r="D774" t="s">
        <v>455</v>
      </c>
      <c r="E774" t="s">
        <v>454</v>
      </c>
      <c r="F774" t="s">
        <v>2001</v>
      </c>
      <c r="G774" t="s">
        <v>9040</v>
      </c>
      <c r="H774" t="s">
        <v>457</v>
      </c>
      <c r="I774" t="s">
        <v>459</v>
      </c>
      <c r="K774" t="s">
        <v>5843</v>
      </c>
      <c r="P774" t="str">
        <f>"Update Project Set Organisation = '"&amp;H774&amp;"' where Project_ID = '"&amp;A774&amp;"'; "</f>
        <v xml:space="preserve">Update Project Set Organisation = 'National University of Singapore' where Project_ID = 'P0773'; </v>
      </c>
      <c r="Q774" t="str">
        <f>"Update Project Set Library_name = '"&amp;L774&amp;"' , COADD_ID = '"&amp;M774&amp;"' where Project_ID = '"&amp;A774&amp;"'; "</f>
        <v xml:space="preserve">Update Project Set Library_name = '' , COADD_ID = '' where Project_ID = 'P0773'; </v>
      </c>
    </row>
    <row r="775" spans="1:17">
      <c r="A775" t="s">
        <v>7674</v>
      </c>
      <c r="B775" t="s">
        <v>7673</v>
      </c>
      <c r="C775" t="s">
        <v>5633</v>
      </c>
      <c r="D775" t="s">
        <v>4643</v>
      </c>
      <c r="E775" t="s">
        <v>4642</v>
      </c>
      <c r="G775" t="s">
        <v>9068</v>
      </c>
      <c r="H775" t="s">
        <v>4646</v>
      </c>
      <c r="I775" t="s">
        <v>1600</v>
      </c>
      <c r="K775" t="s">
        <v>5828</v>
      </c>
      <c r="L775" t="s">
        <v>5995</v>
      </c>
      <c r="M775" t="s">
        <v>8395</v>
      </c>
      <c r="N775" s="2">
        <v>45657</v>
      </c>
      <c r="P775" t="str">
        <f>"Update Project Set Organisation = '"&amp;H775&amp;"' where Project_ID = '"&amp;A775&amp;"'; "</f>
        <v xml:space="preserve">Update Project Set Organisation = 'Russian Academy of Science' where Project_ID = 'P0774'; </v>
      </c>
      <c r="Q775" t="str">
        <f>"Update Project Set Library_name = '"&amp;L775&amp;"' , COADD_ID = '"&amp;M775&amp;"' where Project_ID = '"&amp;A775&amp;"'; "</f>
        <v xml:space="preserve">Update Project Set Library_name = 'Russian Academy of Science (Russia)' , COADD_ID = 'CO-ADD:PC0774' where Project_ID = 'P0774'; </v>
      </c>
    </row>
    <row r="776" spans="1:17">
      <c r="A776" t="s">
        <v>7676</v>
      </c>
      <c r="B776" t="s">
        <v>7675</v>
      </c>
      <c r="C776" t="s">
        <v>5633</v>
      </c>
      <c r="D776" t="s">
        <v>2143</v>
      </c>
      <c r="E776" t="s">
        <v>2142</v>
      </c>
      <c r="G776" t="s">
        <v>9013</v>
      </c>
      <c r="H776" t="s">
        <v>2146</v>
      </c>
      <c r="I776" t="s">
        <v>75</v>
      </c>
      <c r="K776" t="s">
        <v>5828</v>
      </c>
      <c r="L776" t="s">
        <v>8176</v>
      </c>
      <c r="M776" t="s">
        <v>8366</v>
      </c>
      <c r="N776" s="2">
        <v>45657</v>
      </c>
      <c r="P776" t="str">
        <f>"Update Project Set Organisation = '"&amp;H776&amp;"' where Project_ID = '"&amp;A776&amp;"'; "</f>
        <v xml:space="preserve">Update Project Set Organisation = 'Memorial University of Newfoundland' where Project_ID = 'P0775'; </v>
      </c>
      <c r="Q776" t="str">
        <f>"Update Project Set Library_name = '"&amp;L776&amp;"' , COADD_ID = '"&amp;M776&amp;"' where Project_ID = '"&amp;A776&amp;"'; "</f>
        <v xml:space="preserve">Update Project Set Library_name = 'Memorial University of Newfoundland (Canada)' , COADD_ID = 'CO-ADD:PC0775' where Project_ID = 'P0775'; </v>
      </c>
    </row>
    <row r="777" spans="1:17">
      <c r="A777" t="s">
        <v>7678</v>
      </c>
      <c r="B777" t="s">
        <v>7677</v>
      </c>
      <c r="C777" t="s">
        <v>5633</v>
      </c>
      <c r="D777" t="s">
        <v>708</v>
      </c>
      <c r="E777" t="s">
        <v>707</v>
      </c>
      <c r="G777" t="s">
        <v>9061</v>
      </c>
      <c r="H777" t="s">
        <v>711</v>
      </c>
      <c r="I777" t="s">
        <v>609</v>
      </c>
      <c r="K777" t="s">
        <v>5828</v>
      </c>
      <c r="L777" t="s">
        <v>8262</v>
      </c>
      <c r="M777" t="s">
        <v>8384</v>
      </c>
      <c r="N777" s="2">
        <v>45657</v>
      </c>
      <c r="P777" t="str">
        <f>"Update Project Set Organisation = '"&amp;H777&amp;"' where Project_ID = '"&amp;A777&amp;"'; "</f>
        <v xml:space="preserve">Update Project Set Organisation = 'Rhodes University' where Project_ID = 'P0776'; </v>
      </c>
      <c r="Q777" t="str">
        <f>"Update Project Set Library_name = '"&amp;L777&amp;"' , COADD_ID = '"&amp;M777&amp;"' where Project_ID = '"&amp;A777&amp;"'; "</f>
        <v xml:space="preserve">Update Project Set Library_name = 'Rhodes University (South Africa)' , COADD_ID = 'CO-ADD:PC0776' where Project_ID = 'P0776'; </v>
      </c>
    </row>
    <row r="778" spans="1:17">
      <c r="A778" t="s">
        <v>7680</v>
      </c>
      <c r="B778" t="s">
        <v>7679</v>
      </c>
      <c r="C778" t="s">
        <v>5633</v>
      </c>
      <c r="D778" t="s">
        <v>4023</v>
      </c>
      <c r="E778" t="s">
        <v>4022</v>
      </c>
      <c r="F778" t="s">
        <v>4022</v>
      </c>
      <c r="G778" t="s">
        <v>8975</v>
      </c>
      <c r="H778" t="s">
        <v>208</v>
      </c>
      <c r="I778" t="s">
        <v>211</v>
      </c>
      <c r="K778" t="s">
        <v>5843</v>
      </c>
      <c r="P778" t="str">
        <f>"Update Project Set Organisation = '"&amp;H778&amp;"' where Project_ID = '"&amp;A778&amp;"'; "</f>
        <v xml:space="preserve">Update Project Set Organisation = 'Jain University' where Project_ID = 'P0777'; </v>
      </c>
      <c r="Q778" t="str">
        <f>"Update Project Set Library_name = '"&amp;L778&amp;"' , COADD_ID = '"&amp;M778&amp;"' where Project_ID = '"&amp;A778&amp;"'; "</f>
        <v xml:space="preserve">Update Project Set Library_name = '' , COADD_ID = '' where Project_ID = 'P0777'; </v>
      </c>
    </row>
    <row r="779" spans="1:17">
      <c r="A779" t="s">
        <v>7681</v>
      </c>
      <c r="C779" t="s">
        <v>5633</v>
      </c>
      <c r="D779" t="s">
        <v>2485</v>
      </c>
      <c r="E779" t="s">
        <v>5199</v>
      </c>
      <c r="F779" t="s">
        <v>2001</v>
      </c>
      <c r="G779" t="s">
        <v>8999</v>
      </c>
      <c r="H779" t="s">
        <v>1114</v>
      </c>
      <c r="I779" t="s">
        <v>14</v>
      </c>
      <c r="K779" t="s">
        <v>5843</v>
      </c>
      <c r="P779" t="str">
        <f>"Update Project Set Organisation = '"&amp;H779&amp;"' where Project_ID = '"&amp;A779&amp;"'; "</f>
        <v xml:space="preserve">Update Project Set Organisation = 'Macquarie University' where Project_ID = 'P0778'; </v>
      </c>
      <c r="Q779" t="str">
        <f>"Update Project Set Library_name = '"&amp;L779&amp;"' , COADD_ID = '"&amp;M779&amp;"' where Project_ID = '"&amp;A779&amp;"'; "</f>
        <v xml:space="preserve">Update Project Set Library_name = '' , COADD_ID = '' where Project_ID = 'P0778'; </v>
      </c>
    </row>
    <row r="780" spans="1:17">
      <c r="A780" t="s">
        <v>7683</v>
      </c>
      <c r="B780" t="s">
        <v>7682</v>
      </c>
      <c r="C780" t="s">
        <v>5633</v>
      </c>
      <c r="D780" t="s">
        <v>4643</v>
      </c>
      <c r="E780" t="s">
        <v>4642</v>
      </c>
      <c r="G780" t="s">
        <v>9068</v>
      </c>
      <c r="H780" t="s">
        <v>4646</v>
      </c>
      <c r="I780" t="s">
        <v>1600</v>
      </c>
      <c r="K780" t="s">
        <v>5828</v>
      </c>
      <c r="L780" t="s">
        <v>5995</v>
      </c>
      <c r="M780" t="s">
        <v>8396</v>
      </c>
      <c r="N780" s="2">
        <v>45657</v>
      </c>
      <c r="P780" t="str">
        <f>"Update Project Set Organisation = '"&amp;H780&amp;"' where Project_ID = '"&amp;A780&amp;"'; "</f>
        <v xml:space="preserve">Update Project Set Organisation = 'Russian Academy of Science' where Project_ID = 'P0779'; </v>
      </c>
      <c r="Q780" t="str">
        <f>"Update Project Set Library_name = '"&amp;L780&amp;"' , COADD_ID = '"&amp;M780&amp;"' where Project_ID = '"&amp;A780&amp;"'; "</f>
        <v xml:space="preserve">Update Project Set Library_name = 'Russian Academy of Science (Russia)' , COADD_ID = 'CO-ADD:PC0779' where Project_ID = 'P0779'; </v>
      </c>
    </row>
    <row r="781" spans="1:17">
      <c r="A781" t="s">
        <v>7685</v>
      </c>
      <c r="B781" t="s">
        <v>7684</v>
      </c>
      <c r="C781" t="s">
        <v>5633</v>
      </c>
      <c r="D781" t="s">
        <v>2808</v>
      </c>
      <c r="E781" t="s">
        <v>4097</v>
      </c>
      <c r="F781" t="s">
        <v>2807</v>
      </c>
      <c r="G781" t="s">
        <v>9091</v>
      </c>
      <c r="H781" t="s">
        <v>2811</v>
      </c>
      <c r="I781" t="s">
        <v>117</v>
      </c>
      <c r="K781" t="s">
        <v>5828</v>
      </c>
      <c r="L781" t="s">
        <v>8304</v>
      </c>
      <c r="M781" t="s">
        <v>8403</v>
      </c>
      <c r="N781" s="2">
        <v>45657</v>
      </c>
      <c r="P781" t="str">
        <f>"Update Project Set Organisation = '"&amp;H781&amp;"' where Project_ID = '"&amp;A781&amp;"'; "</f>
        <v xml:space="preserve">Update Project Set Organisation = 'Tennessee State University' where Project_ID = 'P0780'; </v>
      </c>
      <c r="Q781" t="str">
        <f>"Update Project Set Library_name = '"&amp;L781&amp;"' , COADD_ID = '"&amp;M781&amp;"' where Project_ID = '"&amp;A781&amp;"'; "</f>
        <v xml:space="preserve">Update Project Set Library_name = 'Tennessee State University (United States)' , COADD_ID = 'CO-ADD:PC0780' where Project_ID = 'P0780'; </v>
      </c>
    </row>
    <row r="782" spans="1:17">
      <c r="A782" t="s">
        <v>7687</v>
      </c>
      <c r="B782" t="s">
        <v>7686</v>
      </c>
      <c r="C782" t="s">
        <v>5633</v>
      </c>
      <c r="D782" t="s">
        <v>3372</v>
      </c>
      <c r="E782" t="s">
        <v>4213</v>
      </c>
      <c r="F782" t="s">
        <v>2871</v>
      </c>
      <c r="G782" t="s">
        <v>9242</v>
      </c>
      <c r="H782" t="s">
        <v>1422</v>
      </c>
      <c r="I782" t="s">
        <v>14</v>
      </c>
      <c r="K782" t="s">
        <v>5828</v>
      </c>
      <c r="L782" t="s">
        <v>8156</v>
      </c>
      <c r="M782" t="s">
        <v>8445</v>
      </c>
      <c r="N782" s="2">
        <v>45657</v>
      </c>
      <c r="P782" t="str">
        <f>"Update Project Set Organisation = '"&amp;H782&amp;"' where Project_ID = '"&amp;A782&amp;"'; "</f>
        <v xml:space="preserve">Update Project Set Organisation = 'University of Wollongong' where Project_ID = 'P0781'; </v>
      </c>
      <c r="Q782" t="str">
        <f>"Update Project Set Library_name = '"&amp;L782&amp;"' , COADD_ID = '"&amp;M782&amp;"' where Project_ID = '"&amp;A782&amp;"'; "</f>
        <v xml:space="preserve">Update Project Set Library_name = 'University of Wollongong (Australia)' , COADD_ID = 'CO-ADD:PC0781' where Project_ID = 'P0781'; </v>
      </c>
    </row>
    <row r="783" spans="1:17">
      <c r="A783" t="s">
        <v>7688</v>
      </c>
      <c r="C783" t="s">
        <v>5633</v>
      </c>
      <c r="D783" t="s">
        <v>1573</v>
      </c>
      <c r="E783" t="s">
        <v>1572</v>
      </c>
      <c r="G783" t="s">
        <v>9206</v>
      </c>
      <c r="H783" t="s">
        <v>362</v>
      </c>
      <c r="I783" t="s">
        <v>14</v>
      </c>
      <c r="K783" t="s">
        <v>5843</v>
      </c>
      <c r="P783" t="str">
        <f>"Update Project Set Organisation = '"&amp;H783&amp;"' where Project_ID = '"&amp;A783&amp;"'; "</f>
        <v xml:space="preserve">Update Project Set Organisation = 'University of Queensland' where Project_ID = 'P0782'; </v>
      </c>
      <c r="Q783" t="str">
        <f>"Update Project Set Library_name = '"&amp;L783&amp;"' , COADD_ID = '"&amp;M783&amp;"' where Project_ID = '"&amp;A783&amp;"'; "</f>
        <v xml:space="preserve">Update Project Set Library_name = '' , COADD_ID = '' where Project_ID = 'P0782'; </v>
      </c>
    </row>
    <row r="784" spans="1:17">
      <c r="A784" t="s">
        <v>7691</v>
      </c>
      <c r="B784" t="s">
        <v>7690</v>
      </c>
      <c r="C784" t="s">
        <v>5633</v>
      </c>
      <c r="D784" t="s">
        <v>439</v>
      </c>
      <c r="E784" t="s">
        <v>3886</v>
      </c>
      <c r="F784" t="s">
        <v>438</v>
      </c>
      <c r="G784" t="s">
        <v>9241</v>
      </c>
      <c r="H784" t="s">
        <v>5802</v>
      </c>
      <c r="I784" t="s">
        <v>117</v>
      </c>
      <c r="J784" t="s">
        <v>7689</v>
      </c>
      <c r="K784" t="s">
        <v>5828</v>
      </c>
      <c r="L784" t="s">
        <v>8305</v>
      </c>
      <c r="M784" t="s">
        <v>8444</v>
      </c>
      <c r="N784" s="2">
        <v>45657</v>
      </c>
      <c r="P784" t="str">
        <f>"Update Project Set Organisation = '"&amp;H784&amp;"' where Project_ID = '"&amp;A784&amp;"'; "</f>
        <v xml:space="preserve">Update Project Set Organisation = 'University of Wisconsin River Falls' where Project_ID = 'P0783'; </v>
      </c>
      <c r="Q784" t="str">
        <f>"Update Project Set Library_name = '"&amp;L784&amp;"' , COADD_ID = '"&amp;M784&amp;"' where Project_ID = '"&amp;A784&amp;"'; "</f>
        <v xml:space="preserve">Update Project Set Library_name = 'University of Wisconsin River Falls (United States)' , COADD_ID = 'CO-ADD:PC0783' where Project_ID = 'P0783'; </v>
      </c>
    </row>
    <row r="785" spans="1:17">
      <c r="A785" t="s">
        <v>7693</v>
      </c>
      <c r="B785" t="s">
        <v>7692</v>
      </c>
      <c r="C785" t="s">
        <v>5633</v>
      </c>
      <c r="D785" t="s">
        <v>2194</v>
      </c>
      <c r="E785" t="s">
        <v>4382</v>
      </c>
      <c r="G785" t="s">
        <v>9194</v>
      </c>
      <c r="H785" t="s">
        <v>362</v>
      </c>
      <c r="I785" t="s">
        <v>14</v>
      </c>
      <c r="K785" t="s">
        <v>5843</v>
      </c>
      <c r="P785" t="str">
        <f>"Update Project Set Organisation = '"&amp;H785&amp;"' where Project_ID = '"&amp;A785&amp;"'; "</f>
        <v xml:space="preserve">Update Project Set Organisation = 'University of Queensland' where Project_ID = 'P0784'; </v>
      </c>
      <c r="Q785" t="str">
        <f>"Update Project Set Library_name = '"&amp;L785&amp;"' , COADD_ID = '"&amp;M785&amp;"' where Project_ID = '"&amp;A785&amp;"'; "</f>
        <v xml:space="preserve">Update Project Set Library_name = '' , COADD_ID = '' where Project_ID = 'P0784'; </v>
      </c>
    </row>
    <row r="786" spans="1:17">
      <c r="A786" t="s">
        <v>7695</v>
      </c>
      <c r="B786" t="s">
        <v>7694</v>
      </c>
      <c r="C786" t="s">
        <v>5633</v>
      </c>
      <c r="D786" t="s">
        <v>1020</v>
      </c>
      <c r="E786" t="s">
        <v>1312</v>
      </c>
      <c r="G786" t="s">
        <v>9131</v>
      </c>
      <c r="H786" t="s">
        <v>596</v>
      </c>
      <c r="I786" t="s">
        <v>223</v>
      </c>
      <c r="K786" t="s">
        <v>5828</v>
      </c>
      <c r="L786" t="s">
        <v>8167</v>
      </c>
      <c r="M786" t="s">
        <v>8409</v>
      </c>
      <c r="N786" s="2">
        <v>45657</v>
      </c>
      <c r="P786" t="str">
        <f>"Update Project Set Organisation = '"&amp;H786&amp;"' where Project_ID = '"&amp;A786&amp;"'; "</f>
        <v xml:space="preserve">Update Project Set Organisation = 'University of Auckland' where Project_ID = 'P0785'; </v>
      </c>
      <c r="Q786" t="str">
        <f>"Update Project Set Library_name = '"&amp;L786&amp;"' , COADD_ID = '"&amp;M786&amp;"' where Project_ID = '"&amp;A786&amp;"'; "</f>
        <v xml:space="preserve">Update Project Set Library_name = 'University of Auckland (New Zealand)' , COADD_ID = 'CO-ADD:PC0785' where Project_ID = 'P0785'; </v>
      </c>
    </row>
    <row r="787" spans="1:17">
      <c r="A787" t="s">
        <v>7696</v>
      </c>
      <c r="B787" t="s">
        <v>7457</v>
      </c>
      <c r="C787" t="s">
        <v>5633</v>
      </c>
      <c r="D787" t="s">
        <v>743</v>
      </c>
      <c r="E787" t="s">
        <v>742</v>
      </c>
      <c r="F787" t="s">
        <v>5263</v>
      </c>
      <c r="G787" t="s">
        <v>9268</v>
      </c>
      <c r="H787" t="s">
        <v>746</v>
      </c>
      <c r="I787" t="s">
        <v>748</v>
      </c>
      <c r="K787" t="s">
        <v>5828</v>
      </c>
      <c r="L787" t="s">
        <v>6524</v>
      </c>
      <c r="M787" t="s">
        <v>8452</v>
      </c>
      <c r="N787" s="2">
        <v>45657</v>
      </c>
      <c r="P787" t="str">
        <f>"Update Project Set Organisation = '"&amp;H787&amp;"' where Project_ID = '"&amp;A787&amp;"'; "</f>
        <v xml:space="preserve">Update Project Set Organisation = 'Yantai University' where Project_ID = 'P0786'; </v>
      </c>
      <c r="Q787" t="str">
        <f>"Update Project Set Library_name = '"&amp;L787&amp;"' , COADD_ID = '"&amp;M787&amp;"' where Project_ID = '"&amp;A787&amp;"'; "</f>
        <v xml:space="preserve">Update Project Set Library_name = 'Yantai University (China)' , COADD_ID = 'CO-ADD:PC0786' where Project_ID = 'P0786'; </v>
      </c>
    </row>
    <row r="788" spans="1:17">
      <c r="A788" t="s">
        <v>7698</v>
      </c>
      <c r="B788" t="s">
        <v>7697</v>
      </c>
      <c r="C788" t="s">
        <v>5633</v>
      </c>
      <c r="D788" t="s">
        <v>1581</v>
      </c>
      <c r="E788" t="s">
        <v>2986</v>
      </c>
      <c r="G788" t="s">
        <v>8976</v>
      </c>
      <c r="H788" t="s">
        <v>208</v>
      </c>
      <c r="I788" t="s">
        <v>211</v>
      </c>
      <c r="K788" t="s">
        <v>5828</v>
      </c>
      <c r="L788" t="s">
        <v>6572</v>
      </c>
      <c r="M788" t="s">
        <v>8356</v>
      </c>
      <c r="N788" s="2">
        <v>45657</v>
      </c>
      <c r="P788" t="str">
        <f>"Update Project Set Organisation = '"&amp;H788&amp;"' where Project_ID = '"&amp;A788&amp;"'; "</f>
        <v xml:space="preserve">Update Project Set Organisation = 'Jain University' where Project_ID = 'P0787'; </v>
      </c>
      <c r="Q788" t="str">
        <f>"Update Project Set Library_name = '"&amp;L788&amp;"' , COADD_ID = '"&amp;M788&amp;"' where Project_ID = '"&amp;A788&amp;"'; "</f>
        <v xml:space="preserve">Update Project Set Library_name = 'Jain University (India)' , COADD_ID = 'CO-ADD:PC0787' where Project_ID = 'P0787'; </v>
      </c>
    </row>
    <row r="789" spans="1:17">
      <c r="A789" t="s">
        <v>7699</v>
      </c>
      <c r="C789" t="s">
        <v>5633</v>
      </c>
      <c r="D789" t="s">
        <v>495</v>
      </c>
      <c r="E789" t="s">
        <v>5474</v>
      </c>
      <c r="F789" t="s">
        <v>494</v>
      </c>
      <c r="G789" t="s">
        <v>9181</v>
      </c>
      <c r="H789" t="s">
        <v>499</v>
      </c>
      <c r="I789" t="s">
        <v>117</v>
      </c>
      <c r="K789" t="s">
        <v>5828</v>
      </c>
      <c r="L789" t="s">
        <v>8251</v>
      </c>
      <c r="M789" t="s">
        <v>8427</v>
      </c>
      <c r="N789" s="2">
        <v>45657</v>
      </c>
      <c r="P789" t="str">
        <f>"Update Project Set Organisation = '"&amp;H789&amp;"' where Project_ID = '"&amp;A789&amp;"'; "</f>
        <v xml:space="preserve">Update Project Set Organisation = 'University of North Carolina at Chapel Hill' where Project_ID = 'P0788'; </v>
      </c>
      <c r="Q789" t="str">
        <f>"Update Project Set Library_name = '"&amp;L789&amp;"' , COADD_ID = '"&amp;M789&amp;"' where Project_ID = '"&amp;A789&amp;"'; "</f>
        <v xml:space="preserve">Update Project Set Library_name = 'University of North Carolina at Chapel Hill (United States)' , COADD_ID = 'CO-ADD:PC0788' where Project_ID = 'P0788'; </v>
      </c>
    </row>
    <row r="790" spans="1:17">
      <c r="A790" t="s">
        <v>7700</v>
      </c>
      <c r="C790" t="s">
        <v>5633</v>
      </c>
      <c r="D790" t="s">
        <v>495</v>
      </c>
      <c r="E790" t="s">
        <v>5474</v>
      </c>
      <c r="F790" t="s">
        <v>494</v>
      </c>
      <c r="G790" t="s">
        <v>9181</v>
      </c>
      <c r="H790" t="s">
        <v>499</v>
      </c>
      <c r="I790" t="s">
        <v>117</v>
      </c>
      <c r="K790" t="s">
        <v>5828</v>
      </c>
      <c r="L790" t="s">
        <v>8251</v>
      </c>
      <c r="M790" t="s">
        <v>8428</v>
      </c>
      <c r="N790" s="2">
        <v>45657</v>
      </c>
      <c r="P790" t="str">
        <f>"Update Project Set Organisation = '"&amp;H790&amp;"' where Project_ID = '"&amp;A790&amp;"'; "</f>
        <v xml:space="preserve">Update Project Set Organisation = 'University of North Carolina at Chapel Hill' where Project_ID = 'P0789'; </v>
      </c>
      <c r="Q790" t="str">
        <f>"Update Project Set Library_name = '"&amp;L790&amp;"' , COADD_ID = '"&amp;M790&amp;"' where Project_ID = '"&amp;A790&amp;"'; "</f>
        <v xml:space="preserve">Update Project Set Library_name = 'University of North Carolina at Chapel Hill (United States)' , COADD_ID = 'CO-ADD:PC0789' where Project_ID = 'P0789'; </v>
      </c>
    </row>
    <row r="791" spans="1:17">
      <c r="A791" t="s">
        <v>7703</v>
      </c>
      <c r="B791" t="s">
        <v>7702</v>
      </c>
      <c r="C791" t="s">
        <v>5633</v>
      </c>
      <c r="D791" t="s">
        <v>2650</v>
      </c>
      <c r="E791" t="s">
        <v>2649</v>
      </c>
      <c r="F791" t="s">
        <v>4125</v>
      </c>
      <c r="G791" t="s">
        <v>8920</v>
      </c>
      <c r="H791" t="s">
        <v>2654</v>
      </c>
      <c r="I791" t="s">
        <v>609</v>
      </c>
      <c r="J791" t="s">
        <v>7701</v>
      </c>
      <c r="K791" t="s">
        <v>5843</v>
      </c>
      <c r="P791" t="str">
        <f>"Update Project Set Organisation = '"&amp;H791&amp;"' where Project_ID = '"&amp;A791&amp;"'; "</f>
        <v xml:space="preserve">Update Project Set Organisation = 'Council for Scientific and Industrial Research (CSIR)' where Project_ID = 'P0790'; </v>
      </c>
      <c r="Q791" t="str">
        <f>"Update Project Set Library_name = '"&amp;L791&amp;"' , COADD_ID = '"&amp;M791&amp;"' where Project_ID = '"&amp;A791&amp;"'; "</f>
        <v xml:space="preserve">Update Project Set Library_name = '' , COADD_ID = '' where Project_ID = 'P0790'; </v>
      </c>
    </row>
    <row r="792" spans="1:17">
      <c r="A792" t="s">
        <v>7705</v>
      </c>
      <c r="B792" t="s">
        <v>7704</v>
      </c>
      <c r="C792" t="s">
        <v>5633</v>
      </c>
      <c r="D792" t="s">
        <v>1741</v>
      </c>
      <c r="E792" t="s">
        <v>1740</v>
      </c>
      <c r="G792" t="s">
        <v>9055</v>
      </c>
      <c r="H792" t="s">
        <v>1744</v>
      </c>
      <c r="I792" t="s">
        <v>117</v>
      </c>
      <c r="K792" t="s">
        <v>5828</v>
      </c>
      <c r="L792" t="s">
        <v>8306</v>
      </c>
      <c r="M792" t="s">
        <v>8381</v>
      </c>
      <c r="N792" s="2">
        <v>45657</v>
      </c>
      <c r="P792" t="str">
        <f>"Update Project Set Organisation = '"&amp;H792&amp;"' where Project_ID = '"&amp;A792&amp;"'; "</f>
        <v xml:space="preserve">Update Project Set Organisation = 'Penn State Behrend' where Project_ID = 'P0791'; </v>
      </c>
      <c r="Q792" t="str">
        <f>"Update Project Set Library_name = '"&amp;L792&amp;"' , COADD_ID = '"&amp;M792&amp;"' where Project_ID = '"&amp;A792&amp;"'; "</f>
        <v xml:space="preserve">Update Project Set Library_name = 'Penn State Behrend (United States)' , COADD_ID = 'CO-ADD:PC0791' where Project_ID = 'P0791'; </v>
      </c>
    </row>
    <row r="793" spans="1:17">
      <c r="A793" t="s">
        <v>7707</v>
      </c>
      <c r="B793" t="s">
        <v>7706</v>
      </c>
      <c r="C793" t="s">
        <v>5633</v>
      </c>
      <c r="D793" t="s">
        <v>949</v>
      </c>
      <c r="E793" t="s">
        <v>948</v>
      </c>
      <c r="F793" t="s">
        <v>957</v>
      </c>
      <c r="G793" t="s">
        <v>9161</v>
      </c>
      <c r="H793" t="s">
        <v>952</v>
      </c>
      <c r="I793" t="s">
        <v>117</v>
      </c>
      <c r="K793" t="s">
        <v>5828</v>
      </c>
      <c r="L793" t="s">
        <v>8307</v>
      </c>
      <c r="M793" t="s">
        <v>8418</v>
      </c>
      <c r="N793" s="2">
        <v>45657</v>
      </c>
      <c r="P793" t="str">
        <f>"Update Project Set Organisation = '"&amp;H793&amp;"' where Project_ID = '"&amp;A793&amp;"'; "</f>
        <v xml:space="preserve">Update Project Set Organisation = 'University of Maine' where Project_ID = 'P0792'; </v>
      </c>
      <c r="Q793" t="str">
        <f>"Update Project Set Library_name = '"&amp;L793&amp;"' , COADD_ID = '"&amp;M793&amp;"' where Project_ID = '"&amp;A793&amp;"'; "</f>
        <v xml:space="preserve">Update Project Set Library_name = 'University of Maine (United States)' , COADD_ID = 'CO-ADD:PC0792' where Project_ID = 'P0792'; </v>
      </c>
    </row>
    <row r="794" spans="1:17">
      <c r="A794" t="s">
        <v>7708</v>
      </c>
      <c r="B794" t="s">
        <v>3645</v>
      </c>
      <c r="C794" t="s">
        <v>5633</v>
      </c>
      <c r="D794" t="s">
        <v>59</v>
      </c>
      <c r="E794" t="s">
        <v>89</v>
      </c>
      <c r="G794" t="s">
        <v>9018</v>
      </c>
      <c r="H794" t="s">
        <v>5798</v>
      </c>
      <c r="I794" t="s">
        <v>55</v>
      </c>
      <c r="K794" t="s">
        <v>5828</v>
      </c>
      <c r="L794" t="s">
        <v>8242</v>
      </c>
      <c r="M794" t="s">
        <v>8368</v>
      </c>
      <c r="N794" s="2">
        <v>45657</v>
      </c>
      <c r="P794" t="str">
        <f>"Update Project Set Organisation = '"&amp;H794&amp;"' where Project_ID = '"&amp;A794&amp;"'; "</f>
        <v xml:space="preserve">Update Project Set Organisation = 'Modern University for Technology and Information' where Project_ID = 'P0793'; </v>
      </c>
      <c r="Q794" t="str">
        <f>"Update Project Set Library_name = '"&amp;L794&amp;"' , COADD_ID = '"&amp;M794&amp;"' where Project_ID = '"&amp;A794&amp;"'; "</f>
        <v xml:space="preserve">Update Project Set Library_name = 'Modern University for Technology and Information (Egypt)' , COADD_ID = 'CO-ADD:PC0793' where Project_ID = 'P0793'; </v>
      </c>
    </row>
    <row r="795" spans="1:17">
      <c r="A795" t="s">
        <v>7709</v>
      </c>
      <c r="C795" t="s">
        <v>5633</v>
      </c>
      <c r="D795" t="s">
        <v>99</v>
      </c>
      <c r="E795" t="s">
        <v>120</v>
      </c>
      <c r="G795" t="s">
        <v>9028</v>
      </c>
      <c r="H795" t="s">
        <v>103</v>
      </c>
      <c r="I795" t="s">
        <v>55</v>
      </c>
      <c r="K795" t="s">
        <v>5828</v>
      </c>
      <c r="L795" t="s">
        <v>8308</v>
      </c>
      <c r="M795" t="s">
        <v>8372</v>
      </c>
      <c r="N795" s="2">
        <v>45657</v>
      </c>
      <c r="P795" t="str">
        <f>"Update Project Set Organisation = '"&amp;H795&amp;"' where Project_ID = '"&amp;A795&amp;"'; "</f>
        <v xml:space="preserve">Update Project Set Organisation = 'Nahda University' where Project_ID = 'P0794'; </v>
      </c>
      <c r="Q795" t="str">
        <f>"Update Project Set Library_name = '"&amp;L795&amp;"' , COADD_ID = '"&amp;M795&amp;"' where Project_ID = '"&amp;A795&amp;"'; "</f>
        <v xml:space="preserve">Update Project Set Library_name = 'Nahda University (Egypt)' , COADD_ID = 'CO-ADD:PC0794' where Project_ID = 'P0794'; </v>
      </c>
    </row>
    <row r="796" spans="1:17">
      <c r="A796" t="s">
        <v>7711</v>
      </c>
      <c r="B796" t="s">
        <v>7710</v>
      </c>
      <c r="C796" t="s">
        <v>5633</v>
      </c>
      <c r="D796" t="s">
        <v>1595</v>
      </c>
      <c r="E796" t="s">
        <v>4884</v>
      </c>
      <c r="F796" t="s">
        <v>1594</v>
      </c>
      <c r="G796" t="s">
        <v>9056</v>
      </c>
      <c r="H796" t="s">
        <v>1598</v>
      </c>
      <c r="I796" t="s">
        <v>1600</v>
      </c>
      <c r="K796" t="s">
        <v>5828</v>
      </c>
      <c r="L796" t="s">
        <v>8292</v>
      </c>
      <c r="M796" t="s">
        <v>8382</v>
      </c>
      <c r="N796" s="2">
        <v>45657</v>
      </c>
      <c r="P796" t="str">
        <f>"Update Project Set Organisation = '"&amp;H796&amp;"' where Project_ID = '"&amp;A796&amp;"'; "</f>
        <v xml:space="preserve">Update Project Set Organisation = 'Perm State University' where Project_ID = 'P0795'; </v>
      </c>
      <c r="Q796" t="str">
        <f>"Update Project Set Library_name = '"&amp;L796&amp;"' , COADD_ID = '"&amp;M796&amp;"' where Project_ID = '"&amp;A796&amp;"'; "</f>
        <v xml:space="preserve">Update Project Set Library_name = 'Perm State University (Russia)' , COADD_ID = 'CO-ADD:PC0795' where Project_ID = 'P0795'; </v>
      </c>
    </row>
    <row r="797" spans="1:17">
      <c r="A797" t="s">
        <v>7713</v>
      </c>
      <c r="B797" t="s">
        <v>7712</v>
      </c>
      <c r="C797" t="s">
        <v>5633</v>
      </c>
      <c r="D797" t="s">
        <v>1020</v>
      </c>
      <c r="E797" t="s">
        <v>1312</v>
      </c>
      <c r="G797" t="s">
        <v>9131</v>
      </c>
      <c r="H797" t="s">
        <v>596</v>
      </c>
      <c r="I797" t="s">
        <v>223</v>
      </c>
      <c r="K797" t="s">
        <v>5828</v>
      </c>
      <c r="L797" t="s">
        <v>8167</v>
      </c>
      <c r="M797" t="s">
        <v>8410</v>
      </c>
      <c r="N797" s="2">
        <v>45657</v>
      </c>
      <c r="P797" t="str">
        <f>"Update Project Set Organisation = '"&amp;H797&amp;"' where Project_ID = '"&amp;A797&amp;"'; "</f>
        <v xml:space="preserve">Update Project Set Organisation = 'University of Auckland' where Project_ID = 'P0796'; </v>
      </c>
      <c r="Q797" t="str">
        <f>"Update Project Set Library_name = '"&amp;L797&amp;"' , COADD_ID = '"&amp;M797&amp;"' where Project_ID = '"&amp;A797&amp;"'; "</f>
        <v xml:space="preserve">Update Project Set Library_name = 'University of Auckland (New Zealand)' , COADD_ID = 'CO-ADD:PC0796' where Project_ID = 'P0796'; </v>
      </c>
    </row>
    <row r="798" spans="1:17">
      <c r="A798" t="s">
        <v>7714</v>
      </c>
      <c r="C798" t="s">
        <v>5633</v>
      </c>
      <c r="D798" t="s">
        <v>3312</v>
      </c>
      <c r="E798" t="s">
        <v>5231</v>
      </c>
      <c r="F798" t="s">
        <v>3311</v>
      </c>
      <c r="G798" t="s">
        <v>9049</v>
      </c>
      <c r="H798" t="s">
        <v>3315</v>
      </c>
      <c r="I798" t="s">
        <v>1600</v>
      </c>
      <c r="K798" t="s">
        <v>5828</v>
      </c>
      <c r="L798" t="s">
        <v>8182</v>
      </c>
      <c r="M798" t="s">
        <v>8377</v>
      </c>
      <c r="N798" s="2">
        <v>45657</v>
      </c>
      <c r="P798" t="str">
        <f>"Update Project Set Organisation = '"&amp;H798&amp;"' where Project_ID = '"&amp;A798&amp;"'; "</f>
        <v xml:space="preserve">Update Project Set Organisation = 'Novosibirsk Institute of Organic Chemistry' where Project_ID = 'P0797'; </v>
      </c>
      <c r="Q798" t="str">
        <f>"Update Project Set Library_name = '"&amp;L798&amp;"' , COADD_ID = '"&amp;M798&amp;"' where Project_ID = '"&amp;A798&amp;"'; "</f>
        <v xml:space="preserve">Update Project Set Library_name = 'Novosibirsk Institute of Organic Chemistry (Russia)' , COADD_ID = 'CO-ADD:PC0797' where Project_ID = 'P0797'; </v>
      </c>
    </row>
    <row r="799" spans="1:17">
      <c r="A799" t="s">
        <v>7716</v>
      </c>
      <c r="B799" t="s">
        <v>7715</v>
      </c>
      <c r="C799" t="s">
        <v>5633</v>
      </c>
      <c r="D799" t="s">
        <v>59</v>
      </c>
      <c r="E799" t="s">
        <v>89</v>
      </c>
      <c r="G799" t="s">
        <v>9018</v>
      </c>
      <c r="H799" t="s">
        <v>5798</v>
      </c>
      <c r="I799" t="s">
        <v>55</v>
      </c>
      <c r="K799" t="s">
        <v>5828</v>
      </c>
      <c r="L799" t="s">
        <v>8242</v>
      </c>
      <c r="M799" t="s">
        <v>8369</v>
      </c>
      <c r="N799" s="2">
        <v>45657</v>
      </c>
      <c r="P799" t="str">
        <f>"Update Project Set Organisation = '"&amp;H799&amp;"' where Project_ID = '"&amp;A799&amp;"'; "</f>
        <v xml:space="preserve">Update Project Set Organisation = 'Modern University for Technology and Information' where Project_ID = 'P0798'; </v>
      </c>
      <c r="Q799" t="str">
        <f>"Update Project Set Library_name = '"&amp;L799&amp;"' , COADD_ID = '"&amp;M799&amp;"' where Project_ID = '"&amp;A799&amp;"'; "</f>
        <v xml:space="preserve">Update Project Set Library_name = 'Modern University for Technology and Information (Egypt)' , COADD_ID = 'CO-ADD:PC0798' where Project_ID = 'P0798'; </v>
      </c>
    </row>
    <row r="800" spans="1:17">
      <c r="A800" t="s">
        <v>7718</v>
      </c>
      <c r="B800" t="s">
        <v>7717</v>
      </c>
      <c r="C800" t="s">
        <v>5633</v>
      </c>
      <c r="D800" t="s">
        <v>520</v>
      </c>
      <c r="E800" t="s">
        <v>519</v>
      </c>
      <c r="F800" t="s">
        <v>5384</v>
      </c>
      <c r="G800" t="s">
        <v>9180</v>
      </c>
      <c r="H800" t="s">
        <v>524</v>
      </c>
      <c r="I800" t="s">
        <v>14</v>
      </c>
      <c r="K800" t="s">
        <v>5828</v>
      </c>
      <c r="L800" t="s">
        <v>8155</v>
      </c>
      <c r="M800" t="s">
        <v>8425</v>
      </c>
      <c r="N800" s="2">
        <v>45657</v>
      </c>
      <c r="P800" t="str">
        <f>"Update Project Set Organisation = '"&amp;H800&amp;"' where Project_ID = '"&amp;A800&amp;"'; "</f>
        <v xml:space="preserve">Update Project Set Organisation = 'University of Newcastle' where Project_ID = 'P0799'; </v>
      </c>
      <c r="Q800" t="str">
        <f>"Update Project Set Library_name = '"&amp;L800&amp;"' , COADD_ID = '"&amp;M800&amp;"' where Project_ID = '"&amp;A800&amp;"'; "</f>
        <v xml:space="preserve">Update Project Set Library_name = 'University of Newcastle (Australia)' , COADD_ID = 'CO-ADD:PC0799' where Project_ID = 'P0799'; </v>
      </c>
    </row>
    <row r="801" spans="1:17">
      <c r="A801" t="s">
        <v>7720</v>
      </c>
      <c r="B801" t="s">
        <v>7719</v>
      </c>
      <c r="C801" t="s">
        <v>5633</v>
      </c>
      <c r="D801" t="s">
        <v>2063</v>
      </c>
      <c r="E801" t="s">
        <v>2062</v>
      </c>
      <c r="G801" t="s">
        <v>8896</v>
      </c>
      <c r="H801" t="s">
        <v>2066</v>
      </c>
      <c r="I801" t="s">
        <v>211</v>
      </c>
      <c r="K801" t="s">
        <v>5828</v>
      </c>
      <c r="L801" t="s">
        <v>8273</v>
      </c>
      <c r="M801" t="s">
        <v>8341</v>
      </c>
      <c r="N801" s="2">
        <v>45657</v>
      </c>
      <c r="P801" t="str">
        <f>"Update Project Set Organisation = '"&amp;H801&amp;"' where Project_ID = '"&amp;A801&amp;"'; "</f>
        <v xml:space="preserve">Update Project Set Organisation = 'BMS College of Engineering' where Project_ID = 'P0800'; </v>
      </c>
      <c r="Q801" t="str">
        <f>"Update Project Set Library_name = '"&amp;L801&amp;"' , COADD_ID = '"&amp;M801&amp;"' where Project_ID = '"&amp;A801&amp;"'; "</f>
        <v xml:space="preserve">Update Project Set Library_name = 'BMS College of Engineering (India)' , COADD_ID = 'CO-ADD:PC0800' where Project_ID = 'P0800'; </v>
      </c>
    </row>
    <row r="802" spans="1:17">
      <c r="A802" t="s">
        <v>7723</v>
      </c>
      <c r="B802" t="s">
        <v>7722</v>
      </c>
      <c r="C802" t="s">
        <v>5633</v>
      </c>
      <c r="D802" t="s">
        <v>2872</v>
      </c>
      <c r="E802" t="s">
        <v>2871</v>
      </c>
      <c r="F802" t="s">
        <v>4547</v>
      </c>
      <c r="G802" t="s">
        <v>9245</v>
      </c>
      <c r="H802" t="s">
        <v>1422</v>
      </c>
      <c r="I802" t="s">
        <v>14</v>
      </c>
      <c r="J802" t="s">
        <v>7721</v>
      </c>
      <c r="K802" t="s">
        <v>5828</v>
      </c>
      <c r="L802" t="s">
        <v>8156</v>
      </c>
      <c r="M802" t="s">
        <v>8446</v>
      </c>
      <c r="N802" s="2">
        <v>45657</v>
      </c>
      <c r="P802" t="str">
        <f>"Update Project Set Organisation = '"&amp;H802&amp;"' where Project_ID = '"&amp;A802&amp;"'; "</f>
        <v xml:space="preserve">Update Project Set Organisation = 'University of Wollongong' where Project_ID = 'P0801'; </v>
      </c>
      <c r="Q802" t="str">
        <f>"Update Project Set Library_name = '"&amp;L802&amp;"' , COADD_ID = '"&amp;M802&amp;"' where Project_ID = '"&amp;A802&amp;"'; "</f>
        <v xml:space="preserve">Update Project Set Library_name = 'University of Wollongong (Australia)' , COADD_ID = 'CO-ADD:PC0801' where Project_ID = 'P0801'; </v>
      </c>
    </row>
    <row r="803" spans="1:17">
      <c r="A803" t="s">
        <v>7726</v>
      </c>
      <c r="B803" t="s">
        <v>7725</v>
      </c>
      <c r="C803" t="s">
        <v>5633</v>
      </c>
      <c r="D803" t="s">
        <v>2173</v>
      </c>
      <c r="E803" t="s">
        <v>2237</v>
      </c>
      <c r="G803" t="s">
        <v>8945</v>
      </c>
      <c r="H803" t="s">
        <v>1327</v>
      </c>
      <c r="I803" t="s">
        <v>14</v>
      </c>
      <c r="J803" t="s">
        <v>7724</v>
      </c>
      <c r="K803" t="s">
        <v>5828</v>
      </c>
      <c r="L803" t="s">
        <v>8162</v>
      </c>
      <c r="M803" t="s">
        <v>8347</v>
      </c>
      <c r="N803" s="2">
        <v>45657</v>
      </c>
      <c r="P803" t="str">
        <f>"Update Project Set Organisation = '"&amp;H803&amp;"' where Project_ID = '"&amp;A803&amp;"'; "</f>
        <v xml:space="preserve">Update Project Set Organisation = 'Griffith University' where Project_ID = 'P0802'; </v>
      </c>
      <c r="Q803" t="str">
        <f>"Update Project Set Library_name = '"&amp;L803&amp;"' , COADD_ID = '"&amp;M803&amp;"' where Project_ID = '"&amp;A803&amp;"'; "</f>
        <v xml:space="preserve">Update Project Set Library_name = 'Griffith University (Australia)' , COADD_ID = 'CO-ADD:PC0802' where Project_ID = 'P0802'; </v>
      </c>
    </row>
    <row r="804" spans="1:17">
      <c r="A804" t="s">
        <v>7728</v>
      </c>
      <c r="B804" t="s">
        <v>7727</v>
      </c>
      <c r="C804" t="s">
        <v>5633</v>
      </c>
      <c r="D804" t="s">
        <v>4643</v>
      </c>
      <c r="E804" t="s">
        <v>4642</v>
      </c>
      <c r="G804" t="s">
        <v>9068</v>
      </c>
      <c r="H804" t="s">
        <v>4646</v>
      </c>
      <c r="I804" t="s">
        <v>1600</v>
      </c>
      <c r="K804" t="s">
        <v>5828</v>
      </c>
      <c r="L804" t="s">
        <v>5995</v>
      </c>
      <c r="M804" t="s">
        <v>8397</v>
      </c>
      <c r="N804" s="2">
        <v>45657</v>
      </c>
      <c r="P804" t="str">
        <f>"Update Project Set Organisation = '"&amp;H804&amp;"' where Project_ID = '"&amp;A804&amp;"'; "</f>
        <v xml:space="preserve">Update Project Set Organisation = 'Russian Academy of Science' where Project_ID = 'P0803'; </v>
      </c>
      <c r="Q804" t="str">
        <f>"Update Project Set Library_name = '"&amp;L804&amp;"' , COADD_ID = '"&amp;M804&amp;"' where Project_ID = '"&amp;A804&amp;"'; "</f>
        <v xml:space="preserve">Update Project Set Library_name = 'Russian Academy of Science (Russia)' , COADD_ID = 'CO-ADD:PC0803' where Project_ID = 'P0803'; </v>
      </c>
    </row>
    <row r="805" spans="1:17">
      <c r="A805" t="s">
        <v>7729</v>
      </c>
      <c r="C805" t="s">
        <v>5633</v>
      </c>
      <c r="D805" t="s">
        <v>2002</v>
      </c>
      <c r="E805" t="s">
        <v>2001</v>
      </c>
      <c r="G805" t="s">
        <v>9204</v>
      </c>
      <c r="H805" t="s">
        <v>362</v>
      </c>
      <c r="I805" t="s">
        <v>14</v>
      </c>
      <c r="K805" t="s">
        <v>5843</v>
      </c>
      <c r="P805" t="str">
        <f>"Update Project Set Organisation = '"&amp;H805&amp;"' where Project_ID = '"&amp;A805&amp;"'; "</f>
        <v xml:space="preserve">Update Project Set Organisation = 'University of Queensland' where Project_ID = 'P0804'; </v>
      </c>
      <c r="Q805" t="str">
        <f>"Update Project Set Library_name = '"&amp;L805&amp;"' , COADD_ID = '"&amp;M805&amp;"' where Project_ID = '"&amp;A805&amp;"'; "</f>
        <v xml:space="preserve">Update Project Set Library_name = '' , COADD_ID = '' where Project_ID = 'P0804'; </v>
      </c>
    </row>
    <row r="806" spans="1:17">
      <c r="A806" t="s">
        <v>7731</v>
      </c>
      <c r="B806" t="s">
        <v>7730</v>
      </c>
      <c r="C806" t="s">
        <v>5633</v>
      </c>
      <c r="D806" t="s">
        <v>4643</v>
      </c>
      <c r="E806" t="s">
        <v>4642</v>
      </c>
      <c r="G806" t="s">
        <v>9068</v>
      </c>
      <c r="H806" t="s">
        <v>4646</v>
      </c>
      <c r="I806" t="s">
        <v>1600</v>
      </c>
      <c r="K806" t="s">
        <v>5828</v>
      </c>
      <c r="L806" t="s">
        <v>5995</v>
      </c>
      <c r="M806" t="s">
        <v>8398</v>
      </c>
      <c r="N806" s="2">
        <v>45657</v>
      </c>
      <c r="P806" t="str">
        <f>"Update Project Set Organisation = '"&amp;H806&amp;"' where Project_ID = '"&amp;A806&amp;"'; "</f>
        <v xml:space="preserve">Update Project Set Organisation = 'Russian Academy of Science' where Project_ID = 'P0805'; </v>
      </c>
      <c r="Q806" t="str">
        <f>"Update Project Set Library_name = '"&amp;L806&amp;"' , COADD_ID = '"&amp;M806&amp;"' where Project_ID = '"&amp;A806&amp;"'; "</f>
        <v xml:space="preserve">Update Project Set Library_name = 'Russian Academy of Science (Russia)' , COADD_ID = 'CO-ADD:PC0805' where Project_ID = 'P0805'; </v>
      </c>
    </row>
    <row r="807" spans="1:17">
      <c r="A807" t="s">
        <v>7734</v>
      </c>
      <c r="B807" t="s">
        <v>7733</v>
      </c>
      <c r="C807" t="s">
        <v>5633</v>
      </c>
      <c r="D807" t="s">
        <v>247</v>
      </c>
      <c r="E807" t="s">
        <v>4518</v>
      </c>
      <c r="G807" t="s">
        <v>9011</v>
      </c>
      <c r="H807" t="s">
        <v>250</v>
      </c>
      <c r="I807" t="s">
        <v>253</v>
      </c>
      <c r="K807" t="s">
        <v>5828</v>
      </c>
      <c r="L807" t="s">
        <v>7732</v>
      </c>
      <c r="M807" t="s">
        <v>8365</v>
      </c>
      <c r="N807" s="2">
        <v>45657</v>
      </c>
      <c r="P807" t="str">
        <f>"Update Project Set Organisation = '"&amp;H807&amp;"' where Project_ID = '"&amp;A807&amp;"'; "</f>
        <v xml:space="preserve">Update Project Set Organisation = 'Medicines for Malaria Venture (MMV)' where Project_ID = 'P0806'; </v>
      </c>
      <c r="Q807" t="str">
        <f>"Update Project Set Library_name = '"&amp;L807&amp;"' , COADD_ID = '"&amp;M807&amp;"' where Project_ID = '"&amp;A807&amp;"'; "</f>
        <v xml:space="preserve">Update Project Set Library_name = 'MMV (CH) - SAR-2' , COADD_ID = 'CO-ADD:PC0806' where Project_ID = 'P0806'; </v>
      </c>
    </row>
    <row r="808" spans="1:17">
      <c r="A808" t="s">
        <v>7735</v>
      </c>
      <c r="C808" t="s">
        <v>5633</v>
      </c>
      <c r="D808" t="s">
        <v>330</v>
      </c>
      <c r="E808" t="s">
        <v>329</v>
      </c>
      <c r="F808" t="s">
        <v>2001</v>
      </c>
      <c r="G808" t="s">
        <v>9249</v>
      </c>
      <c r="H808" t="s">
        <v>334</v>
      </c>
      <c r="I808" t="s">
        <v>253</v>
      </c>
      <c r="K808" t="s">
        <v>5843</v>
      </c>
      <c r="P808" t="str">
        <f>"Update Project Set Organisation = '"&amp;H808&amp;"' where Project_ID = '"&amp;A808&amp;"'; "</f>
        <v xml:space="preserve">Update Project Set Organisation = 'University of Zurich' where Project_ID = 'P0807'; </v>
      </c>
      <c r="Q808" t="str">
        <f>"Update Project Set Library_name = '"&amp;L808&amp;"' , COADD_ID = '"&amp;M808&amp;"' where Project_ID = '"&amp;A808&amp;"'; "</f>
        <v xml:space="preserve">Update Project Set Library_name = '' , COADD_ID = '' where Project_ID = 'P0807'; </v>
      </c>
    </row>
    <row r="809" spans="1:17">
      <c r="A809" t="s">
        <v>7737</v>
      </c>
      <c r="B809" t="s">
        <v>7736</v>
      </c>
      <c r="C809" t="s">
        <v>5633</v>
      </c>
      <c r="D809" t="s">
        <v>377</v>
      </c>
      <c r="E809" t="s">
        <v>3763</v>
      </c>
      <c r="F809" t="s">
        <v>3405</v>
      </c>
      <c r="G809" t="s">
        <v>9150</v>
      </c>
      <c r="H809" t="s">
        <v>381</v>
      </c>
      <c r="I809" t="s">
        <v>269</v>
      </c>
      <c r="K809" t="s">
        <v>5828</v>
      </c>
      <c r="L809" t="s">
        <v>8260</v>
      </c>
      <c r="M809" t="s">
        <v>8416</v>
      </c>
      <c r="N809" s="2">
        <v>45657</v>
      </c>
      <c r="P809" t="str">
        <f>"Update Project Set Organisation = '"&amp;H809&amp;"' where Project_ID = '"&amp;A809&amp;"'; "</f>
        <v xml:space="preserve">Update Project Set Organisation = 'University of East Anglia' where Project_ID = 'P0808'; </v>
      </c>
      <c r="Q809" t="str">
        <f>"Update Project Set Library_name = '"&amp;L809&amp;"' , COADD_ID = '"&amp;M809&amp;"' where Project_ID = '"&amp;A809&amp;"'; "</f>
        <v xml:space="preserve">Update Project Set Library_name = 'University of East Anglia (United Kingdom)' , COADD_ID = 'CO-ADD:PC0808' where Project_ID = 'P0808'; </v>
      </c>
    </row>
    <row r="810" spans="1:17">
      <c r="A810" t="s">
        <v>7740</v>
      </c>
      <c r="B810" t="s">
        <v>7739</v>
      </c>
      <c r="C810" t="s">
        <v>5633</v>
      </c>
      <c r="D810" t="s">
        <v>2194</v>
      </c>
      <c r="E810" t="s">
        <v>2265</v>
      </c>
      <c r="F810" t="s">
        <v>3940</v>
      </c>
      <c r="G810" t="s">
        <v>9194</v>
      </c>
      <c r="H810" t="s">
        <v>362</v>
      </c>
      <c r="I810" t="s">
        <v>14</v>
      </c>
      <c r="J810" t="s">
        <v>7738</v>
      </c>
      <c r="K810" t="s">
        <v>5843</v>
      </c>
      <c r="P810" t="str">
        <f>"Update Project Set Organisation = '"&amp;H810&amp;"' where Project_ID = '"&amp;A810&amp;"'; "</f>
        <v xml:space="preserve">Update Project Set Organisation = 'University of Queensland' where Project_ID = 'P0809'; </v>
      </c>
      <c r="Q810" t="str">
        <f>"Update Project Set Library_name = '"&amp;L810&amp;"' , COADD_ID = '"&amp;M810&amp;"' where Project_ID = '"&amp;A810&amp;"'; "</f>
        <v xml:space="preserve">Update Project Set Library_name = '' , COADD_ID = '' where Project_ID = 'P0809'; </v>
      </c>
    </row>
    <row r="811" spans="1:17">
      <c r="A811" t="s">
        <v>7742</v>
      </c>
      <c r="B811" t="s">
        <v>7741</v>
      </c>
      <c r="C811" t="s">
        <v>5633</v>
      </c>
      <c r="D811" t="s">
        <v>4643</v>
      </c>
      <c r="E811" t="s">
        <v>4642</v>
      </c>
      <c r="G811" t="s">
        <v>9068</v>
      </c>
      <c r="H811" t="s">
        <v>4646</v>
      </c>
      <c r="I811" t="s">
        <v>1600</v>
      </c>
      <c r="K811" t="s">
        <v>5828</v>
      </c>
      <c r="L811" t="s">
        <v>5995</v>
      </c>
      <c r="M811" t="s">
        <v>8399</v>
      </c>
      <c r="N811" s="2">
        <v>45657</v>
      </c>
      <c r="P811" t="str">
        <f>"Update Project Set Organisation = '"&amp;H811&amp;"' where Project_ID = '"&amp;A811&amp;"'; "</f>
        <v xml:space="preserve">Update Project Set Organisation = 'Russian Academy of Science' where Project_ID = 'P0810'; </v>
      </c>
      <c r="Q811" t="str">
        <f>"Update Project Set Library_name = '"&amp;L811&amp;"' , COADD_ID = '"&amp;M811&amp;"' where Project_ID = '"&amp;A811&amp;"'; "</f>
        <v xml:space="preserve">Update Project Set Library_name = 'Russian Academy of Science (Russia)' , COADD_ID = 'CO-ADD:PC0810' where Project_ID = 'P0810'; </v>
      </c>
    </row>
    <row r="812" spans="1:17">
      <c r="A812" t="s">
        <v>7744</v>
      </c>
      <c r="B812" t="s">
        <v>7743</v>
      </c>
      <c r="C812" t="s">
        <v>5633</v>
      </c>
      <c r="D812" t="s">
        <v>2194</v>
      </c>
      <c r="E812" t="s">
        <v>4382</v>
      </c>
      <c r="G812" t="s">
        <v>9194</v>
      </c>
      <c r="H812" t="s">
        <v>362</v>
      </c>
      <c r="I812" t="s">
        <v>14</v>
      </c>
      <c r="K812" t="s">
        <v>5843</v>
      </c>
      <c r="P812" t="str">
        <f>"Update Project Set Organisation = '"&amp;H812&amp;"' where Project_ID = '"&amp;A812&amp;"'; "</f>
        <v xml:space="preserve">Update Project Set Organisation = 'University of Queensland' where Project_ID = 'P0811'; </v>
      </c>
      <c r="Q812" t="str">
        <f>"Update Project Set Library_name = '"&amp;L812&amp;"' , COADD_ID = '"&amp;M812&amp;"' where Project_ID = '"&amp;A812&amp;"'; "</f>
        <v xml:space="preserve">Update Project Set Library_name = '' , COADD_ID = '' where Project_ID = 'P0811'; </v>
      </c>
    </row>
    <row r="813" spans="1:17">
      <c r="A813" t="s">
        <v>7747</v>
      </c>
      <c r="B813" t="s">
        <v>7746</v>
      </c>
      <c r="C813" t="s">
        <v>5633</v>
      </c>
      <c r="D813" t="s">
        <v>4256</v>
      </c>
      <c r="E813" t="s">
        <v>5182</v>
      </c>
      <c r="F813" t="s">
        <v>4255</v>
      </c>
      <c r="G813" t="s">
        <v>9078</v>
      </c>
      <c r="H813" t="s">
        <v>4259</v>
      </c>
      <c r="I813" t="s">
        <v>211</v>
      </c>
      <c r="J813" t="s">
        <v>7745</v>
      </c>
      <c r="K813" t="s">
        <v>5828</v>
      </c>
      <c r="L813" t="s">
        <v>8309</v>
      </c>
      <c r="M813" t="s">
        <v>8401</v>
      </c>
      <c r="N813" s="2">
        <v>45657</v>
      </c>
      <c r="P813" t="str">
        <f>"Update Project Set Organisation = '"&amp;H813&amp;"' where Project_ID = '"&amp;A813&amp;"'; "</f>
        <v xml:space="preserve">Update Project Set Organisation = 'Sree Vidyanikethan College of Pharmacy' where Project_ID = 'P0812'; </v>
      </c>
      <c r="Q813" t="str">
        <f>"Update Project Set Library_name = '"&amp;L813&amp;"' , COADD_ID = '"&amp;M813&amp;"' where Project_ID = '"&amp;A813&amp;"'; "</f>
        <v xml:space="preserve">Update Project Set Library_name = 'Sree Vidyanikethan College of Pharmacy (India)' , COADD_ID = 'CO-ADD:PC0812' where Project_ID = 'P0812'; </v>
      </c>
    </row>
    <row r="814" spans="1:17">
      <c r="A814" t="s">
        <v>7750</v>
      </c>
      <c r="B814" t="s">
        <v>7749</v>
      </c>
      <c r="C814" t="s">
        <v>5633</v>
      </c>
      <c r="D814" t="s">
        <v>3603</v>
      </c>
      <c r="E814" t="s">
        <v>4978</v>
      </c>
      <c r="F814" t="s">
        <v>3602</v>
      </c>
      <c r="G814" t="s">
        <v>9263</v>
      </c>
      <c r="H814" t="s">
        <v>3607</v>
      </c>
      <c r="I814" t="s">
        <v>117</v>
      </c>
      <c r="J814" t="s">
        <v>7748</v>
      </c>
      <c r="K814" t="s">
        <v>5828</v>
      </c>
      <c r="L814" t="s">
        <v>8310</v>
      </c>
      <c r="M814" t="s">
        <v>8450</v>
      </c>
      <c r="N814" s="2">
        <v>45657</v>
      </c>
      <c r="P814" t="str">
        <f>"Update Project Set Organisation = '"&amp;H814&amp;"' where Project_ID = '"&amp;A814&amp;"'; "</f>
        <v xml:space="preserve">Update Project Set Organisation = 'Waynesburg University' where Project_ID = 'P0813'; </v>
      </c>
      <c r="Q814" t="str">
        <f>"Update Project Set Library_name = '"&amp;L814&amp;"' , COADD_ID = '"&amp;M814&amp;"' where Project_ID = '"&amp;A814&amp;"'; "</f>
        <v xml:space="preserve">Update Project Set Library_name = 'Waynesburg University (United States)' , COADD_ID = 'CO-ADD:PC0813' where Project_ID = 'P0813'; </v>
      </c>
    </row>
    <row r="815" spans="1:17">
      <c r="A815" t="s">
        <v>7751</v>
      </c>
      <c r="C815" t="s">
        <v>5633</v>
      </c>
      <c r="D815" t="s">
        <v>156</v>
      </c>
      <c r="E815" t="s">
        <v>155</v>
      </c>
      <c r="G815" t="s">
        <v>8878</v>
      </c>
      <c r="H815" t="s">
        <v>160</v>
      </c>
      <c r="I815" t="s">
        <v>55</v>
      </c>
      <c r="K815" t="s">
        <v>5828</v>
      </c>
      <c r="L815" t="s">
        <v>8234</v>
      </c>
      <c r="M815" t="s">
        <v>8333</v>
      </c>
      <c r="N815" s="2">
        <v>45657</v>
      </c>
      <c r="P815" t="str">
        <f>"Update Project Set Organisation = '"&amp;H815&amp;"' where Project_ID = '"&amp;A815&amp;"'; "</f>
        <v xml:space="preserve">Update Project Set Organisation = 'Al-Azhar University' where Project_ID = 'P0814'; </v>
      </c>
      <c r="Q815" t="str">
        <f>"Update Project Set Library_name = '"&amp;L815&amp;"' , COADD_ID = '"&amp;M815&amp;"' where Project_ID = '"&amp;A815&amp;"'; "</f>
        <v xml:space="preserve">Update Project Set Library_name = 'Al-Azhar University (Egypt)' , COADD_ID = 'CO-ADD:PC0814' where Project_ID = 'P0814'; </v>
      </c>
    </row>
    <row r="816" spans="1:17">
      <c r="A816" t="s">
        <v>7752</v>
      </c>
      <c r="B816" t="s">
        <v>7457</v>
      </c>
      <c r="C816" t="s">
        <v>5633</v>
      </c>
      <c r="D816" t="s">
        <v>743</v>
      </c>
      <c r="E816" t="s">
        <v>742</v>
      </c>
      <c r="F816" t="s">
        <v>3818</v>
      </c>
      <c r="G816" t="s">
        <v>9268</v>
      </c>
      <c r="H816" t="s">
        <v>746</v>
      </c>
      <c r="I816" t="s">
        <v>748</v>
      </c>
      <c r="K816" t="s">
        <v>5837</v>
      </c>
      <c r="P816" t="str">
        <f>"Update Project Set Organisation = '"&amp;H816&amp;"' where Project_ID = '"&amp;A816&amp;"'; "</f>
        <v xml:space="preserve">Update Project Set Organisation = 'Yantai University' where Project_ID = 'P0815'; </v>
      </c>
      <c r="Q816" t="str">
        <f>"Update Project Set Library_name = '"&amp;L816&amp;"' , COADD_ID = '"&amp;M816&amp;"' where Project_ID = '"&amp;A816&amp;"'; "</f>
        <v xml:space="preserve">Update Project Set Library_name = '' , COADD_ID = '' where Project_ID = 'P0815'; </v>
      </c>
    </row>
    <row r="817" spans="1:17">
      <c r="A817" t="s">
        <v>7753</v>
      </c>
      <c r="C817" t="s">
        <v>5633</v>
      </c>
      <c r="D817" t="s">
        <v>4109</v>
      </c>
      <c r="E817" t="s">
        <v>4108</v>
      </c>
      <c r="G817" t="s">
        <v>9240</v>
      </c>
      <c r="H817" t="s">
        <v>4111</v>
      </c>
      <c r="I817" t="s">
        <v>14</v>
      </c>
      <c r="K817" t="s">
        <v>5828</v>
      </c>
      <c r="L817" t="s">
        <v>8206</v>
      </c>
      <c r="M817" t="s">
        <v>8443</v>
      </c>
      <c r="N817" s="2">
        <v>45657</v>
      </c>
      <c r="P817" t="str">
        <f>"Update Project Set Organisation = '"&amp;H817&amp;"' where Project_ID = '"&amp;A817&amp;"'; "</f>
        <v xml:space="preserve">Update Project Set Organisation = 'University of Western Australia' where Project_ID = 'P0816'; </v>
      </c>
      <c r="Q817" t="str">
        <f>"Update Project Set Library_name = '"&amp;L817&amp;"' , COADD_ID = '"&amp;M817&amp;"' where Project_ID = '"&amp;A817&amp;"'; "</f>
        <v xml:space="preserve">Update Project Set Library_name = 'University of Western Australia (Australia)' , COADD_ID = 'CO-ADD:PC0816' where Project_ID = 'P0816'; </v>
      </c>
    </row>
    <row r="818" spans="1:17">
      <c r="A818" t="s">
        <v>7755</v>
      </c>
      <c r="B818" t="s">
        <v>7754</v>
      </c>
      <c r="C818" t="s">
        <v>5633</v>
      </c>
      <c r="D818" t="s">
        <v>1856</v>
      </c>
      <c r="E818" t="s">
        <v>2619</v>
      </c>
      <c r="G818" t="s">
        <v>8877</v>
      </c>
      <c r="H818" t="s">
        <v>160</v>
      </c>
      <c r="I818" t="s">
        <v>55</v>
      </c>
      <c r="K818" t="s">
        <v>5828</v>
      </c>
      <c r="L818" t="s">
        <v>8234</v>
      </c>
      <c r="M818" t="s">
        <v>8334</v>
      </c>
      <c r="N818" s="2">
        <v>45657</v>
      </c>
      <c r="P818" t="str">
        <f>"Update Project Set Organisation = '"&amp;H818&amp;"' where Project_ID = '"&amp;A818&amp;"'; "</f>
        <v xml:space="preserve">Update Project Set Organisation = 'Al-Azhar University' where Project_ID = 'P0817'; </v>
      </c>
      <c r="Q818" t="str">
        <f>"Update Project Set Library_name = '"&amp;L818&amp;"' , COADD_ID = '"&amp;M818&amp;"' where Project_ID = '"&amp;A818&amp;"'; "</f>
        <v xml:space="preserve">Update Project Set Library_name = 'Al-Azhar University (Egypt)' , COADD_ID = 'CO-ADD:PC0817' where Project_ID = 'P0817'; </v>
      </c>
    </row>
    <row r="819" spans="1:17">
      <c r="A819" t="s">
        <v>7756</v>
      </c>
      <c r="C819" t="s">
        <v>5633</v>
      </c>
      <c r="D819" t="s">
        <v>1043</v>
      </c>
      <c r="E819" t="s">
        <v>1042</v>
      </c>
      <c r="F819" t="s">
        <v>3575</v>
      </c>
      <c r="G819" t="s">
        <v>9080</v>
      </c>
      <c r="H819" t="s">
        <v>1047</v>
      </c>
      <c r="I819" t="s">
        <v>117</v>
      </c>
      <c r="K819" t="s">
        <v>5843</v>
      </c>
      <c r="P819" t="str">
        <f>"Update Project Set Organisation = '"&amp;H819&amp;"' where Project_ID = '"&amp;A819&amp;"'; "</f>
        <v xml:space="preserve">Update Project Set Organisation = 'St John Fisher College' where Project_ID = 'P0818'; </v>
      </c>
      <c r="Q819" t="str">
        <f>"Update Project Set Library_name = '"&amp;L819&amp;"' , COADD_ID = '"&amp;M819&amp;"' where Project_ID = '"&amp;A819&amp;"'; "</f>
        <v xml:space="preserve">Update Project Set Library_name = '' , COADD_ID = '' where Project_ID = 'P0818'; </v>
      </c>
    </row>
    <row r="820" spans="1:17">
      <c r="A820" t="s">
        <v>7758</v>
      </c>
      <c r="B820" t="s">
        <v>7757</v>
      </c>
      <c r="C820" t="s">
        <v>5633</v>
      </c>
      <c r="D820" t="s">
        <v>17</v>
      </c>
      <c r="E820" t="s">
        <v>150</v>
      </c>
      <c r="F820" t="s">
        <v>294</v>
      </c>
      <c r="G820" t="s">
        <v>9170</v>
      </c>
      <c r="H820" t="s">
        <v>22</v>
      </c>
      <c r="I820" t="s">
        <v>25</v>
      </c>
      <c r="K820" t="s">
        <v>5837</v>
      </c>
      <c r="P820" t="str">
        <f>"Update Project Set Organisation = '"&amp;H820&amp;"' where Project_ID = '"&amp;A820&amp;"'; "</f>
        <v xml:space="preserve">Update Project Set Organisation = 'University of Mosul' where Project_ID = 'P0819'; </v>
      </c>
      <c r="Q820" t="str">
        <f>"Update Project Set Library_name = '"&amp;L820&amp;"' , COADD_ID = '"&amp;M820&amp;"' where Project_ID = '"&amp;A820&amp;"'; "</f>
        <v xml:space="preserve">Update Project Set Library_name = '' , COADD_ID = '' where Project_ID = 'P0819'; </v>
      </c>
    </row>
    <row r="821" spans="1:17">
      <c r="A821" t="s">
        <v>7760</v>
      </c>
      <c r="B821" t="s">
        <v>7759</v>
      </c>
      <c r="C821" t="s">
        <v>5633</v>
      </c>
      <c r="D821" t="s">
        <v>2872</v>
      </c>
      <c r="E821" t="s">
        <v>3865</v>
      </c>
      <c r="G821" t="s">
        <v>9245</v>
      </c>
      <c r="H821" t="s">
        <v>1422</v>
      </c>
      <c r="I821" t="s">
        <v>14</v>
      </c>
      <c r="K821" t="s">
        <v>5828</v>
      </c>
      <c r="L821" t="s">
        <v>8156</v>
      </c>
      <c r="M821" t="s">
        <v>8447</v>
      </c>
      <c r="N821" s="2">
        <v>45657</v>
      </c>
      <c r="P821" t="str">
        <f>"Update Project Set Organisation = '"&amp;H821&amp;"' where Project_ID = '"&amp;A821&amp;"'; "</f>
        <v xml:space="preserve">Update Project Set Organisation = 'University of Wollongong' where Project_ID = 'P0820'; </v>
      </c>
      <c r="Q821" t="str">
        <f>"Update Project Set Library_name = '"&amp;L821&amp;"' , COADD_ID = '"&amp;M821&amp;"' where Project_ID = '"&amp;A821&amp;"'; "</f>
        <v xml:space="preserve">Update Project Set Library_name = 'University of Wollongong (Australia)' , COADD_ID = 'CO-ADD:PC0820' where Project_ID = 'P0820'; </v>
      </c>
    </row>
    <row r="822" spans="1:17">
      <c r="A822" t="s">
        <v>7762</v>
      </c>
      <c r="B822" t="s">
        <v>7761</v>
      </c>
      <c r="C822" t="s">
        <v>5633</v>
      </c>
      <c r="D822" t="s">
        <v>4596</v>
      </c>
      <c r="E822" t="s">
        <v>5137</v>
      </c>
      <c r="F822" t="s">
        <v>4595</v>
      </c>
      <c r="G822" t="s">
        <v>9024</v>
      </c>
      <c r="H822" t="s">
        <v>517</v>
      </c>
      <c r="I822" t="s">
        <v>14</v>
      </c>
      <c r="K822" t="s">
        <v>5828</v>
      </c>
      <c r="L822" t="s">
        <v>8212</v>
      </c>
      <c r="M822" t="s">
        <v>8371</v>
      </c>
      <c r="N822" s="2">
        <v>45657</v>
      </c>
      <c r="P822" t="str">
        <f>"Update Project Set Organisation = '"&amp;H822&amp;"' where Project_ID = '"&amp;A822&amp;"'; "</f>
        <v xml:space="preserve">Update Project Set Organisation = 'Monash University' where Project_ID = 'P0821'; </v>
      </c>
      <c r="Q822" t="str">
        <f>"Update Project Set Library_name = '"&amp;L822&amp;"' , COADD_ID = '"&amp;M822&amp;"' where Project_ID = '"&amp;A822&amp;"'; "</f>
        <v xml:space="preserve">Update Project Set Library_name = 'Monash University (Australia)' , COADD_ID = 'CO-ADD:PC0821' where Project_ID = 'P0821'; </v>
      </c>
    </row>
    <row r="823" spans="1:17">
      <c r="A823" t="s">
        <v>7763</v>
      </c>
      <c r="C823" t="s">
        <v>5633</v>
      </c>
      <c r="D823" t="s">
        <v>2058</v>
      </c>
      <c r="E823" t="s">
        <v>3420</v>
      </c>
      <c r="G823" t="s">
        <v>9209</v>
      </c>
      <c r="H823" t="s">
        <v>8147</v>
      </c>
      <c r="I823" t="s">
        <v>117</v>
      </c>
      <c r="K823" t="s">
        <v>5843</v>
      </c>
      <c r="P823" t="str">
        <f>"Update Project Set Organisation = '"&amp;H823&amp;"' where Project_ID = '"&amp;A823&amp;"'; "</f>
        <v xml:space="preserve">Update Project Set Organisation = 'University of Sciences' where Project_ID = 'P0822'; </v>
      </c>
      <c r="Q823" t="str">
        <f>"Update Project Set Library_name = '"&amp;L823&amp;"' , COADD_ID = '"&amp;M823&amp;"' where Project_ID = '"&amp;A823&amp;"'; "</f>
        <v xml:space="preserve">Update Project Set Library_name = '' , COADD_ID = '' where Project_ID = 'P0822'; </v>
      </c>
    </row>
    <row r="824" spans="1:17">
      <c r="A824" t="s">
        <v>7765</v>
      </c>
      <c r="B824" t="s">
        <v>7764</v>
      </c>
      <c r="C824" t="s">
        <v>5633</v>
      </c>
      <c r="D824" t="s">
        <v>99</v>
      </c>
      <c r="E824" t="s">
        <v>120</v>
      </c>
      <c r="G824" t="s">
        <v>9028</v>
      </c>
      <c r="H824" t="s">
        <v>103</v>
      </c>
      <c r="I824" t="s">
        <v>55</v>
      </c>
      <c r="K824" t="s">
        <v>5828</v>
      </c>
      <c r="L824" t="s">
        <v>8308</v>
      </c>
      <c r="M824" t="s">
        <v>8373</v>
      </c>
      <c r="N824" s="2">
        <v>45657</v>
      </c>
      <c r="P824" t="str">
        <f>"Update Project Set Organisation = '"&amp;H824&amp;"' where Project_ID = '"&amp;A824&amp;"'; "</f>
        <v xml:space="preserve">Update Project Set Organisation = 'Nahda University' where Project_ID = 'P0823'; </v>
      </c>
      <c r="Q824" t="str">
        <f>"Update Project Set Library_name = '"&amp;L824&amp;"' , COADD_ID = '"&amp;M824&amp;"' where Project_ID = '"&amp;A824&amp;"'; "</f>
        <v xml:space="preserve">Update Project Set Library_name = 'Nahda University (Egypt)' , COADD_ID = 'CO-ADD:PC0823' where Project_ID = 'P0823'; </v>
      </c>
    </row>
    <row r="825" spans="1:17">
      <c r="A825" t="s">
        <v>7766</v>
      </c>
      <c r="C825" t="s">
        <v>5633</v>
      </c>
      <c r="D825" t="s">
        <v>2707</v>
      </c>
      <c r="E825" t="s">
        <v>2706</v>
      </c>
      <c r="G825" t="s">
        <v>9047</v>
      </c>
      <c r="H825" t="s">
        <v>2710</v>
      </c>
      <c r="I825" t="s">
        <v>609</v>
      </c>
      <c r="K825" t="s">
        <v>5828</v>
      </c>
      <c r="L825" t="s">
        <v>8311</v>
      </c>
      <c r="M825" t="s">
        <v>8375</v>
      </c>
      <c r="N825" s="2">
        <v>45657</v>
      </c>
      <c r="P825" t="str">
        <f>"Update Project Set Organisation = '"&amp;H825&amp;"' where Project_ID = '"&amp;A825&amp;"'; "</f>
        <v xml:space="preserve">Update Project Set Organisation = 'North-West University' where Project_ID = 'P0824'; </v>
      </c>
      <c r="Q825" t="str">
        <f>"Update Project Set Library_name = '"&amp;L825&amp;"' , COADD_ID = '"&amp;M825&amp;"' where Project_ID = '"&amp;A825&amp;"'; "</f>
        <v xml:space="preserve">Update Project Set Library_name = 'North-West University (South Africa)' , COADD_ID = 'CO-ADD:PC0824' where Project_ID = 'P0824'; </v>
      </c>
    </row>
    <row r="826" spans="1:17">
      <c r="A826" t="s">
        <v>7767</v>
      </c>
      <c r="C826" t="s">
        <v>5633</v>
      </c>
      <c r="D826" t="s">
        <v>2707</v>
      </c>
      <c r="E826" t="s">
        <v>2706</v>
      </c>
      <c r="G826" t="s">
        <v>9047</v>
      </c>
      <c r="H826" t="s">
        <v>2710</v>
      </c>
      <c r="I826" t="s">
        <v>609</v>
      </c>
      <c r="K826" t="s">
        <v>5828</v>
      </c>
      <c r="L826" t="s">
        <v>8311</v>
      </c>
      <c r="M826" t="s">
        <v>8376</v>
      </c>
      <c r="N826" s="2">
        <v>45657</v>
      </c>
      <c r="P826" t="str">
        <f>"Update Project Set Organisation = '"&amp;H826&amp;"' where Project_ID = '"&amp;A826&amp;"'; "</f>
        <v xml:space="preserve">Update Project Set Organisation = 'North-West University' where Project_ID = 'P0825'; </v>
      </c>
      <c r="Q826" t="str">
        <f>"Update Project Set Library_name = '"&amp;L826&amp;"' , COADD_ID = '"&amp;M826&amp;"' where Project_ID = '"&amp;A826&amp;"'; "</f>
        <v xml:space="preserve">Update Project Set Library_name = 'North-West University (South Africa)' , COADD_ID = 'CO-ADD:PC0825' where Project_ID = 'P0825'; </v>
      </c>
    </row>
    <row r="827" spans="1:17">
      <c r="A827" t="s">
        <v>7768</v>
      </c>
      <c r="C827" t="s">
        <v>5633</v>
      </c>
      <c r="D827" t="s">
        <v>3436</v>
      </c>
      <c r="E827" t="s">
        <v>3435</v>
      </c>
      <c r="F827" t="s">
        <v>3435</v>
      </c>
      <c r="G827" t="s">
        <v>9266</v>
      </c>
      <c r="H827" t="s">
        <v>3439</v>
      </c>
      <c r="I827" t="s">
        <v>557</v>
      </c>
      <c r="K827" t="s">
        <v>5828</v>
      </c>
      <c r="L827" t="s">
        <v>8255</v>
      </c>
      <c r="M827" t="s">
        <v>8451</v>
      </c>
      <c r="N827" s="2">
        <v>45657</v>
      </c>
      <c r="P827" t="str">
        <f>"Update Project Set Organisation = '"&amp;H827&amp;"' where Project_ID = '"&amp;A827&amp;"'; "</f>
        <v xml:space="preserve">Update Project Set Organisation = 'Würzburg University' where Project_ID = 'P0826'; </v>
      </c>
      <c r="Q827" t="str">
        <f>"Update Project Set Library_name = '"&amp;L827&amp;"' , COADD_ID = '"&amp;M827&amp;"' where Project_ID = '"&amp;A827&amp;"'; "</f>
        <v xml:space="preserve">Update Project Set Library_name = 'Würzburg University (Germany)' , COADD_ID = 'CO-ADD:PC0826' where Project_ID = 'P0826'; </v>
      </c>
    </row>
    <row r="828" spans="1:17">
      <c r="A828" t="s">
        <v>7769</v>
      </c>
      <c r="C828" t="s">
        <v>5633</v>
      </c>
      <c r="D828" t="s">
        <v>5414</v>
      </c>
      <c r="E828" t="s">
        <v>5413</v>
      </c>
      <c r="G828" t="s">
        <v>8987</v>
      </c>
      <c r="H828" t="s">
        <v>5417</v>
      </c>
      <c r="I828" t="s">
        <v>1600</v>
      </c>
      <c r="K828" t="s">
        <v>5843</v>
      </c>
      <c r="P828" t="str">
        <f>"Update Project Set Organisation = '"&amp;H828&amp;"' where Project_ID = '"&amp;A828&amp;"'; "</f>
        <v xml:space="preserve">Update Project Set Organisation = 'Komi Scientific Centre, Ural Branch of the Russian Academy of Sciences' where Project_ID = 'P0827'; </v>
      </c>
      <c r="Q828" t="str">
        <f>"Update Project Set Library_name = '"&amp;L828&amp;"' , COADD_ID = '"&amp;M828&amp;"' where Project_ID = '"&amp;A828&amp;"'; "</f>
        <v xml:space="preserve">Update Project Set Library_name = '' , COADD_ID = '' where Project_ID = 'P0827'; </v>
      </c>
    </row>
    <row r="829" spans="1:17">
      <c r="A829" t="s">
        <v>7771</v>
      </c>
      <c r="B829" t="s">
        <v>7770</v>
      </c>
      <c r="C829" t="s">
        <v>5633</v>
      </c>
      <c r="D829" t="s">
        <v>124</v>
      </c>
      <c r="E829" t="s">
        <v>2394</v>
      </c>
      <c r="G829" t="s">
        <v>9271</v>
      </c>
      <c r="H829" t="s">
        <v>128</v>
      </c>
      <c r="I829" t="s">
        <v>55</v>
      </c>
      <c r="K829" t="s">
        <v>5837</v>
      </c>
      <c r="P829" t="str">
        <f>"Update Project Set Organisation = '"&amp;H829&amp;"' where Project_ID = '"&amp;A829&amp;"'; "</f>
        <v xml:space="preserve">Update Project Set Organisation = 'Zagazig University' where Project_ID = 'P0828'; </v>
      </c>
      <c r="Q829" t="str">
        <f>"Update Project Set Library_name = '"&amp;L829&amp;"' , COADD_ID = '"&amp;M829&amp;"' where Project_ID = '"&amp;A829&amp;"'; "</f>
        <v xml:space="preserve">Update Project Set Library_name = '' , COADD_ID = '' where Project_ID = 'P0828'; </v>
      </c>
    </row>
    <row r="830" spans="1:17">
      <c r="A830" t="s">
        <v>7773</v>
      </c>
      <c r="B830" t="s">
        <v>7772</v>
      </c>
      <c r="C830" t="s">
        <v>5633</v>
      </c>
      <c r="D830" t="s">
        <v>174</v>
      </c>
      <c r="E830" t="s">
        <v>1552</v>
      </c>
      <c r="G830" t="s">
        <v>9272</v>
      </c>
      <c r="H830" t="s">
        <v>128</v>
      </c>
      <c r="I830" t="s">
        <v>55</v>
      </c>
      <c r="K830" t="s">
        <v>5837</v>
      </c>
      <c r="P830" t="str">
        <f>"Update Project Set Organisation = '"&amp;H830&amp;"' where Project_ID = '"&amp;A830&amp;"'; "</f>
        <v xml:space="preserve">Update Project Set Organisation = 'Zagazig University' where Project_ID = 'P0829'; </v>
      </c>
      <c r="Q830" t="str">
        <f>"Update Project Set Library_name = '"&amp;L830&amp;"' , COADD_ID = '"&amp;M830&amp;"' where Project_ID = '"&amp;A830&amp;"'; "</f>
        <v xml:space="preserve">Update Project Set Library_name = '' , COADD_ID = '' where Project_ID = 'P0829'; </v>
      </c>
    </row>
    <row r="831" spans="1:17">
      <c r="A831" t="s">
        <v>7774</v>
      </c>
      <c r="B831" t="s">
        <v>7712</v>
      </c>
      <c r="C831" t="s">
        <v>5633</v>
      </c>
      <c r="D831" t="s">
        <v>1020</v>
      </c>
      <c r="E831" t="s">
        <v>1312</v>
      </c>
      <c r="G831" t="s">
        <v>9131</v>
      </c>
      <c r="H831" t="s">
        <v>596</v>
      </c>
      <c r="I831" t="s">
        <v>223</v>
      </c>
      <c r="K831" t="s">
        <v>5828</v>
      </c>
      <c r="L831" t="s">
        <v>8167</v>
      </c>
      <c r="M831" t="s">
        <v>8411</v>
      </c>
      <c r="N831" s="2">
        <v>45657</v>
      </c>
      <c r="P831" t="str">
        <f>"Update Project Set Organisation = '"&amp;H831&amp;"' where Project_ID = '"&amp;A831&amp;"'; "</f>
        <v xml:space="preserve">Update Project Set Organisation = 'University of Auckland' where Project_ID = 'P0830'; </v>
      </c>
      <c r="Q831" t="str">
        <f>"Update Project Set Library_name = '"&amp;L831&amp;"' , COADD_ID = '"&amp;M831&amp;"' where Project_ID = '"&amp;A831&amp;"'; "</f>
        <v xml:space="preserve">Update Project Set Library_name = 'University of Auckland (New Zealand)' , COADD_ID = 'CO-ADD:PC0830' where Project_ID = 'P0830'; </v>
      </c>
    </row>
    <row r="832" spans="1:17">
      <c r="A832" t="s">
        <v>7777</v>
      </c>
      <c r="B832" t="s">
        <v>7776</v>
      </c>
      <c r="C832" t="s">
        <v>5633</v>
      </c>
      <c r="D832" t="s">
        <v>4617</v>
      </c>
      <c r="E832" t="s">
        <v>4616</v>
      </c>
      <c r="F832" t="s">
        <v>1523</v>
      </c>
      <c r="G832" t="s">
        <v>9067</v>
      </c>
      <c r="H832" t="s">
        <v>4620</v>
      </c>
      <c r="I832" t="s">
        <v>557</v>
      </c>
      <c r="J832" t="s">
        <v>7775</v>
      </c>
      <c r="K832" t="s">
        <v>5828</v>
      </c>
      <c r="L832" t="s">
        <v>8312</v>
      </c>
      <c r="M832" t="s">
        <v>8390</v>
      </c>
      <c r="N832" s="2">
        <v>45657</v>
      </c>
      <c r="P832" t="str">
        <f>"Update Project Set Organisation = '"&amp;H832&amp;"' where Project_ID = '"&amp;A832&amp;"'; "</f>
        <v xml:space="preserve">Update Project Set Organisation = 'Ruhr-Universität Bochum' where Project_ID = 'P0831'; </v>
      </c>
      <c r="Q832" t="str">
        <f>"Update Project Set Library_name = '"&amp;L832&amp;"' , COADD_ID = '"&amp;M832&amp;"' where Project_ID = '"&amp;A832&amp;"'; "</f>
        <v xml:space="preserve">Update Project Set Library_name = 'Ruhr-Universität Bochum (Germany)' , COADD_ID = 'CO-ADD:PC0831' where Project_ID = 'P0831'; </v>
      </c>
    </row>
    <row r="833" spans="1:17">
      <c r="A833" t="s">
        <v>7779</v>
      </c>
      <c r="B833" t="s">
        <v>7778</v>
      </c>
      <c r="C833" t="s">
        <v>5633</v>
      </c>
      <c r="D833" t="s">
        <v>3372</v>
      </c>
      <c r="E833" t="s">
        <v>5020</v>
      </c>
      <c r="G833" t="s">
        <v>9242</v>
      </c>
      <c r="H833" t="s">
        <v>1422</v>
      </c>
      <c r="I833" t="s">
        <v>14</v>
      </c>
      <c r="K833" t="s">
        <v>5828</v>
      </c>
      <c r="L833" t="s">
        <v>8156</v>
      </c>
      <c r="M833" t="s">
        <v>8448</v>
      </c>
      <c r="N833" s="2">
        <v>45657</v>
      </c>
      <c r="P833" t="str">
        <f>"Update Project Set Organisation = '"&amp;H833&amp;"' where Project_ID = '"&amp;A833&amp;"'; "</f>
        <v xml:space="preserve">Update Project Set Organisation = 'University of Wollongong' where Project_ID = 'P0832'; </v>
      </c>
      <c r="Q833" t="str">
        <f>"Update Project Set Library_name = '"&amp;L833&amp;"' , COADD_ID = '"&amp;M833&amp;"' where Project_ID = '"&amp;A833&amp;"'; "</f>
        <v xml:space="preserve">Update Project Set Library_name = 'University of Wollongong (Australia)' , COADD_ID = 'CO-ADD:PC0832' where Project_ID = 'P0832'; </v>
      </c>
    </row>
    <row r="834" spans="1:17">
      <c r="A834" t="s">
        <v>7781</v>
      </c>
      <c r="B834" t="s">
        <v>7780</v>
      </c>
      <c r="C834" t="s">
        <v>5633</v>
      </c>
      <c r="D834" t="s">
        <v>1354</v>
      </c>
      <c r="E834" t="s">
        <v>1353</v>
      </c>
      <c r="F834" t="s">
        <v>3271</v>
      </c>
      <c r="G834" t="s">
        <v>9007</v>
      </c>
      <c r="H834" t="s">
        <v>1357</v>
      </c>
      <c r="I834" t="s">
        <v>117</v>
      </c>
      <c r="K834" t="s">
        <v>5828</v>
      </c>
      <c r="L834" t="s">
        <v>8301</v>
      </c>
      <c r="M834" t="s">
        <v>8364</v>
      </c>
      <c r="N834" s="2">
        <v>45657</v>
      </c>
      <c r="P834" t="str">
        <f>"Update Project Set Organisation = '"&amp;H834&amp;"' where Project_ID = '"&amp;A834&amp;"'; "</f>
        <v xml:space="preserve">Update Project Set Organisation = 'McDaniel College' where Project_ID = 'P0833'; </v>
      </c>
      <c r="Q834" t="str">
        <f>"Update Project Set Library_name = '"&amp;L834&amp;"' , COADD_ID = '"&amp;M834&amp;"' where Project_ID = '"&amp;A834&amp;"'; "</f>
        <v xml:space="preserve">Update Project Set Library_name = 'McDaniel College (United States)' , COADD_ID = 'CO-ADD:PC0833' where Project_ID = 'P0833'; </v>
      </c>
    </row>
    <row r="835" spans="1:17">
      <c r="A835" t="s">
        <v>7783</v>
      </c>
      <c r="B835" t="s">
        <v>7782</v>
      </c>
      <c r="C835" t="s">
        <v>5633</v>
      </c>
      <c r="D835" t="s">
        <v>862</v>
      </c>
      <c r="E835" t="s">
        <v>861</v>
      </c>
      <c r="F835" t="s">
        <v>2100</v>
      </c>
      <c r="G835" t="s">
        <v>9189</v>
      </c>
      <c r="H835" t="s">
        <v>865</v>
      </c>
      <c r="I835" t="s">
        <v>408</v>
      </c>
      <c r="K835" t="s">
        <v>5828</v>
      </c>
      <c r="L835" t="s">
        <v>8241</v>
      </c>
      <c r="M835" t="s">
        <v>8430</v>
      </c>
      <c r="N835" s="2">
        <v>45657</v>
      </c>
      <c r="P835" t="str">
        <f>"Update Project Set Organisation = '"&amp;H835&amp;"' where Project_ID = '"&amp;A835&amp;"'; "</f>
        <v xml:space="preserve">Update Project Set Organisation = 'University of Porto' where Project_ID = 'P0834'; </v>
      </c>
      <c r="Q835" t="str">
        <f>"Update Project Set Library_name = '"&amp;L835&amp;"' , COADD_ID = '"&amp;M835&amp;"' where Project_ID = '"&amp;A835&amp;"'; "</f>
        <v xml:space="preserve">Update Project Set Library_name = 'University of Porto (Portugal)' , COADD_ID = 'CO-ADD:PC0834' where Project_ID = 'P0834'; </v>
      </c>
    </row>
    <row r="836" spans="1:17">
      <c r="A836" t="s">
        <v>7785</v>
      </c>
      <c r="B836" t="s">
        <v>7784</v>
      </c>
      <c r="C836" t="s">
        <v>5633</v>
      </c>
      <c r="D836" t="s">
        <v>3981</v>
      </c>
      <c r="E836" t="s">
        <v>3980</v>
      </c>
      <c r="G836" t="s">
        <v>8970</v>
      </c>
      <c r="H836" t="s">
        <v>2041</v>
      </c>
      <c r="I836" t="s">
        <v>1600</v>
      </c>
      <c r="K836" t="s">
        <v>5828</v>
      </c>
      <c r="L836" t="s">
        <v>8223</v>
      </c>
      <c r="M836" t="s">
        <v>8354</v>
      </c>
      <c r="N836" s="2">
        <v>45657</v>
      </c>
      <c r="P836" t="str">
        <f>"Update Project Set Organisation = '"&amp;H836&amp;"' where Project_ID = '"&amp;A836&amp;"'; "</f>
        <v xml:space="preserve">Update Project Set Organisation = 'Institute of Petrochemistry and Catalysis' where Project_ID = 'P0835'; </v>
      </c>
      <c r="Q836" t="str">
        <f>"Update Project Set Library_name = '"&amp;L836&amp;"' , COADD_ID = '"&amp;M836&amp;"' where Project_ID = '"&amp;A836&amp;"'; "</f>
        <v xml:space="preserve">Update Project Set Library_name = 'Institute of Petrochemistry and Catalysis (Russia)' , COADD_ID = 'CO-ADD:PC0835' where Project_ID = 'P0835'; </v>
      </c>
    </row>
    <row r="837" spans="1:17">
      <c r="A837" t="s">
        <v>7786</v>
      </c>
      <c r="B837" t="s">
        <v>7684</v>
      </c>
      <c r="C837" t="s">
        <v>5633</v>
      </c>
      <c r="D837" t="s">
        <v>2808</v>
      </c>
      <c r="E837" t="s">
        <v>4097</v>
      </c>
      <c r="F837" t="s">
        <v>2807</v>
      </c>
      <c r="G837" t="s">
        <v>9091</v>
      </c>
      <c r="H837" t="s">
        <v>2811</v>
      </c>
      <c r="I837" t="s">
        <v>117</v>
      </c>
      <c r="K837" t="s">
        <v>5843</v>
      </c>
      <c r="P837" t="str">
        <f>"Update Project Set Organisation = '"&amp;H837&amp;"' where Project_ID = '"&amp;A837&amp;"'; "</f>
        <v xml:space="preserve">Update Project Set Organisation = 'Tennessee State University' where Project_ID = 'P0836'; </v>
      </c>
      <c r="Q837" t="str">
        <f>"Update Project Set Library_name = '"&amp;L837&amp;"' , COADD_ID = '"&amp;M837&amp;"' where Project_ID = '"&amp;A837&amp;"'; "</f>
        <v xml:space="preserve">Update Project Set Library_name = '' , COADD_ID = '' where Project_ID = 'P0836'; </v>
      </c>
    </row>
    <row r="838" spans="1:17">
      <c r="A838" t="s">
        <v>7788</v>
      </c>
      <c r="B838" t="s">
        <v>7787</v>
      </c>
      <c r="C838" t="s">
        <v>5633</v>
      </c>
      <c r="D838" t="s">
        <v>2243</v>
      </c>
      <c r="E838" t="s">
        <v>1382</v>
      </c>
      <c r="G838" t="s">
        <v>9099</v>
      </c>
      <c r="H838" t="s">
        <v>2245</v>
      </c>
      <c r="I838" t="s">
        <v>1256</v>
      </c>
      <c r="K838" t="s">
        <v>5843</v>
      </c>
      <c r="P838" t="str">
        <f>"Update Project Set Organisation = '"&amp;H838&amp;"' where Project_ID = '"&amp;A838&amp;"'; "</f>
        <v xml:space="preserve">Update Project Set Organisation = 'Universidad de Zaragoza' where Project_ID = 'P0837'; </v>
      </c>
      <c r="Q838" t="str">
        <f>"Update Project Set Library_name = '"&amp;L838&amp;"' , COADD_ID = '"&amp;M838&amp;"' where Project_ID = '"&amp;A838&amp;"'; "</f>
        <v xml:space="preserve">Update Project Set Library_name = '' , COADD_ID = '' where Project_ID = 'P0837'; </v>
      </c>
    </row>
    <row r="839" spans="1:17">
      <c r="A839" t="s">
        <v>7789</v>
      </c>
      <c r="C839" t="s">
        <v>5633</v>
      </c>
      <c r="D839" t="s">
        <v>455</v>
      </c>
      <c r="E839" t="s">
        <v>454</v>
      </c>
      <c r="F839" t="s">
        <v>2001</v>
      </c>
      <c r="G839" t="s">
        <v>9040</v>
      </c>
      <c r="H839" t="s">
        <v>457</v>
      </c>
      <c r="I839" t="s">
        <v>459</v>
      </c>
      <c r="K839" t="s">
        <v>5843</v>
      </c>
      <c r="P839" t="str">
        <f>"Update Project Set Organisation = '"&amp;H839&amp;"' where Project_ID = '"&amp;A839&amp;"'; "</f>
        <v xml:space="preserve">Update Project Set Organisation = 'National University of Singapore' where Project_ID = 'P0838'; </v>
      </c>
      <c r="Q839" t="str">
        <f>"Update Project Set Library_name = '"&amp;L839&amp;"' , COADD_ID = '"&amp;M839&amp;"' where Project_ID = '"&amp;A839&amp;"'; "</f>
        <v xml:space="preserve">Update Project Set Library_name = '' , COADD_ID = '' where Project_ID = 'P0838'; </v>
      </c>
    </row>
    <row r="840" spans="1:17">
      <c r="A840" t="s">
        <v>7790</v>
      </c>
      <c r="C840" t="s">
        <v>5633</v>
      </c>
      <c r="D840" t="s">
        <v>949</v>
      </c>
      <c r="E840" t="s">
        <v>948</v>
      </c>
      <c r="F840" t="s">
        <v>2001</v>
      </c>
      <c r="G840" t="s">
        <v>9161</v>
      </c>
      <c r="H840" t="s">
        <v>952</v>
      </c>
      <c r="I840" t="s">
        <v>117</v>
      </c>
      <c r="K840" t="s">
        <v>5843</v>
      </c>
      <c r="P840" t="str">
        <f>"Update Project Set Organisation = '"&amp;H840&amp;"' where Project_ID = '"&amp;A840&amp;"'; "</f>
        <v xml:space="preserve">Update Project Set Organisation = 'University of Maine' where Project_ID = 'P0839'; </v>
      </c>
      <c r="Q840" t="str">
        <f>"Update Project Set Library_name = '"&amp;L840&amp;"' , COADD_ID = '"&amp;M840&amp;"' where Project_ID = '"&amp;A840&amp;"'; "</f>
        <v xml:space="preserve">Update Project Set Library_name = '' , COADD_ID = '' where Project_ID = 'P0839'; </v>
      </c>
    </row>
    <row r="841" spans="1:17">
      <c r="A841" t="s">
        <v>7791</v>
      </c>
      <c r="C841" t="s">
        <v>5633</v>
      </c>
      <c r="D841" t="s">
        <v>2258</v>
      </c>
      <c r="E841" t="s">
        <v>2257</v>
      </c>
      <c r="F841" t="s">
        <v>2001</v>
      </c>
      <c r="G841" t="s">
        <v>9175</v>
      </c>
      <c r="H841" t="s">
        <v>1539</v>
      </c>
      <c r="I841" t="s">
        <v>14</v>
      </c>
      <c r="K841" t="s">
        <v>5843</v>
      </c>
      <c r="P841" t="str">
        <f>"Update Project Set Organisation = '"&amp;H841&amp;"' where Project_ID = '"&amp;A841&amp;"'; "</f>
        <v xml:space="preserve">Update Project Set Organisation = 'University of New England' where Project_ID = 'P0840'; </v>
      </c>
      <c r="Q841" t="str">
        <f>"Update Project Set Library_name = '"&amp;L841&amp;"' , COADD_ID = '"&amp;M841&amp;"' where Project_ID = '"&amp;A841&amp;"'; "</f>
        <v xml:space="preserve">Update Project Set Library_name = '' , COADD_ID = '' where Project_ID = 'P0840'; </v>
      </c>
    </row>
    <row r="842" spans="1:17">
      <c r="A842" t="s">
        <v>7792</v>
      </c>
      <c r="C842" t="s">
        <v>5633</v>
      </c>
      <c r="D842" t="s">
        <v>377</v>
      </c>
      <c r="E842" t="s">
        <v>3763</v>
      </c>
      <c r="F842" t="s">
        <v>2001</v>
      </c>
      <c r="G842" t="s">
        <v>9150</v>
      </c>
      <c r="H842" t="s">
        <v>381</v>
      </c>
      <c r="I842" t="s">
        <v>269</v>
      </c>
      <c r="K842" t="s">
        <v>5843</v>
      </c>
      <c r="P842" t="str">
        <f>"Update Project Set Organisation = '"&amp;H842&amp;"' where Project_ID = '"&amp;A842&amp;"'; "</f>
        <v xml:space="preserve">Update Project Set Organisation = 'University of East Anglia' where Project_ID = 'P0841'; </v>
      </c>
      <c r="Q842" t="str">
        <f>"Update Project Set Library_name = '"&amp;L842&amp;"' , COADD_ID = '"&amp;M842&amp;"' where Project_ID = '"&amp;A842&amp;"'; "</f>
        <v xml:space="preserve">Update Project Set Library_name = '' , COADD_ID = '' where Project_ID = 'P0841'; </v>
      </c>
    </row>
    <row r="843" spans="1:17">
      <c r="A843" t="s">
        <v>7793</v>
      </c>
      <c r="C843" t="s">
        <v>5633</v>
      </c>
      <c r="D843" t="s">
        <v>1152</v>
      </c>
      <c r="E843" t="s">
        <v>4452</v>
      </c>
      <c r="F843" t="s">
        <v>2001</v>
      </c>
      <c r="G843" t="s">
        <v>9237</v>
      </c>
      <c r="H843" t="s">
        <v>1154</v>
      </c>
      <c r="I843" t="s">
        <v>269</v>
      </c>
      <c r="K843" t="s">
        <v>5843</v>
      </c>
      <c r="P843" t="str">
        <f>"Update Project Set Organisation = '"&amp;H843&amp;"' where Project_ID = '"&amp;A843&amp;"'; "</f>
        <v xml:space="preserve">Update Project Set Organisation = 'University of Warwick' where Project_ID = 'P0842'; </v>
      </c>
      <c r="Q843" t="str">
        <f>"Update Project Set Library_name = '"&amp;L843&amp;"' , COADD_ID = '"&amp;M843&amp;"' where Project_ID = '"&amp;A843&amp;"'; "</f>
        <v xml:space="preserve">Update Project Set Library_name = '' , COADD_ID = '' where Project_ID = 'P0842'; </v>
      </c>
    </row>
    <row r="844" spans="1:17">
      <c r="A844" t="s">
        <v>7794</v>
      </c>
      <c r="C844" t="s">
        <v>5633</v>
      </c>
      <c r="D844" t="s">
        <v>968</v>
      </c>
      <c r="E844" t="s">
        <v>1523</v>
      </c>
      <c r="F844" t="s">
        <v>2001</v>
      </c>
      <c r="G844" t="s">
        <v>8983</v>
      </c>
      <c r="H844" t="s">
        <v>971</v>
      </c>
      <c r="I844" t="s">
        <v>557</v>
      </c>
      <c r="K844" t="s">
        <v>5843</v>
      </c>
      <c r="P844" t="str">
        <f>"Update Project Set Organisation = '"&amp;H844&amp;"' where Project_ID = '"&amp;A844&amp;"'; "</f>
        <v xml:space="preserve">Update Project Set Organisation = 'Karlsruhe Institute of Technology (KIT)' where Project_ID = 'P0843'; </v>
      </c>
      <c r="Q844" t="str">
        <f>"Update Project Set Library_name = '"&amp;L844&amp;"' , COADD_ID = '"&amp;M844&amp;"' where Project_ID = '"&amp;A844&amp;"'; "</f>
        <v xml:space="preserve">Update Project Set Library_name = '' , COADD_ID = '' where Project_ID = 'P0843'; </v>
      </c>
    </row>
    <row r="845" spans="1:17">
      <c r="A845" t="s">
        <v>7795</v>
      </c>
      <c r="C845" t="s">
        <v>5633</v>
      </c>
      <c r="D845" t="s">
        <v>3524</v>
      </c>
      <c r="E845" t="s">
        <v>3523</v>
      </c>
      <c r="F845" t="s">
        <v>2001</v>
      </c>
      <c r="G845" t="s">
        <v>8923</v>
      </c>
      <c r="H845" t="s">
        <v>3526</v>
      </c>
      <c r="I845" t="s">
        <v>14</v>
      </c>
      <c r="K845" t="s">
        <v>5843</v>
      </c>
      <c r="P845" t="str">
        <f>"Update Project Set Organisation = '"&amp;H845&amp;"' where Project_ID = '"&amp;A845&amp;"'; "</f>
        <v xml:space="preserve">Update Project Set Organisation = 'Curtin University' where Project_ID = 'P0844'; </v>
      </c>
      <c r="Q845" t="str">
        <f>"Update Project Set Library_name = '"&amp;L845&amp;"' , COADD_ID = '"&amp;M845&amp;"' where Project_ID = '"&amp;A845&amp;"'; "</f>
        <v xml:space="preserve">Update Project Set Library_name = '' , COADD_ID = '' where Project_ID = 'P0844'; </v>
      </c>
    </row>
    <row r="846" spans="1:17">
      <c r="A846" t="s">
        <v>7797</v>
      </c>
      <c r="B846" t="s">
        <v>7796</v>
      </c>
      <c r="C846" t="s">
        <v>5633</v>
      </c>
      <c r="D846" t="s">
        <v>2194</v>
      </c>
      <c r="E846" t="s">
        <v>5260</v>
      </c>
      <c r="F846" t="s">
        <v>2976</v>
      </c>
      <c r="G846" t="s">
        <v>9194</v>
      </c>
      <c r="H846" t="s">
        <v>362</v>
      </c>
      <c r="I846" t="s">
        <v>14</v>
      </c>
      <c r="K846" t="s">
        <v>5843</v>
      </c>
      <c r="P846" t="str">
        <f>"Update Project Set Organisation = '"&amp;H846&amp;"' where Project_ID = '"&amp;A846&amp;"'; "</f>
        <v xml:space="preserve">Update Project Set Organisation = 'University of Queensland' where Project_ID = 'P0845'; </v>
      </c>
      <c r="Q846" t="str">
        <f>"Update Project Set Library_name = '"&amp;L846&amp;"' , COADD_ID = '"&amp;M846&amp;"' where Project_ID = '"&amp;A846&amp;"'; "</f>
        <v xml:space="preserve">Update Project Set Library_name = '' , COADD_ID = '' where Project_ID = 'P0845'; </v>
      </c>
    </row>
    <row r="847" spans="1:17">
      <c r="A847" t="s">
        <v>7799</v>
      </c>
      <c r="B847" t="s">
        <v>7798</v>
      </c>
      <c r="C847" t="s">
        <v>5633</v>
      </c>
      <c r="D847" t="s">
        <v>395</v>
      </c>
      <c r="E847" t="s">
        <v>394</v>
      </c>
      <c r="G847" t="s">
        <v>9103</v>
      </c>
      <c r="H847" t="s">
        <v>398</v>
      </c>
      <c r="I847" t="s">
        <v>234</v>
      </c>
      <c r="K847" t="s">
        <v>5837</v>
      </c>
      <c r="P847" t="str">
        <f>"Update Project Set Organisation = '"&amp;H847&amp;"' where Project_ID = '"&amp;A847&amp;"'; "</f>
        <v xml:space="preserve">Update Project Set Organisation = 'Universidade Federal de Vicosa' where Project_ID = 'P0846'; </v>
      </c>
      <c r="Q847" t="str">
        <f>"Update Project Set Library_name = '"&amp;L847&amp;"' , COADD_ID = '"&amp;M847&amp;"' where Project_ID = '"&amp;A847&amp;"'; "</f>
        <v xml:space="preserve">Update Project Set Library_name = '' , COADD_ID = '' where Project_ID = 'P0846'; </v>
      </c>
    </row>
    <row r="848" spans="1:17">
      <c r="A848" t="s">
        <v>7801</v>
      </c>
      <c r="B848" t="s">
        <v>7800</v>
      </c>
      <c r="C848" t="s">
        <v>5633</v>
      </c>
      <c r="D848" t="s">
        <v>1383</v>
      </c>
      <c r="E848" t="s">
        <v>2121</v>
      </c>
      <c r="G848" t="s">
        <v>9017</v>
      </c>
      <c r="H848" t="s">
        <v>1387</v>
      </c>
      <c r="I848" t="s">
        <v>117</v>
      </c>
      <c r="K848" t="s">
        <v>5837</v>
      </c>
      <c r="P848" t="str">
        <f>"Update Project Set Organisation = '"&amp;H848&amp;"' where Project_ID = '"&amp;A848&amp;"'; "</f>
        <v xml:space="preserve">Update Project Set Organisation = 'Mississippi State University' where Project_ID = 'P0847'; </v>
      </c>
      <c r="Q848" t="str">
        <f>"Update Project Set Library_name = '"&amp;L848&amp;"' , COADD_ID = '"&amp;M848&amp;"' where Project_ID = '"&amp;A848&amp;"'; "</f>
        <v xml:space="preserve">Update Project Set Library_name = '' , COADD_ID = '' where Project_ID = 'P0847'; </v>
      </c>
    </row>
    <row r="849" spans="1:17">
      <c r="A849" t="s">
        <v>7802</v>
      </c>
      <c r="C849" t="s">
        <v>5633</v>
      </c>
      <c r="D849" t="s">
        <v>4087</v>
      </c>
      <c r="E849" t="s">
        <v>4096</v>
      </c>
      <c r="G849" t="s">
        <v>9164</v>
      </c>
      <c r="H849" t="s">
        <v>4090</v>
      </c>
      <c r="I849" t="s">
        <v>4093</v>
      </c>
      <c r="K849" t="s">
        <v>5828</v>
      </c>
      <c r="L849" t="s">
        <v>8313</v>
      </c>
      <c r="M849" t="s">
        <v>8419</v>
      </c>
      <c r="N849" s="2">
        <v>45657</v>
      </c>
      <c r="P849" t="str">
        <f>"Update Project Set Organisation = '"&amp;H849&amp;"' where Project_ID = '"&amp;A849&amp;"'; "</f>
        <v xml:space="preserve">Update Project Set Organisation = 'University of Medicine and Pharmacy Ho Chi Minh City' where Project_ID = 'P0848'; </v>
      </c>
      <c r="Q849" t="str">
        <f>"Update Project Set Library_name = '"&amp;L849&amp;"' , COADD_ID = '"&amp;M849&amp;"' where Project_ID = '"&amp;A849&amp;"'; "</f>
        <v xml:space="preserve">Update Project Set Library_name = 'University of Medicine and Pharmacy Ho Chi Minh City (Vietnam)' , COADD_ID = 'CO-ADD:PC0848' where Project_ID = 'P0848'; </v>
      </c>
    </row>
    <row r="850" spans="1:17">
      <c r="A850" t="s">
        <v>7804</v>
      </c>
      <c r="B850" t="s">
        <v>7803</v>
      </c>
      <c r="C850" t="s">
        <v>5633</v>
      </c>
      <c r="D850" t="s">
        <v>2916</v>
      </c>
      <c r="E850" t="s">
        <v>2915</v>
      </c>
      <c r="G850" t="s">
        <v>8988</v>
      </c>
      <c r="H850" t="s">
        <v>2919</v>
      </c>
      <c r="I850" t="s">
        <v>2922</v>
      </c>
      <c r="K850" t="s">
        <v>5828</v>
      </c>
      <c r="L850" t="s">
        <v>8314</v>
      </c>
      <c r="M850" t="s">
        <v>8360</v>
      </c>
      <c r="N850" s="2">
        <v>45657</v>
      </c>
      <c r="P850" t="str">
        <f>"Update Project Set Organisation = '"&amp;H850&amp;"' where Project_ID = '"&amp;A850&amp;"'; "</f>
        <v xml:space="preserve">Update Project Set Organisation = 'Korea Institute of Science and Technology (KIST)' where Project_ID = 'P0849'; </v>
      </c>
      <c r="Q850" t="str">
        <f>"Update Project Set Library_name = '"&amp;L850&amp;"' , COADD_ID = '"&amp;M850&amp;"' where Project_ID = '"&amp;A850&amp;"'; "</f>
        <v xml:space="preserve">Update Project Set Library_name = 'Korea Institute of Science and Technology (KIST) (South Korea)' , COADD_ID = 'CO-ADD:PC0849' where Project_ID = 'P0849'; </v>
      </c>
    </row>
    <row r="851" spans="1:17">
      <c r="A851" t="s">
        <v>7806</v>
      </c>
      <c r="B851" t="s">
        <v>7805</v>
      </c>
      <c r="C851" t="s">
        <v>5633</v>
      </c>
      <c r="D851" t="s">
        <v>2643</v>
      </c>
      <c r="E851" t="s">
        <v>2642</v>
      </c>
      <c r="F851" t="s">
        <v>4590</v>
      </c>
      <c r="G851" t="s">
        <v>9214</v>
      </c>
      <c r="H851" t="s">
        <v>5803</v>
      </c>
      <c r="I851" t="s">
        <v>117</v>
      </c>
      <c r="K851" t="s">
        <v>5828</v>
      </c>
      <c r="L851" t="s">
        <v>8315</v>
      </c>
      <c r="M851" t="s">
        <v>8441</v>
      </c>
      <c r="N851" s="2">
        <v>45657</v>
      </c>
      <c r="P851" t="str">
        <f>"Update Project Set Organisation = '"&amp;H851&amp;"' where Project_ID = '"&amp;A851&amp;"'; "</f>
        <v xml:space="preserve">Update Project Set Organisation = 'University of St Thomas' where Project_ID = 'P0850'; </v>
      </c>
      <c r="Q851" t="str">
        <f>"Update Project Set Library_name = '"&amp;L851&amp;"' , COADD_ID = '"&amp;M851&amp;"' where Project_ID = '"&amp;A851&amp;"'; "</f>
        <v xml:space="preserve">Update Project Set Library_name = 'University of St Thomas (United States)' , COADD_ID = 'CO-ADD:PC0850' where Project_ID = 'P0850'; </v>
      </c>
    </row>
    <row r="852" spans="1:17">
      <c r="A852" t="s">
        <v>7807</v>
      </c>
      <c r="B852" t="s">
        <v>7712</v>
      </c>
      <c r="C852" t="s">
        <v>5633</v>
      </c>
      <c r="D852" t="s">
        <v>1020</v>
      </c>
      <c r="E852" t="s">
        <v>1312</v>
      </c>
      <c r="G852" t="s">
        <v>9131</v>
      </c>
      <c r="H852" t="s">
        <v>596</v>
      </c>
      <c r="I852" t="s">
        <v>223</v>
      </c>
      <c r="K852" t="s">
        <v>5828</v>
      </c>
      <c r="L852" t="s">
        <v>8167</v>
      </c>
      <c r="M852" t="s">
        <v>8412</v>
      </c>
      <c r="N852" s="2">
        <v>45657</v>
      </c>
      <c r="P852" t="str">
        <f>"Update Project Set Organisation = '"&amp;H852&amp;"' where Project_ID = '"&amp;A852&amp;"'; "</f>
        <v xml:space="preserve">Update Project Set Organisation = 'University of Auckland' where Project_ID = 'P0851'; </v>
      </c>
      <c r="Q852" t="str">
        <f>"Update Project Set Library_name = '"&amp;L852&amp;"' , COADD_ID = '"&amp;M852&amp;"' where Project_ID = '"&amp;A852&amp;"'; "</f>
        <v xml:space="preserve">Update Project Set Library_name = 'University of Auckland (New Zealand)' , COADD_ID = 'CO-ADD:PC0851' where Project_ID = 'P0851'; </v>
      </c>
    </row>
    <row r="853" spans="1:17">
      <c r="A853" t="s">
        <v>7809</v>
      </c>
      <c r="B853" t="s">
        <v>7808</v>
      </c>
      <c r="C853" t="s">
        <v>5633</v>
      </c>
      <c r="D853" t="s">
        <v>1120</v>
      </c>
      <c r="E853" t="s">
        <v>1119</v>
      </c>
      <c r="F853" t="s">
        <v>3111</v>
      </c>
      <c r="G853" t="s">
        <v>8962</v>
      </c>
      <c r="H853" t="s">
        <v>1123</v>
      </c>
      <c r="I853" t="s">
        <v>211</v>
      </c>
      <c r="K853" t="s">
        <v>5828</v>
      </c>
      <c r="L853" t="s">
        <v>8316</v>
      </c>
      <c r="M853" t="s">
        <v>8350</v>
      </c>
      <c r="N853" s="2">
        <v>45657</v>
      </c>
      <c r="P853" t="str">
        <f>"Update Project Set Organisation = '"&amp;H853&amp;"' where Project_ID = '"&amp;A853&amp;"'; "</f>
        <v xml:space="preserve">Update Project Set Organisation = 'Indian Institute of Science' where Project_ID = 'P0852'; </v>
      </c>
      <c r="Q853" t="str">
        <f>"Update Project Set Library_name = '"&amp;L853&amp;"' , COADD_ID = '"&amp;M853&amp;"' where Project_ID = '"&amp;A853&amp;"'; "</f>
        <v xml:space="preserve">Update Project Set Library_name = 'Indian Institute of Science (India)' , COADD_ID = 'CO-ADD:PC0852' where Project_ID = 'P0852'; </v>
      </c>
    </row>
    <row r="854" spans="1:17">
      <c r="A854" t="s">
        <v>7811</v>
      </c>
      <c r="B854" t="s">
        <v>7810</v>
      </c>
      <c r="C854" t="s">
        <v>5633</v>
      </c>
      <c r="D854" t="s">
        <v>1482</v>
      </c>
      <c r="E854" t="s">
        <v>1481</v>
      </c>
      <c r="G854" t="s">
        <v>8946</v>
      </c>
      <c r="H854" t="s">
        <v>1327</v>
      </c>
      <c r="I854" t="s">
        <v>14</v>
      </c>
      <c r="K854" t="s">
        <v>5828</v>
      </c>
      <c r="L854" t="s">
        <v>8162</v>
      </c>
      <c r="M854" t="s">
        <v>8348</v>
      </c>
      <c r="N854" s="2">
        <v>45657</v>
      </c>
      <c r="P854" t="str">
        <f>"Update Project Set Organisation = '"&amp;H854&amp;"' where Project_ID = '"&amp;A854&amp;"'; "</f>
        <v xml:space="preserve">Update Project Set Organisation = 'Griffith University' where Project_ID = 'P0854'; </v>
      </c>
      <c r="Q854" t="str">
        <f>"Update Project Set Library_name = '"&amp;L854&amp;"' , COADD_ID = '"&amp;M854&amp;"' where Project_ID = '"&amp;A854&amp;"'; "</f>
        <v xml:space="preserve">Update Project Set Library_name = 'Griffith University (Australia)' , COADD_ID = 'CO-ADD:PC0854' where Project_ID = 'P0854'; </v>
      </c>
    </row>
    <row r="855" spans="1:17">
      <c r="A855" t="s">
        <v>7812</v>
      </c>
      <c r="C855" t="s">
        <v>5633</v>
      </c>
      <c r="D855" t="s">
        <v>1260</v>
      </c>
      <c r="E855" t="s">
        <v>1259</v>
      </c>
      <c r="G855" t="s">
        <v>9173</v>
      </c>
      <c r="H855" t="s">
        <v>1262</v>
      </c>
      <c r="I855" t="s">
        <v>117</v>
      </c>
      <c r="K855" t="s">
        <v>5828</v>
      </c>
      <c r="L855" t="s">
        <v>8188</v>
      </c>
      <c r="M855" t="s">
        <v>8422</v>
      </c>
      <c r="N855" s="2">
        <v>45657</v>
      </c>
      <c r="P855" t="str">
        <f>"Update Project Set Organisation = '"&amp;H855&amp;"' where Project_ID = '"&amp;A855&amp;"'; "</f>
        <v xml:space="preserve">Update Project Set Organisation = 'University of Nebraska Medical Center' where Project_ID = 'P0855'; </v>
      </c>
      <c r="Q855" t="str">
        <f>"Update Project Set Library_name = '"&amp;L855&amp;"' , COADD_ID = '"&amp;M855&amp;"' where Project_ID = '"&amp;A855&amp;"'; "</f>
        <v xml:space="preserve">Update Project Set Library_name = 'University of Nebraska Medical Center (United States)' , COADD_ID = 'CO-ADD:PC0855' where Project_ID = 'P0855'; </v>
      </c>
    </row>
    <row r="856" spans="1:17">
      <c r="A856" t="s">
        <v>7813</v>
      </c>
      <c r="C856" t="s">
        <v>5633</v>
      </c>
      <c r="D856" t="s">
        <v>17</v>
      </c>
      <c r="E856" t="s">
        <v>4329</v>
      </c>
      <c r="F856" t="s">
        <v>28</v>
      </c>
      <c r="G856" t="s">
        <v>9170</v>
      </c>
      <c r="H856" t="s">
        <v>22</v>
      </c>
      <c r="I856" t="s">
        <v>25</v>
      </c>
      <c r="K856" t="s">
        <v>5828</v>
      </c>
      <c r="L856" t="s">
        <v>6162</v>
      </c>
      <c r="M856" t="s">
        <v>8420</v>
      </c>
      <c r="N856" s="2">
        <v>45657</v>
      </c>
      <c r="P856" t="str">
        <f>"Update Project Set Organisation = '"&amp;H856&amp;"' where Project_ID = '"&amp;A856&amp;"'; "</f>
        <v xml:space="preserve">Update Project Set Organisation = 'University of Mosul' where Project_ID = 'P0856'; </v>
      </c>
      <c r="Q856" t="str">
        <f>"Update Project Set Library_name = '"&amp;L856&amp;"' , COADD_ID = '"&amp;M856&amp;"' where Project_ID = '"&amp;A856&amp;"'; "</f>
        <v xml:space="preserve">Update Project Set Library_name = 'University of Mosul (Iraq)' , COADD_ID = 'CO-ADD:PC0856' where Project_ID = 'P0856'; </v>
      </c>
    </row>
    <row r="857" spans="1:17">
      <c r="A857" t="s">
        <v>7814</v>
      </c>
      <c r="C857" t="s">
        <v>5633</v>
      </c>
      <c r="D857" t="s">
        <v>708</v>
      </c>
      <c r="E857" t="s">
        <v>707</v>
      </c>
      <c r="G857" t="s">
        <v>9061</v>
      </c>
      <c r="H857" t="s">
        <v>711</v>
      </c>
      <c r="I857" t="s">
        <v>609</v>
      </c>
      <c r="K857" t="s">
        <v>5828</v>
      </c>
      <c r="L857" t="s">
        <v>8262</v>
      </c>
      <c r="M857" t="s">
        <v>8385</v>
      </c>
      <c r="N857" s="2">
        <v>45657</v>
      </c>
      <c r="P857" t="str">
        <f>"Update Project Set Organisation = '"&amp;H857&amp;"' where Project_ID = '"&amp;A857&amp;"'; "</f>
        <v xml:space="preserve">Update Project Set Organisation = 'Rhodes University' where Project_ID = 'P0857'; </v>
      </c>
      <c r="Q857" t="str">
        <f>"Update Project Set Library_name = '"&amp;L857&amp;"' , COADD_ID = '"&amp;M857&amp;"' where Project_ID = '"&amp;A857&amp;"'; "</f>
        <v xml:space="preserve">Update Project Set Library_name = 'Rhodes University (South Africa)' , COADD_ID = 'CO-ADD:PC0857' where Project_ID = 'P0857'; </v>
      </c>
    </row>
    <row r="858" spans="1:17">
      <c r="A858" t="s">
        <v>7815</v>
      </c>
      <c r="B858" t="s">
        <v>2049</v>
      </c>
      <c r="C858" t="s">
        <v>5633</v>
      </c>
      <c r="D858" t="s">
        <v>2047</v>
      </c>
      <c r="E858" t="s">
        <v>2046</v>
      </c>
      <c r="F858" t="s">
        <v>2001</v>
      </c>
      <c r="G858" t="s">
        <v>9053</v>
      </c>
      <c r="H858" t="s">
        <v>2051</v>
      </c>
      <c r="I858" t="s">
        <v>2054</v>
      </c>
      <c r="K858" t="s">
        <v>5828</v>
      </c>
      <c r="L858" t="s">
        <v>8317</v>
      </c>
      <c r="M858" t="s">
        <v>8380</v>
      </c>
      <c r="N858" s="2">
        <v>45657</v>
      </c>
      <c r="P858" t="str">
        <f>"Update Project Set Organisation = '"&amp;H858&amp;"' where Project_ID = '"&amp;A858&amp;"'; "</f>
        <v xml:space="preserve">Update Project Set Organisation = 'Pedeciba Universidad de la República' where Project_ID = 'P0858'; </v>
      </c>
      <c r="Q858" t="str">
        <f>"Update Project Set Library_name = '"&amp;L858&amp;"' , COADD_ID = '"&amp;M858&amp;"' where Project_ID = '"&amp;A858&amp;"'; "</f>
        <v xml:space="preserve">Update Project Set Library_name = 'Pedeciba Universidad de la República (Uruguay)' , COADD_ID = 'CO-ADD:PC0858' where Project_ID = 'P0858'; </v>
      </c>
    </row>
    <row r="859" spans="1:17">
      <c r="A859" t="s">
        <v>7816</v>
      </c>
      <c r="C859" t="s">
        <v>5633</v>
      </c>
      <c r="D859" t="s">
        <v>1767</v>
      </c>
      <c r="E859" t="s">
        <v>1766</v>
      </c>
      <c r="G859" t="s">
        <v>8879</v>
      </c>
      <c r="H859" t="s">
        <v>1771</v>
      </c>
      <c r="I859" t="s">
        <v>55</v>
      </c>
      <c r="K859" t="s">
        <v>5828</v>
      </c>
      <c r="L859" t="s">
        <v>8318</v>
      </c>
      <c r="M859" t="s">
        <v>8336</v>
      </c>
      <c r="N859" s="2">
        <v>45657</v>
      </c>
      <c r="P859" t="str">
        <f>"Update Project Set Organisation = '"&amp;H859&amp;"' where Project_ID = '"&amp;A859&amp;"'; "</f>
        <v xml:space="preserve">Update Project Set Organisation = 'Alexandria University' where Project_ID = 'P0859'; </v>
      </c>
      <c r="Q859" t="str">
        <f>"Update Project Set Library_name = '"&amp;L859&amp;"' , COADD_ID = '"&amp;M859&amp;"' where Project_ID = '"&amp;A859&amp;"'; "</f>
        <v xml:space="preserve">Update Project Set Library_name = 'Alexandria University (Egypt)' , COADD_ID = 'CO-ADD:PC0859' where Project_ID = 'P0859'; </v>
      </c>
    </row>
    <row r="860" spans="1:17">
      <c r="A860" t="s">
        <v>7818</v>
      </c>
      <c r="B860" t="s">
        <v>7817</v>
      </c>
      <c r="C860" t="s">
        <v>5633</v>
      </c>
      <c r="D860" t="s">
        <v>1134</v>
      </c>
      <c r="E860" t="s">
        <v>1133</v>
      </c>
      <c r="F860" t="s">
        <v>2001</v>
      </c>
      <c r="G860" t="s">
        <v>9084</v>
      </c>
      <c r="H860" t="s">
        <v>606</v>
      </c>
      <c r="I860" t="s">
        <v>609</v>
      </c>
      <c r="K860" t="s">
        <v>5843</v>
      </c>
      <c r="P860" t="str">
        <f>"Update Project Set Organisation = '"&amp;H860&amp;"' where Project_ID = '"&amp;A860&amp;"'; "</f>
        <v xml:space="preserve">Update Project Set Organisation = 'Stellenbosch University' where Project_ID = 'P0860'; </v>
      </c>
      <c r="Q860" t="str">
        <f>"Update Project Set Library_name = '"&amp;L860&amp;"' , COADD_ID = '"&amp;M860&amp;"' where Project_ID = '"&amp;A860&amp;"'; "</f>
        <v xml:space="preserve">Update Project Set Library_name = '' , COADD_ID = '' where Project_ID = 'P0860'; </v>
      </c>
    </row>
    <row r="861" spans="1:17">
      <c r="A861" t="s">
        <v>7820</v>
      </c>
      <c r="B861" t="s">
        <v>7819</v>
      </c>
      <c r="C861" t="s">
        <v>5633</v>
      </c>
      <c r="D861" t="s">
        <v>2808</v>
      </c>
      <c r="E861" t="s">
        <v>4097</v>
      </c>
      <c r="F861" t="s">
        <v>2807</v>
      </c>
      <c r="G861" t="s">
        <v>9091</v>
      </c>
      <c r="H861" t="s">
        <v>2811</v>
      </c>
      <c r="I861" t="s">
        <v>117</v>
      </c>
      <c r="K861" t="s">
        <v>5828</v>
      </c>
      <c r="L861" t="s">
        <v>8304</v>
      </c>
      <c r="M861" t="s">
        <v>8404</v>
      </c>
      <c r="N861" s="2">
        <v>45657</v>
      </c>
      <c r="P861" t="str">
        <f>"Update Project Set Organisation = '"&amp;H861&amp;"' where Project_ID = '"&amp;A861&amp;"'; "</f>
        <v xml:space="preserve">Update Project Set Organisation = 'Tennessee State University' where Project_ID = 'P0861'; </v>
      </c>
      <c r="Q861" t="str">
        <f>"Update Project Set Library_name = '"&amp;L861&amp;"' , COADD_ID = '"&amp;M861&amp;"' where Project_ID = '"&amp;A861&amp;"'; "</f>
        <v xml:space="preserve">Update Project Set Library_name = 'Tennessee State University (United States)' , COADD_ID = 'CO-ADD:PC0861' where Project_ID = 'P0861'; </v>
      </c>
    </row>
    <row r="862" spans="1:17">
      <c r="A862" t="s">
        <v>7821</v>
      </c>
      <c r="C862" t="s">
        <v>5633</v>
      </c>
      <c r="D862" t="s">
        <v>3259</v>
      </c>
      <c r="E862" t="s">
        <v>3258</v>
      </c>
      <c r="F862" t="s">
        <v>2001</v>
      </c>
      <c r="G862" t="s">
        <v>8959</v>
      </c>
      <c r="H862" t="s">
        <v>815</v>
      </c>
      <c r="I862" t="s">
        <v>269</v>
      </c>
      <c r="K862" t="s">
        <v>5843</v>
      </c>
      <c r="P862" t="str">
        <f>"Update Project Set Organisation = '"&amp;H862&amp;"' where Project_ID = '"&amp;A862&amp;"'; "</f>
        <v xml:space="preserve">Update Project Set Organisation = 'Imperial College London' where Project_ID = 'P0862'; </v>
      </c>
      <c r="Q862" t="str">
        <f>"Update Project Set Library_name = '"&amp;L862&amp;"' , COADD_ID = '"&amp;M862&amp;"' where Project_ID = '"&amp;A862&amp;"'; "</f>
        <v xml:space="preserve">Update Project Set Library_name = '' , COADD_ID = '' where Project_ID = 'P0862'; </v>
      </c>
    </row>
    <row r="863" spans="1:17">
      <c r="A863" t="s">
        <v>7823</v>
      </c>
      <c r="B863" t="s">
        <v>7822</v>
      </c>
      <c r="C863" t="s">
        <v>5633</v>
      </c>
      <c r="D863" t="s">
        <v>2194</v>
      </c>
      <c r="E863" t="s">
        <v>2193</v>
      </c>
      <c r="F863" t="s">
        <v>5260</v>
      </c>
      <c r="G863" t="s">
        <v>9194</v>
      </c>
      <c r="H863" t="s">
        <v>362</v>
      </c>
      <c r="I863" t="s">
        <v>14</v>
      </c>
      <c r="K863" t="s">
        <v>5828</v>
      </c>
      <c r="L863" t="s">
        <v>5922</v>
      </c>
      <c r="M863" t="s">
        <v>8433</v>
      </c>
      <c r="N863" s="2">
        <v>45657</v>
      </c>
      <c r="P863" t="str">
        <f>"Update Project Set Organisation = '"&amp;H863&amp;"' where Project_ID = '"&amp;A863&amp;"'; "</f>
        <v xml:space="preserve">Update Project Set Organisation = 'University of Queensland' where Project_ID = 'P0863'; </v>
      </c>
      <c r="Q863" t="str">
        <f>"Update Project Set Library_name = '"&amp;L863&amp;"' , COADD_ID = '"&amp;M863&amp;"' where Project_ID = '"&amp;A863&amp;"'; "</f>
        <v xml:space="preserve">Update Project Set Library_name = 'University of Queensland (Australia)' , COADD_ID = 'CO-ADD:PC0863' where Project_ID = 'P0863'; </v>
      </c>
    </row>
    <row r="864" spans="1:17">
      <c r="A864" t="s">
        <v>7825</v>
      </c>
      <c r="B864" t="s">
        <v>7824</v>
      </c>
      <c r="C864" t="s">
        <v>5633</v>
      </c>
      <c r="D864" t="s">
        <v>708</v>
      </c>
      <c r="E864" t="s">
        <v>707</v>
      </c>
      <c r="G864" t="s">
        <v>9061</v>
      </c>
      <c r="H864" t="s">
        <v>711</v>
      </c>
      <c r="I864" t="s">
        <v>609</v>
      </c>
      <c r="K864" t="s">
        <v>5843</v>
      </c>
      <c r="P864" t="str">
        <f>"Update Project Set Organisation = '"&amp;H864&amp;"' where Project_ID = '"&amp;A864&amp;"'; "</f>
        <v xml:space="preserve">Update Project Set Organisation = 'Rhodes University' where Project_ID = 'P0864'; </v>
      </c>
      <c r="Q864" t="str">
        <f>"Update Project Set Library_name = '"&amp;L864&amp;"' , COADD_ID = '"&amp;M864&amp;"' where Project_ID = '"&amp;A864&amp;"'; "</f>
        <v xml:space="preserve">Update Project Set Library_name = '' , COADD_ID = '' where Project_ID = 'P0864'; </v>
      </c>
    </row>
    <row r="865" spans="1:17">
      <c r="A865" t="s">
        <v>7826</v>
      </c>
      <c r="B865" t="s">
        <v>7686</v>
      </c>
      <c r="C865" t="s">
        <v>5633</v>
      </c>
      <c r="D865" t="s">
        <v>3372</v>
      </c>
      <c r="E865" t="s">
        <v>4213</v>
      </c>
      <c r="F865" t="s">
        <v>2871</v>
      </c>
      <c r="G865" t="s">
        <v>9242</v>
      </c>
      <c r="H865" t="s">
        <v>1422</v>
      </c>
      <c r="I865" t="s">
        <v>14</v>
      </c>
      <c r="K865" t="s">
        <v>5828</v>
      </c>
      <c r="L865" t="s">
        <v>8156</v>
      </c>
      <c r="M865" t="s">
        <v>8449</v>
      </c>
      <c r="N865" s="2">
        <v>45657</v>
      </c>
      <c r="P865" t="str">
        <f>"Update Project Set Organisation = '"&amp;H865&amp;"' where Project_ID = '"&amp;A865&amp;"'; "</f>
        <v xml:space="preserve">Update Project Set Organisation = 'University of Wollongong' where Project_ID = 'P0865'; </v>
      </c>
      <c r="Q865" t="str">
        <f>"Update Project Set Library_name = '"&amp;L865&amp;"' , COADD_ID = '"&amp;M865&amp;"' where Project_ID = '"&amp;A865&amp;"'; "</f>
        <v xml:space="preserve">Update Project Set Library_name = 'University of Wollongong (Australia)' , COADD_ID = 'CO-ADD:PC0865' where Project_ID = 'P0865'; </v>
      </c>
    </row>
    <row r="866" spans="1:17">
      <c r="A866" t="s">
        <v>7827</v>
      </c>
      <c r="B866" t="s">
        <v>7684</v>
      </c>
      <c r="C866" t="s">
        <v>5633</v>
      </c>
      <c r="D866" t="s">
        <v>1870</v>
      </c>
      <c r="E866" t="s">
        <v>1869</v>
      </c>
      <c r="G866" t="s">
        <v>8887</v>
      </c>
      <c r="H866" t="s">
        <v>1066</v>
      </c>
      <c r="I866" t="s">
        <v>14</v>
      </c>
      <c r="K866" t="s">
        <v>5843</v>
      </c>
      <c r="P866" t="str">
        <f>"Update Project Set Organisation = '"&amp;H866&amp;"' where Project_ID = '"&amp;A866&amp;"'; "</f>
        <v xml:space="preserve">Update Project Set Organisation = 'Australian National University (ANU)' where Project_ID = 'P0866'; </v>
      </c>
      <c r="Q866" t="str">
        <f>"Update Project Set Library_name = '"&amp;L866&amp;"' , COADD_ID = '"&amp;M866&amp;"' where Project_ID = '"&amp;A866&amp;"'; "</f>
        <v xml:space="preserve">Update Project Set Library_name = '' , COADD_ID = '' where Project_ID = 'P0866'; </v>
      </c>
    </row>
    <row r="867" spans="1:17">
      <c r="A867" t="s">
        <v>7828</v>
      </c>
      <c r="C867" t="s">
        <v>5633</v>
      </c>
      <c r="D867" t="s">
        <v>2769</v>
      </c>
      <c r="E867" t="s">
        <v>4402</v>
      </c>
      <c r="G867" t="s">
        <v>9225</v>
      </c>
      <c r="H867" t="s">
        <v>2773</v>
      </c>
      <c r="I867" t="s">
        <v>609</v>
      </c>
      <c r="K867" t="s">
        <v>5843</v>
      </c>
      <c r="P867" t="str">
        <f>"Update Project Set Organisation = '"&amp;H867&amp;"' where Project_ID = '"&amp;A867&amp;"'; "</f>
        <v xml:space="preserve">Update Project Set Organisation = 'University of The Free State' where Project_ID = 'P0867'; </v>
      </c>
      <c r="Q867" t="str">
        <f>"Update Project Set Library_name = '"&amp;L867&amp;"' , COADD_ID = '"&amp;M867&amp;"' where Project_ID = '"&amp;A867&amp;"'; "</f>
        <v xml:space="preserve">Update Project Set Library_name = '' , COADD_ID = '' where Project_ID = 'P0867'; </v>
      </c>
    </row>
    <row r="868" spans="1:17">
      <c r="A868" t="s">
        <v>7830</v>
      </c>
      <c r="B868" t="s">
        <v>7829</v>
      </c>
      <c r="C868" t="s">
        <v>5633</v>
      </c>
      <c r="D868" t="s">
        <v>1786</v>
      </c>
      <c r="E868" t="s">
        <v>1901</v>
      </c>
      <c r="G868" t="s">
        <v>9004</v>
      </c>
      <c r="H868" t="s">
        <v>1790</v>
      </c>
      <c r="I868" t="s">
        <v>55</v>
      </c>
      <c r="K868" t="s">
        <v>5837</v>
      </c>
      <c r="P868" t="str">
        <f>"Update Project Set Organisation = '"&amp;H868&amp;"' where Project_ID = '"&amp;A868&amp;"'; "</f>
        <v xml:space="preserve">Update Project Set Organisation = 'Mansoura University' where Project_ID = 'P0868'; </v>
      </c>
      <c r="Q868" t="str">
        <f>"Update Project Set Library_name = '"&amp;L868&amp;"' , COADD_ID = '"&amp;M868&amp;"' where Project_ID = '"&amp;A868&amp;"'; "</f>
        <v xml:space="preserve">Update Project Set Library_name = '' , COADD_ID = '' where Project_ID = 'P0868'; </v>
      </c>
    </row>
    <row r="869" spans="1:17">
      <c r="A869" t="s">
        <v>7832</v>
      </c>
      <c r="B869" t="s">
        <v>7831</v>
      </c>
      <c r="C869" t="s">
        <v>5633</v>
      </c>
      <c r="D869" t="s">
        <v>174</v>
      </c>
      <c r="E869" t="s">
        <v>1552</v>
      </c>
      <c r="G869" t="s">
        <v>9272</v>
      </c>
      <c r="H869" t="s">
        <v>128</v>
      </c>
      <c r="I869" t="s">
        <v>55</v>
      </c>
      <c r="K869" t="s">
        <v>5828</v>
      </c>
      <c r="L869" t="s">
        <v>8319</v>
      </c>
      <c r="M869" t="s">
        <v>8453</v>
      </c>
      <c r="N869" s="2">
        <v>45657</v>
      </c>
      <c r="P869" t="str">
        <f>"Update Project Set Organisation = '"&amp;H869&amp;"' where Project_ID = '"&amp;A869&amp;"'; "</f>
        <v xml:space="preserve">Update Project Set Organisation = 'Zagazig University' where Project_ID = 'P0869'; </v>
      </c>
      <c r="Q869" t="str">
        <f>"Update Project Set Library_name = '"&amp;L869&amp;"' , COADD_ID = '"&amp;M869&amp;"' where Project_ID = '"&amp;A869&amp;"'; "</f>
        <v xml:space="preserve">Update Project Set Library_name = 'Zagazig University (Egypt)' , COADD_ID = 'CO-ADD:PC0869' where Project_ID = 'P0869'; </v>
      </c>
    </row>
    <row r="870" spans="1:17">
      <c r="A870" t="s">
        <v>7833</v>
      </c>
      <c r="C870" t="s">
        <v>5633</v>
      </c>
      <c r="D870" t="s">
        <v>887</v>
      </c>
      <c r="E870" t="s">
        <v>886</v>
      </c>
      <c r="G870" t="s">
        <v>8956</v>
      </c>
      <c r="H870" t="s">
        <v>890</v>
      </c>
      <c r="I870" t="s">
        <v>891</v>
      </c>
      <c r="K870" t="s">
        <v>5837</v>
      </c>
      <c r="P870" t="str">
        <f>"Update Project Set Organisation = '"&amp;H870&amp;"' where Project_ID = '"&amp;A870&amp;"'; "</f>
        <v xml:space="preserve">Update Project Set Organisation = 'Ibn Tofail University' where Project_ID = 'P0870'; </v>
      </c>
      <c r="Q870" t="str">
        <f>"Update Project Set Library_name = '"&amp;L870&amp;"' , COADD_ID = '"&amp;M870&amp;"' where Project_ID = '"&amp;A870&amp;"'; "</f>
        <v xml:space="preserve">Update Project Set Library_name = '' , COADD_ID = '' where Project_ID = 'P0870'; </v>
      </c>
    </row>
    <row r="871" spans="1:17">
      <c r="A871" t="s">
        <v>7835</v>
      </c>
      <c r="B871" t="s">
        <v>7834</v>
      </c>
      <c r="C871" t="s">
        <v>5633</v>
      </c>
      <c r="D871" t="s">
        <v>311</v>
      </c>
      <c r="E871" t="s">
        <v>586</v>
      </c>
      <c r="G871" t="s">
        <v>8986</v>
      </c>
      <c r="H871" t="s">
        <v>315</v>
      </c>
      <c r="I871" t="s">
        <v>318</v>
      </c>
      <c r="K871" t="s">
        <v>5843</v>
      </c>
      <c r="P871" t="str">
        <f>"Update Project Set Organisation = '"&amp;H871&amp;"' where Project_ID = '"&amp;A871&amp;"'; "</f>
        <v xml:space="preserve">Update Project Set Organisation = 'King Saud University' where Project_ID = 'P0871'; </v>
      </c>
      <c r="Q871" t="str">
        <f>"Update Project Set Library_name = '"&amp;L871&amp;"' , COADD_ID = '"&amp;M871&amp;"' where Project_ID = '"&amp;A871&amp;"'; "</f>
        <v xml:space="preserve">Update Project Set Library_name = '' , COADD_ID = '' where Project_ID = 'P0871'; </v>
      </c>
    </row>
    <row r="872" spans="1:17">
      <c r="A872" t="s">
        <v>7836</v>
      </c>
      <c r="C872" t="s">
        <v>5633</v>
      </c>
      <c r="D872" t="s">
        <v>4775</v>
      </c>
      <c r="E872" t="s">
        <v>4774</v>
      </c>
      <c r="G872" t="s">
        <v>9208</v>
      </c>
      <c r="H872" t="s">
        <v>4777</v>
      </c>
      <c r="I872" t="s">
        <v>2674</v>
      </c>
      <c r="K872" t="s">
        <v>5828</v>
      </c>
      <c r="L872" t="s">
        <v>8320</v>
      </c>
      <c r="M872" t="s">
        <v>8435</v>
      </c>
      <c r="N872" s="2">
        <v>45657</v>
      </c>
      <c r="P872" t="str">
        <f>"Update Project Set Organisation = '"&amp;H872&amp;"' where Project_ID = '"&amp;A872&amp;"'; "</f>
        <v xml:space="preserve">Update Project Set Organisation = 'University of Science and Technology Bannu' where Project_ID = 'P0872'; </v>
      </c>
      <c r="Q872" t="str">
        <f>"Update Project Set Library_name = '"&amp;L872&amp;"' , COADD_ID = '"&amp;M872&amp;"' where Project_ID = '"&amp;A872&amp;"'; "</f>
        <v xml:space="preserve">Update Project Set Library_name = 'University of Science and Technology Bannu (Pakistan)' , COADD_ID = 'CO-ADD:PC0872' where Project_ID = 'P0872'; </v>
      </c>
    </row>
    <row r="873" spans="1:17">
      <c r="A873" t="s">
        <v>7837</v>
      </c>
      <c r="C873" t="s">
        <v>5633</v>
      </c>
      <c r="D873" t="s">
        <v>455</v>
      </c>
      <c r="E873" t="s">
        <v>4716</v>
      </c>
      <c r="F873" t="s">
        <v>2001</v>
      </c>
      <c r="G873" t="s">
        <v>9040</v>
      </c>
      <c r="H873" t="s">
        <v>457</v>
      </c>
      <c r="I873" t="s">
        <v>459</v>
      </c>
      <c r="K873" t="s">
        <v>5828</v>
      </c>
      <c r="L873" t="s">
        <v>8321</v>
      </c>
      <c r="M873" t="s">
        <v>8374</v>
      </c>
      <c r="N873" s="2">
        <v>45657</v>
      </c>
      <c r="P873" t="str">
        <f>"Update Project Set Organisation = '"&amp;H873&amp;"' where Project_ID = '"&amp;A873&amp;"'; "</f>
        <v xml:space="preserve">Update Project Set Organisation = 'National University of Singapore' where Project_ID = 'P0873'; </v>
      </c>
      <c r="Q873" t="str">
        <f>"Update Project Set Library_name = '"&amp;L873&amp;"' , COADD_ID = '"&amp;M873&amp;"' where Project_ID = '"&amp;A873&amp;"'; "</f>
        <v xml:space="preserve">Update Project Set Library_name = 'National University of Singapore (Singapore)' , COADD_ID = 'CO-ADD:PC0873' where Project_ID = 'P0873'; </v>
      </c>
    </row>
    <row r="874" spans="1:17">
      <c r="A874" t="s">
        <v>7839</v>
      </c>
      <c r="B874" t="s">
        <v>7838</v>
      </c>
      <c r="C874" t="s">
        <v>5633</v>
      </c>
      <c r="D874" t="s">
        <v>3691</v>
      </c>
      <c r="E874" t="s">
        <v>3839</v>
      </c>
      <c r="F874" t="s">
        <v>3690</v>
      </c>
      <c r="G874" t="s">
        <v>9239</v>
      </c>
      <c r="H874" t="s">
        <v>3693</v>
      </c>
      <c r="I874" t="s">
        <v>75</v>
      </c>
      <c r="K874" t="s">
        <v>5828</v>
      </c>
      <c r="L874" t="s">
        <v>8322</v>
      </c>
      <c r="M874" t="s">
        <v>8442</v>
      </c>
      <c r="N874" s="2">
        <v>45657</v>
      </c>
      <c r="P874" t="str">
        <f>"Update Project Set Organisation = '"&amp;H874&amp;"' where Project_ID = '"&amp;A874&amp;"'; "</f>
        <v xml:space="preserve">Update Project Set Organisation = 'University of Waterloo' where Project_ID = 'P0874'; </v>
      </c>
      <c r="Q874" t="str">
        <f>"Update Project Set Library_name = '"&amp;L874&amp;"' , COADD_ID = '"&amp;M874&amp;"' where Project_ID = '"&amp;A874&amp;"'; "</f>
        <v xml:space="preserve">Update Project Set Library_name = 'University of Waterloo (Canada)' , COADD_ID = 'CO-ADD:PC0874' where Project_ID = 'P0874'; </v>
      </c>
    </row>
    <row r="875" spans="1:17">
      <c r="A875" t="s">
        <v>7840</v>
      </c>
      <c r="B875" t="s">
        <v>7746</v>
      </c>
      <c r="C875" t="s">
        <v>5633</v>
      </c>
      <c r="D875" t="s">
        <v>4256</v>
      </c>
      <c r="E875" t="s">
        <v>5182</v>
      </c>
      <c r="F875" t="s">
        <v>4255</v>
      </c>
      <c r="G875" t="s">
        <v>9078</v>
      </c>
      <c r="H875" t="s">
        <v>4259</v>
      </c>
      <c r="I875" t="s">
        <v>211</v>
      </c>
      <c r="K875" t="s">
        <v>5828</v>
      </c>
      <c r="L875" t="s">
        <v>8309</v>
      </c>
      <c r="M875" t="s">
        <v>8402</v>
      </c>
      <c r="N875" s="2">
        <v>45657</v>
      </c>
      <c r="P875" t="str">
        <f>"Update Project Set Organisation = '"&amp;H875&amp;"' where Project_ID = '"&amp;A875&amp;"'; "</f>
        <v xml:space="preserve">Update Project Set Organisation = 'Sree Vidyanikethan College of Pharmacy' where Project_ID = 'P0875'; </v>
      </c>
      <c r="Q875" t="str">
        <f>"Update Project Set Library_name = '"&amp;L875&amp;"' , COADD_ID = '"&amp;M875&amp;"' where Project_ID = '"&amp;A875&amp;"'; "</f>
        <v xml:space="preserve">Update Project Set Library_name = 'Sree Vidyanikethan College of Pharmacy (India)' , COADD_ID = 'CO-ADD:PC0875' where Project_ID = 'P0875'; </v>
      </c>
    </row>
    <row r="876" spans="1:17">
      <c r="A876" t="s">
        <v>7842</v>
      </c>
      <c r="B876" t="s">
        <v>7841</v>
      </c>
      <c r="C876" t="s">
        <v>5633</v>
      </c>
      <c r="D876" t="s">
        <v>3981</v>
      </c>
      <c r="E876" t="s">
        <v>4496</v>
      </c>
      <c r="G876" t="s">
        <v>8970</v>
      </c>
      <c r="H876" t="s">
        <v>2041</v>
      </c>
      <c r="I876" t="s">
        <v>1600</v>
      </c>
      <c r="K876" t="s">
        <v>5828</v>
      </c>
      <c r="L876" t="s">
        <v>8223</v>
      </c>
      <c r="M876" t="s">
        <v>8355</v>
      </c>
      <c r="N876" s="2">
        <v>45657</v>
      </c>
      <c r="P876" t="str">
        <f>"Update Project Set Organisation = '"&amp;H876&amp;"' where Project_ID = '"&amp;A876&amp;"'; "</f>
        <v xml:space="preserve">Update Project Set Organisation = 'Institute of Petrochemistry and Catalysis' where Project_ID = 'P0877'; </v>
      </c>
      <c r="Q876" t="str">
        <f>"Update Project Set Library_name = '"&amp;L876&amp;"' , COADD_ID = '"&amp;M876&amp;"' where Project_ID = '"&amp;A876&amp;"'; "</f>
        <v xml:space="preserve">Update Project Set Library_name = 'Institute of Petrochemistry and Catalysis (Russia)' , COADD_ID = 'CO-ADD:PC0877' where Project_ID = 'P0877'; </v>
      </c>
    </row>
    <row r="877" spans="1:17">
      <c r="A877" t="s">
        <v>7844</v>
      </c>
      <c r="B877" t="s">
        <v>7843</v>
      </c>
      <c r="C877" t="s">
        <v>5633</v>
      </c>
      <c r="D877" t="s">
        <v>1020</v>
      </c>
      <c r="E877" t="s">
        <v>1312</v>
      </c>
      <c r="F877" t="s">
        <v>1019</v>
      </c>
      <c r="G877" t="s">
        <v>9131</v>
      </c>
      <c r="H877" t="s">
        <v>596</v>
      </c>
      <c r="I877" t="s">
        <v>223</v>
      </c>
      <c r="K877" t="s">
        <v>5828</v>
      </c>
      <c r="L877" t="s">
        <v>8167</v>
      </c>
      <c r="M877" t="s">
        <v>8413</v>
      </c>
      <c r="N877" s="2">
        <v>45657</v>
      </c>
      <c r="P877" t="str">
        <f>"Update Project Set Organisation = '"&amp;H877&amp;"' where Project_ID = '"&amp;A877&amp;"'; "</f>
        <v xml:space="preserve">Update Project Set Organisation = 'University of Auckland' where Project_ID = 'P0878'; </v>
      </c>
      <c r="Q877" t="str">
        <f>"Update Project Set Library_name = '"&amp;L877&amp;"' , COADD_ID = '"&amp;M877&amp;"' where Project_ID = '"&amp;A877&amp;"'; "</f>
        <v xml:space="preserve">Update Project Set Library_name = 'University of Auckland (New Zealand)' , COADD_ID = 'CO-ADD:PC0878' where Project_ID = 'P0878'; </v>
      </c>
    </row>
    <row r="878" spans="1:17">
      <c r="A878" t="s">
        <v>7846</v>
      </c>
      <c r="B878" t="s">
        <v>7845</v>
      </c>
      <c r="C878" t="s">
        <v>5633</v>
      </c>
      <c r="D878" t="s">
        <v>3068</v>
      </c>
      <c r="E878" t="s">
        <v>3067</v>
      </c>
      <c r="G878" t="s">
        <v>8921</v>
      </c>
      <c r="H878" t="s">
        <v>3071</v>
      </c>
      <c r="I878" t="s">
        <v>848</v>
      </c>
      <c r="K878" t="s">
        <v>5828</v>
      </c>
      <c r="L878" t="s">
        <v>8323</v>
      </c>
      <c r="M878" t="s">
        <v>8342</v>
      </c>
      <c r="N878" s="2">
        <v>45657</v>
      </c>
      <c r="P878" t="str">
        <f>"Update Project Set Organisation = '"&amp;H878&amp;"' where Project_ID = '"&amp;A878&amp;"'; "</f>
        <v xml:space="preserve">Update Project Set Organisation = 'Cracow University of Technology' where Project_ID = 'P0879'; </v>
      </c>
      <c r="Q878" t="str">
        <f>"Update Project Set Library_name = '"&amp;L878&amp;"' , COADD_ID = '"&amp;M878&amp;"' where Project_ID = '"&amp;A878&amp;"'; "</f>
        <v xml:space="preserve">Update Project Set Library_name = 'Cracow University of Technology (Poland)' , COADD_ID = 'CO-ADD:PC0879' where Project_ID = 'P0879'; </v>
      </c>
    </row>
    <row r="879" spans="1:17">
      <c r="A879" t="s">
        <v>7849</v>
      </c>
      <c r="B879" t="s">
        <v>7848</v>
      </c>
      <c r="C879" t="s">
        <v>5633</v>
      </c>
      <c r="D879" t="s">
        <v>2475</v>
      </c>
      <c r="E879" t="s">
        <v>3832</v>
      </c>
      <c r="F879" t="s">
        <v>2474</v>
      </c>
      <c r="G879" t="s">
        <v>9213</v>
      </c>
      <c r="H879" t="s">
        <v>2479</v>
      </c>
      <c r="I879" t="s">
        <v>14</v>
      </c>
      <c r="J879" t="s">
        <v>7847</v>
      </c>
      <c r="K879" t="s">
        <v>5828</v>
      </c>
      <c r="L879" t="s">
        <v>8216</v>
      </c>
      <c r="M879" t="s">
        <v>8439</v>
      </c>
      <c r="N879" s="2">
        <v>45657</v>
      </c>
      <c r="P879" t="str">
        <f>"Update Project Set Organisation = '"&amp;H879&amp;"' where Project_ID = '"&amp;A879&amp;"'; "</f>
        <v xml:space="preserve">Update Project Set Organisation = 'University of South Australia' where Project_ID = 'P0880'; </v>
      </c>
      <c r="Q879" t="str">
        <f>"Update Project Set Library_name = '"&amp;L879&amp;"' , COADD_ID = '"&amp;M879&amp;"' where Project_ID = '"&amp;A879&amp;"'; "</f>
        <v xml:space="preserve">Update Project Set Library_name = 'University of South Australia (Australia)' , COADD_ID = 'CO-ADD:PC0880' where Project_ID = 'P0880'; </v>
      </c>
    </row>
    <row r="880" spans="1:17">
      <c r="A880" t="s">
        <v>7850</v>
      </c>
      <c r="C880" t="s">
        <v>5633</v>
      </c>
      <c r="D880" t="s">
        <v>488</v>
      </c>
      <c r="E880" t="s">
        <v>828</v>
      </c>
      <c r="G880" t="s">
        <v>8927</v>
      </c>
      <c r="H880" t="s">
        <v>491</v>
      </c>
      <c r="I880" t="s">
        <v>14</v>
      </c>
      <c r="K880" t="s">
        <v>5828</v>
      </c>
      <c r="L880" t="s">
        <v>8160</v>
      </c>
      <c r="M880" t="s">
        <v>8343</v>
      </c>
      <c r="N880" s="2">
        <v>45657</v>
      </c>
      <c r="P880" t="str">
        <f>"Update Project Set Organisation = '"&amp;H880&amp;"' where Project_ID = '"&amp;A880&amp;"'; "</f>
        <v xml:space="preserve">Update Project Set Organisation = 'Deakin University' where Project_ID = 'P0881'; </v>
      </c>
      <c r="Q880" t="str">
        <f>"Update Project Set Library_name = '"&amp;L880&amp;"' , COADD_ID = '"&amp;M880&amp;"' where Project_ID = '"&amp;A880&amp;"'; "</f>
        <v xml:space="preserve">Update Project Set Library_name = 'Deakin University (Australia)' , COADD_ID = 'CO-ADD:PC0881' where Project_ID = 'P0881'; </v>
      </c>
    </row>
    <row r="881" spans="1:17">
      <c r="A881" t="s">
        <v>7852</v>
      </c>
      <c r="B881" t="s">
        <v>7851</v>
      </c>
      <c r="C881" t="s">
        <v>5633</v>
      </c>
      <c r="D881" t="s">
        <v>340</v>
      </c>
      <c r="E881" t="s">
        <v>339</v>
      </c>
      <c r="G881" t="s">
        <v>9210</v>
      </c>
      <c r="H881" t="s">
        <v>8147</v>
      </c>
      <c r="I881" t="s">
        <v>117</v>
      </c>
      <c r="K881" t="s">
        <v>5828</v>
      </c>
      <c r="L881" t="s">
        <v>8298</v>
      </c>
      <c r="M881" t="s">
        <v>8437</v>
      </c>
      <c r="N881" s="2">
        <v>45657</v>
      </c>
      <c r="P881" t="str">
        <f>"Update Project Set Organisation = '"&amp;H881&amp;"' where Project_ID = '"&amp;A881&amp;"'; "</f>
        <v xml:space="preserve">Update Project Set Organisation = 'University of Sciences' where Project_ID = 'P0882'; </v>
      </c>
      <c r="Q881" t="str">
        <f>"Update Project Set Library_name = '"&amp;L881&amp;"' , COADD_ID = '"&amp;M881&amp;"' where Project_ID = '"&amp;A881&amp;"'; "</f>
        <v xml:space="preserve">Update Project Set Library_name = 'University of Sciences (United States)' , COADD_ID = 'CO-ADD:PC0882' where Project_ID = 'P0882'; </v>
      </c>
    </row>
    <row r="882" spans="1:17">
      <c r="A882" t="s">
        <v>7854</v>
      </c>
      <c r="B882" t="s">
        <v>7853</v>
      </c>
      <c r="C882" t="s">
        <v>5633</v>
      </c>
      <c r="D882" t="s">
        <v>4242</v>
      </c>
      <c r="E882" t="s">
        <v>4241</v>
      </c>
      <c r="G882" t="s">
        <v>9093</v>
      </c>
      <c r="H882" t="s">
        <v>4245</v>
      </c>
      <c r="I882" t="s">
        <v>1235</v>
      </c>
      <c r="K882" t="s">
        <v>5828</v>
      </c>
      <c r="L882" t="s">
        <v>8324</v>
      </c>
      <c r="M882" t="s">
        <v>8405</v>
      </c>
      <c r="N882" s="2">
        <v>45657</v>
      </c>
      <c r="P882" t="str">
        <f>"Update Project Set Organisation = '"&amp;H882&amp;"' where Project_ID = '"&amp;A882&amp;"'; "</f>
        <v xml:space="preserve">Update Project Set Organisation = 'Trinity College Dublin' where Project_ID = 'P0883'; </v>
      </c>
      <c r="Q882" t="str">
        <f>"Update Project Set Library_name = '"&amp;L882&amp;"' , COADD_ID = '"&amp;M882&amp;"' where Project_ID = '"&amp;A882&amp;"'; "</f>
        <v xml:space="preserve">Update Project Set Library_name = 'Trinity College Dublin (Ireland)' , COADD_ID = 'CO-ADD:PC0883' where Project_ID = 'P0883'; </v>
      </c>
    </row>
    <row r="883" spans="1:17">
      <c r="A883" t="s">
        <v>7856</v>
      </c>
      <c r="B883" t="s">
        <v>7855</v>
      </c>
      <c r="C883" t="s">
        <v>5633</v>
      </c>
      <c r="D883" t="s">
        <v>59</v>
      </c>
      <c r="E883" t="s">
        <v>89</v>
      </c>
      <c r="G883" t="s">
        <v>9018</v>
      </c>
      <c r="H883" t="s">
        <v>5798</v>
      </c>
      <c r="I883" t="s">
        <v>55</v>
      </c>
      <c r="K883" t="s">
        <v>5837</v>
      </c>
      <c r="P883" t="str">
        <f>"Update Project Set Organisation = '"&amp;H883&amp;"' where Project_ID = '"&amp;A883&amp;"'; "</f>
        <v xml:space="preserve">Update Project Set Organisation = 'Modern University for Technology and Information' where Project_ID = 'P0884'; </v>
      </c>
      <c r="Q883" t="str">
        <f>"Update Project Set Library_name = '"&amp;L883&amp;"' , COADD_ID = '"&amp;M883&amp;"' where Project_ID = '"&amp;A883&amp;"'; "</f>
        <v xml:space="preserve">Update Project Set Library_name = '' , COADD_ID = '' where Project_ID = 'P0884'; </v>
      </c>
    </row>
    <row r="884" spans="1:17">
      <c r="A884" t="s">
        <v>7857</v>
      </c>
      <c r="C884" t="s">
        <v>5633</v>
      </c>
      <c r="D884" t="s">
        <v>1260</v>
      </c>
      <c r="E884" t="s">
        <v>1259</v>
      </c>
      <c r="F884" t="s">
        <v>1937</v>
      </c>
      <c r="G884" t="s">
        <v>9173</v>
      </c>
      <c r="H884" t="s">
        <v>1262</v>
      </c>
      <c r="I884" t="s">
        <v>117</v>
      </c>
      <c r="K884" t="s">
        <v>5828</v>
      </c>
      <c r="L884" t="s">
        <v>8188</v>
      </c>
      <c r="M884" t="s">
        <v>8423</v>
      </c>
      <c r="N884" s="2">
        <v>45657</v>
      </c>
      <c r="P884" t="str">
        <f>"Update Project Set Organisation = '"&amp;H884&amp;"' where Project_ID = '"&amp;A884&amp;"'; "</f>
        <v xml:space="preserve">Update Project Set Organisation = 'University of Nebraska Medical Center' where Project_ID = 'P0885'; </v>
      </c>
      <c r="Q884" t="str">
        <f>"Update Project Set Library_name = '"&amp;L884&amp;"' , COADD_ID = '"&amp;M884&amp;"' where Project_ID = '"&amp;A884&amp;"'; "</f>
        <v xml:space="preserve">Update Project Set Library_name = 'University of Nebraska Medical Center (United States)' , COADD_ID = 'CO-ADD:PC0885' where Project_ID = 'P0885'; </v>
      </c>
    </row>
    <row r="885" spans="1:17">
      <c r="A885" t="s">
        <v>7859</v>
      </c>
      <c r="B885" t="s">
        <v>7858</v>
      </c>
      <c r="C885" t="s">
        <v>5633</v>
      </c>
      <c r="D885" t="s">
        <v>238</v>
      </c>
      <c r="E885" t="s">
        <v>4392</v>
      </c>
      <c r="F885" t="s">
        <v>4530</v>
      </c>
      <c r="G885" t="s">
        <v>9192</v>
      </c>
      <c r="H885" t="s">
        <v>242</v>
      </c>
      <c r="I885" t="s">
        <v>117</v>
      </c>
      <c r="K885" t="s">
        <v>5828</v>
      </c>
      <c r="L885" t="s">
        <v>8325</v>
      </c>
      <c r="M885" t="s">
        <v>8431</v>
      </c>
      <c r="N885" s="2">
        <v>45657</v>
      </c>
      <c r="P885" t="str">
        <f>"Update Project Set Organisation = '"&amp;H885&amp;"' where Project_ID = '"&amp;A885&amp;"'; "</f>
        <v xml:space="preserve">Update Project Set Organisation = 'University of Puerto Rico Rio Piedras' where Project_ID = 'P0886'; </v>
      </c>
      <c r="Q885" t="str">
        <f>"Update Project Set Library_name = '"&amp;L885&amp;"' , COADD_ID = '"&amp;M885&amp;"' where Project_ID = '"&amp;A885&amp;"'; "</f>
        <v xml:space="preserve">Update Project Set Library_name = 'University of Puerto Rico Rio Piedras (United States)' , COADD_ID = 'CO-ADD:PC0886' where Project_ID = 'P0886'; </v>
      </c>
    </row>
    <row r="886" spans="1:17">
      <c r="A886" t="s">
        <v>7861</v>
      </c>
      <c r="B886" t="s">
        <v>7860</v>
      </c>
      <c r="C886" t="s">
        <v>5633</v>
      </c>
      <c r="D886" t="s">
        <v>1856</v>
      </c>
      <c r="E886" t="s">
        <v>1855</v>
      </c>
      <c r="G886" t="s">
        <v>8877</v>
      </c>
      <c r="H886" t="s">
        <v>160</v>
      </c>
      <c r="I886" t="s">
        <v>55</v>
      </c>
      <c r="K886" t="s">
        <v>5828</v>
      </c>
      <c r="L886" t="s">
        <v>8234</v>
      </c>
      <c r="M886" t="s">
        <v>8335</v>
      </c>
      <c r="N886" s="2">
        <v>45657</v>
      </c>
      <c r="P886" t="str">
        <f>"Update Project Set Organisation = '"&amp;H886&amp;"' where Project_ID = '"&amp;A886&amp;"'; "</f>
        <v xml:space="preserve">Update Project Set Organisation = 'Al-Azhar University' where Project_ID = 'P0887'; </v>
      </c>
      <c r="Q886" t="str">
        <f>"Update Project Set Library_name = '"&amp;L886&amp;"' , COADD_ID = '"&amp;M886&amp;"' where Project_ID = '"&amp;A886&amp;"'; "</f>
        <v xml:space="preserve">Update Project Set Library_name = 'Al-Azhar University (Egypt)' , COADD_ID = 'CO-ADD:PC0887' where Project_ID = 'P0887'; </v>
      </c>
    </row>
    <row r="887" spans="1:17">
      <c r="A887" t="s">
        <v>7863</v>
      </c>
      <c r="B887" t="s">
        <v>7862</v>
      </c>
      <c r="C887" t="s">
        <v>5633</v>
      </c>
      <c r="D887" t="s">
        <v>1482</v>
      </c>
      <c r="E887" t="s">
        <v>1481</v>
      </c>
      <c r="G887" t="s">
        <v>8946</v>
      </c>
      <c r="H887" t="s">
        <v>1327</v>
      </c>
      <c r="I887" t="s">
        <v>14</v>
      </c>
      <c r="K887" t="s">
        <v>5828</v>
      </c>
      <c r="L887" t="s">
        <v>8162</v>
      </c>
      <c r="M887" t="s">
        <v>8349</v>
      </c>
      <c r="N887" s="2">
        <v>45657</v>
      </c>
      <c r="P887" t="str">
        <f>"Update Project Set Organisation = '"&amp;H887&amp;"' where Project_ID = '"&amp;A887&amp;"'; "</f>
        <v xml:space="preserve">Update Project Set Organisation = 'Griffith University' where Project_ID = 'P0888'; </v>
      </c>
      <c r="Q887" t="str">
        <f>"Update Project Set Library_name = '"&amp;L887&amp;"' , COADD_ID = '"&amp;M887&amp;"' where Project_ID = '"&amp;A887&amp;"'; "</f>
        <v xml:space="preserve">Update Project Set Library_name = 'Griffith University (Australia)' , COADD_ID = 'CO-ADD:PC0888' where Project_ID = 'P0888'; </v>
      </c>
    </row>
    <row r="888" spans="1:17">
      <c r="A888" t="s">
        <v>7865</v>
      </c>
      <c r="B888" t="s">
        <v>7864</v>
      </c>
      <c r="C888" t="s">
        <v>5633</v>
      </c>
      <c r="D888" t="s">
        <v>1459</v>
      </c>
      <c r="E888" t="s">
        <v>1458</v>
      </c>
      <c r="G888" t="s">
        <v>9120</v>
      </c>
      <c r="H888" t="s">
        <v>1234</v>
      </c>
      <c r="I888" t="s">
        <v>1235</v>
      </c>
      <c r="K888" t="s">
        <v>5837</v>
      </c>
      <c r="P888" t="str">
        <f>"Update Project Set Organisation = '"&amp;H888&amp;"' where Project_ID = '"&amp;A888&amp;"'; "</f>
        <v xml:space="preserve">Update Project Set Organisation = 'University College Cork' where Project_ID = 'P0889'; </v>
      </c>
      <c r="Q888" t="str">
        <f>"Update Project Set Library_name = '"&amp;L888&amp;"' , COADD_ID = '"&amp;M888&amp;"' where Project_ID = '"&amp;A888&amp;"'; "</f>
        <v xml:space="preserve">Update Project Set Library_name = '' , COADD_ID = '' where Project_ID = 'P0889'; </v>
      </c>
    </row>
    <row r="889" spans="1:17">
      <c r="A889" t="s">
        <v>7867</v>
      </c>
      <c r="B889" t="s">
        <v>7866</v>
      </c>
      <c r="C889" t="s">
        <v>5633</v>
      </c>
      <c r="D889" t="s">
        <v>2002</v>
      </c>
      <c r="E889" t="s">
        <v>5479</v>
      </c>
      <c r="F889" t="s">
        <v>2001</v>
      </c>
      <c r="G889" t="s">
        <v>9204</v>
      </c>
      <c r="H889" t="s">
        <v>362</v>
      </c>
      <c r="I889" t="s">
        <v>14</v>
      </c>
      <c r="K889" t="s">
        <v>5837</v>
      </c>
      <c r="P889" t="str">
        <f>"Update Project Set Organisation = '"&amp;H889&amp;"' where Project_ID = '"&amp;A889&amp;"'; "</f>
        <v xml:space="preserve">Update Project Set Organisation = 'University of Queensland' where Project_ID = 'P0890'; </v>
      </c>
      <c r="Q889" t="str">
        <f>"Update Project Set Library_name = '"&amp;L889&amp;"' , COADD_ID = '"&amp;M889&amp;"' where Project_ID = '"&amp;A889&amp;"'; "</f>
        <v xml:space="preserve">Update Project Set Library_name = '' , COADD_ID = '' where Project_ID = 'P0890'; </v>
      </c>
    </row>
    <row r="890" spans="1:17">
      <c r="A890" t="s">
        <v>7868</v>
      </c>
      <c r="C890" t="s">
        <v>5633</v>
      </c>
      <c r="D890" t="s">
        <v>925</v>
      </c>
      <c r="E890" t="s">
        <v>3202</v>
      </c>
      <c r="G890" t="s">
        <v>9063</v>
      </c>
      <c r="H890" t="s">
        <v>929</v>
      </c>
      <c r="I890" t="s">
        <v>14</v>
      </c>
      <c r="K890" t="s">
        <v>5828</v>
      </c>
      <c r="L890" t="s">
        <v>8265</v>
      </c>
      <c r="M890" t="s">
        <v>8388</v>
      </c>
      <c r="N890" s="2">
        <v>45657</v>
      </c>
      <c r="P890" t="str">
        <f>"Update Project Set Organisation = '"&amp;H890&amp;"' where Project_ID = '"&amp;A890&amp;"'; "</f>
        <v xml:space="preserve">Update Project Set Organisation = 'RMIT University' where Project_ID = 'P0891'; </v>
      </c>
      <c r="Q890" t="str">
        <f>"Update Project Set Library_name = '"&amp;L890&amp;"' , COADD_ID = '"&amp;M890&amp;"' where Project_ID = '"&amp;A890&amp;"'; "</f>
        <v xml:space="preserve">Update Project Set Library_name = 'RMIT University (Australia)' , COADD_ID = 'CO-ADD:PC0891' where Project_ID = 'P0891'; </v>
      </c>
    </row>
    <row r="891" spans="1:17">
      <c r="A891" t="s">
        <v>7869</v>
      </c>
      <c r="B891" t="s">
        <v>7864</v>
      </c>
      <c r="C891" t="s">
        <v>5633</v>
      </c>
      <c r="D891" t="s">
        <v>1459</v>
      </c>
      <c r="E891" t="s">
        <v>1458</v>
      </c>
      <c r="G891" t="s">
        <v>9120</v>
      </c>
      <c r="H891" t="s">
        <v>1234</v>
      </c>
      <c r="I891" t="s">
        <v>1235</v>
      </c>
      <c r="K891" t="s">
        <v>5828</v>
      </c>
      <c r="L891" t="s">
        <v>8236</v>
      </c>
      <c r="M891" t="s">
        <v>8407</v>
      </c>
      <c r="N891" s="2">
        <v>45657</v>
      </c>
      <c r="P891" t="str">
        <f>"Update Project Set Organisation = '"&amp;H891&amp;"' where Project_ID = '"&amp;A891&amp;"'; "</f>
        <v xml:space="preserve">Update Project Set Organisation = 'University College Cork' where Project_ID = 'P0892'; </v>
      </c>
      <c r="Q891" t="str">
        <f>"Update Project Set Library_name = '"&amp;L891&amp;"' , COADD_ID = '"&amp;M891&amp;"' where Project_ID = '"&amp;A891&amp;"'; "</f>
        <v xml:space="preserve">Update Project Set Library_name = 'University College Cork (Ireland)' , COADD_ID = 'CO-ADD:PC0892' where Project_ID = 'P0892'; </v>
      </c>
    </row>
    <row r="892" spans="1:17">
      <c r="A892" t="s">
        <v>7870</v>
      </c>
      <c r="B892" t="s">
        <v>7866</v>
      </c>
      <c r="C892" t="s">
        <v>5633</v>
      </c>
      <c r="D892" t="s">
        <v>2002</v>
      </c>
      <c r="E892" t="s">
        <v>5479</v>
      </c>
      <c r="F892" t="s">
        <v>2001</v>
      </c>
      <c r="G892" t="s">
        <v>9204</v>
      </c>
      <c r="H892" t="s">
        <v>362</v>
      </c>
      <c r="I892" t="s">
        <v>609</v>
      </c>
      <c r="K892" t="s">
        <v>5843</v>
      </c>
      <c r="P892" t="str">
        <f>"Update Project Set Organisation = '"&amp;H892&amp;"' where Project_ID = '"&amp;A892&amp;"'; "</f>
        <v xml:space="preserve">Update Project Set Organisation = 'University of Queensland' where Project_ID = 'P0893'; </v>
      </c>
      <c r="Q892" t="str">
        <f>"Update Project Set Library_name = '"&amp;L892&amp;"' , COADD_ID = '"&amp;M892&amp;"' where Project_ID = '"&amp;A892&amp;"'; "</f>
        <v xml:space="preserve">Update Project Set Library_name = '' , COADD_ID = '' where Project_ID = 'P0893'; </v>
      </c>
    </row>
    <row r="893" spans="1:17">
      <c r="A893" t="s">
        <v>7871</v>
      </c>
      <c r="C893" t="s">
        <v>5633</v>
      </c>
      <c r="D893" t="s">
        <v>835</v>
      </c>
      <c r="E893" t="s">
        <v>2013</v>
      </c>
      <c r="G893" t="s">
        <v>9125</v>
      </c>
      <c r="H893" t="s">
        <v>838</v>
      </c>
      <c r="I893" t="s">
        <v>75</v>
      </c>
      <c r="K893" t="s">
        <v>5828</v>
      </c>
      <c r="L893" t="s">
        <v>8256</v>
      </c>
      <c r="M893" t="s">
        <v>8408</v>
      </c>
      <c r="N893" s="2">
        <v>45657</v>
      </c>
      <c r="P893" t="str">
        <f>"Update Project Set Organisation = '"&amp;H893&amp;"' where Project_ID = '"&amp;A893&amp;"'; "</f>
        <v xml:space="preserve">Update Project Set Organisation = 'University of Alberta' where Project_ID = 'P0894'; </v>
      </c>
      <c r="Q893" t="str">
        <f>"Update Project Set Library_name = '"&amp;L893&amp;"' , COADD_ID = '"&amp;M893&amp;"' where Project_ID = '"&amp;A893&amp;"'; "</f>
        <v xml:space="preserve">Update Project Set Library_name = 'University of Alberta (Canada)' , COADD_ID = 'CO-ADD:PC0894' where Project_ID = 'P0894'; </v>
      </c>
    </row>
    <row r="894" spans="1:17">
      <c r="A894" t="s">
        <v>7873</v>
      </c>
      <c r="B894" t="s">
        <v>7872</v>
      </c>
      <c r="C894" t="s">
        <v>5633</v>
      </c>
      <c r="D894" t="s">
        <v>1725</v>
      </c>
      <c r="E894" t="s">
        <v>1896</v>
      </c>
      <c r="G894" t="s">
        <v>8965</v>
      </c>
      <c r="H894" t="s">
        <v>8152</v>
      </c>
      <c r="I894" t="s">
        <v>1256</v>
      </c>
      <c r="K894" t="s">
        <v>5828</v>
      </c>
      <c r="L894" t="s">
        <v>8184</v>
      </c>
      <c r="M894" t="s">
        <v>8352</v>
      </c>
      <c r="N894" s="2">
        <v>45657</v>
      </c>
      <c r="P894" t="str">
        <f>"Update Project Set Organisation = '"&amp;H894&amp;"' where Project_ID = '"&amp;A894&amp;"'; "</f>
        <v xml:space="preserve">Update Project Set Organisation = 'Institut Català Investigació Química (ICIQ)' where Project_ID = 'P0895'; </v>
      </c>
      <c r="Q894" t="str">
        <f>"Update Project Set Library_name = '"&amp;L894&amp;"' , COADD_ID = '"&amp;M894&amp;"' where Project_ID = '"&amp;A894&amp;"'; "</f>
        <v xml:space="preserve">Update Project Set Library_name = 'Institut Català Investigació Química (ICIQ) (Spain)' , COADD_ID = 'CO-ADD:PC0895' where Project_ID = 'P0895'; </v>
      </c>
    </row>
    <row r="895" spans="1:17">
      <c r="A895" t="s">
        <v>7874</v>
      </c>
      <c r="C895" t="s">
        <v>5633</v>
      </c>
      <c r="D895" t="s">
        <v>17</v>
      </c>
      <c r="E895" t="s">
        <v>3377</v>
      </c>
      <c r="G895" t="s">
        <v>9170</v>
      </c>
      <c r="H895" t="s">
        <v>22</v>
      </c>
      <c r="I895" t="s">
        <v>25</v>
      </c>
      <c r="K895" t="s">
        <v>5828</v>
      </c>
      <c r="L895" t="s">
        <v>6162</v>
      </c>
      <c r="M895" t="s">
        <v>8421</v>
      </c>
      <c r="N895" s="2">
        <v>45657</v>
      </c>
      <c r="P895" t="str">
        <f>"Update Project Set Organisation = '"&amp;H895&amp;"' where Project_ID = '"&amp;A895&amp;"'; "</f>
        <v xml:space="preserve">Update Project Set Organisation = 'University of Mosul' where Project_ID = 'P0896'; </v>
      </c>
      <c r="Q895" t="str">
        <f>"Update Project Set Library_name = '"&amp;L895&amp;"' , COADD_ID = '"&amp;M895&amp;"' where Project_ID = '"&amp;A895&amp;"'; "</f>
        <v xml:space="preserve">Update Project Set Library_name = 'University of Mosul (Iraq)' , COADD_ID = 'CO-ADD:PC0896' where Project_ID = 'P0896'; </v>
      </c>
    </row>
    <row r="896" spans="1:17">
      <c r="A896" t="s">
        <v>7876</v>
      </c>
      <c r="B896" t="s">
        <v>7875</v>
      </c>
      <c r="C896" t="s">
        <v>5633</v>
      </c>
      <c r="D896" t="s">
        <v>2194</v>
      </c>
      <c r="E896" t="s">
        <v>5260</v>
      </c>
      <c r="F896" t="s">
        <v>2193</v>
      </c>
      <c r="G896" t="s">
        <v>9194</v>
      </c>
      <c r="H896" t="s">
        <v>362</v>
      </c>
      <c r="I896" t="s">
        <v>14</v>
      </c>
      <c r="K896" t="s">
        <v>5843</v>
      </c>
      <c r="P896" t="str">
        <f>"Update Project Set Organisation = '"&amp;H896&amp;"' where Project_ID = '"&amp;A896&amp;"'; "</f>
        <v xml:space="preserve">Update Project Set Organisation = 'University of Queensland' where Project_ID = 'P0897'; </v>
      </c>
      <c r="Q896" t="str">
        <f>"Update Project Set Library_name = '"&amp;L896&amp;"' , COADD_ID = '"&amp;M896&amp;"' where Project_ID = '"&amp;A896&amp;"'; "</f>
        <v xml:space="preserve">Update Project Set Library_name = '' , COADD_ID = '' where Project_ID = 'P0897'; </v>
      </c>
    </row>
    <row r="897" spans="1:17">
      <c r="A897" t="s">
        <v>7878</v>
      </c>
      <c r="B897" t="s">
        <v>7877</v>
      </c>
      <c r="C897" t="s">
        <v>5633</v>
      </c>
      <c r="D897" t="s">
        <v>340</v>
      </c>
      <c r="E897" t="s">
        <v>3354</v>
      </c>
      <c r="G897" t="s">
        <v>9210</v>
      </c>
      <c r="H897" t="s">
        <v>8147</v>
      </c>
      <c r="I897" t="s">
        <v>117</v>
      </c>
      <c r="K897" t="s">
        <v>5828</v>
      </c>
      <c r="L897" t="s">
        <v>8298</v>
      </c>
      <c r="M897" t="s">
        <v>8438</v>
      </c>
      <c r="N897" s="2">
        <v>45657</v>
      </c>
      <c r="P897" t="str">
        <f>"Update Project Set Organisation = '"&amp;H897&amp;"' where Project_ID = '"&amp;A897&amp;"'; "</f>
        <v xml:space="preserve">Update Project Set Organisation = 'University of Sciences' where Project_ID = 'P0898'; </v>
      </c>
      <c r="Q897" t="str">
        <f>"Update Project Set Library_name = '"&amp;L897&amp;"' , COADD_ID = '"&amp;M897&amp;"' where Project_ID = '"&amp;A897&amp;"'; "</f>
        <v xml:space="preserve">Update Project Set Library_name = 'University of Sciences (United States)' , COADD_ID = 'CO-ADD:PC0898' where Project_ID = 'P0898'; </v>
      </c>
    </row>
    <row r="898" spans="1:17">
      <c r="A898" t="s">
        <v>7879</v>
      </c>
      <c r="C898" t="s">
        <v>5633</v>
      </c>
      <c r="D898" t="s">
        <v>330</v>
      </c>
      <c r="E898" t="s">
        <v>1403</v>
      </c>
      <c r="F898" t="s">
        <v>2001</v>
      </c>
      <c r="G898" t="s">
        <v>9249</v>
      </c>
      <c r="H898" t="s">
        <v>334</v>
      </c>
      <c r="I898" t="s">
        <v>253</v>
      </c>
      <c r="K898" t="s">
        <v>5843</v>
      </c>
      <c r="P898" t="str">
        <f>"Update Project Set Organisation = '"&amp;H898&amp;"' where Project_ID = '"&amp;A898&amp;"'; "</f>
        <v xml:space="preserve">Update Project Set Organisation = 'University of Zurich' where Project_ID = 'P0899'; </v>
      </c>
      <c r="Q898" t="str">
        <f>"Update Project Set Library_name = '"&amp;L898&amp;"' , COADD_ID = '"&amp;M898&amp;"' where Project_ID = '"&amp;A898&amp;"'; "</f>
        <v xml:space="preserve">Update Project Set Library_name = '' , COADD_ID = '' where Project_ID = 'P0899'; </v>
      </c>
    </row>
    <row r="899" spans="1:17">
      <c r="A899" t="s">
        <v>7881</v>
      </c>
      <c r="B899" t="s">
        <v>7880</v>
      </c>
      <c r="C899" t="s">
        <v>5633</v>
      </c>
      <c r="D899" t="s">
        <v>1725</v>
      </c>
      <c r="E899" t="s">
        <v>1896</v>
      </c>
      <c r="G899" t="s">
        <v>8965</v>
      </c>
      <c r="H899" t="s">
        <v>8152</v>
      </c>
      <c r="I899" t="s">
        <v>1256</v>
      </c>
      <c r="K899" t="s">
        <v>5837</v>
      </c>
      <c r="P899" t="str">
        <f>"Update Project Set Organisation = '"&amp;H899&amp;"' where Project_ID = '"&amp;A899&amp;"'; "</f>
        <v xml:space="preserve">Update Project Set Organisation = 'Institut Català Investigació Química (ICIQ)' where Project_ID = 'P0900'; </v>
      </c>
      <c r="Q899" t="str">
        <f>"Update Project Set Library_name = '"&amp;L899&amp;"' , COADD_ID = '"&amp;M899&amp;"' where Project_ID = '"&amp;A899&amp;"'; "</f>
        <v xml:space="preserve">Update Project Set Library_name = '' , COADD_ID = '' where Project_ID = 'P0900'; </v>
      </c>
    </row>
    <row r="900" spans="1:17">
      <c r="A900" t="s">
        <v>7883</v>
      </c>
      <c r="B900" t="s">
        <v>7882</v>
      </c>
      <c r="C900" t="s">
        <v>5633</v>
      </c>
      <c r="D900" t="s">
        <v>1545</v>
      </c>
      <c r="E900" t="s">
        <v>1544</v>
      </c>
      <c r="G900" t="s">
        <v>8929</v>
      </c>
      <c r="H900" t="s">
        <v>1548</v>
      </c>
      <c r="I900" t="s">
        <v>211</v>
      </c>
      <c r="K900" t="s">
        <v>5828</v>
      </c>
      <c r="L900" t="s">
        <v>8326</v>
      </c>
      <c r="M900" t="s">
        <v>8344</v>
      </c>
      <c r="N900" s="2">
        <v>45657</v>
      </c>
      <c r="P900" t="str">
        <f>"Update Project Set Organisation = '"&amp;H900&amp;"' where Project_ID = '"&amp;A900&amp;"'; "</f>
        <v xml:space="preserve">Update Project Set Organisation = 'Dr. Babasaheb Ambedkar Marathwada University' where Project_ID = 'P0901'; </v>
      </c>
      <c r="Q900" t="str">
        <f>"Update Project Set Library_name = '"&amp;L900&amp;"' , COADD_ID = '"&amp;M900&amp;"' where Project_ID = '"&amp;A900&amp;"'; "</f>
        <v xml:space="preserve">Update Project Set Library_name = 'Dr. Babasaheb Ambedkar Marathwada University (India)' , COADD_ID = 'CO-ADD:PC0901' where Project_ID = 'P0901'; </v>
      </c>
    </row>
    <row r="901" spans="1:17">
      <c r="A901" t="s">
        <v>7885</v>
      </c>
      <c r="B901" t="s">
        <v>7884</v>
      </c>
      <c r="C901" t="s">
        <v>5633</v>
      </c>
      <c r="D901" t="s">
        <v>708</v>
      </c>
      <c r="E901" t="s">
        <v>707</v>
      </c>
      <c r="G901" t="s">
        <v>9061</v>
      </c>
      <c r="H901" t="s">
        <v>711</v>
      </c>
      <c r="I901" t="s">
        <v>609</v>
      </c>
      <c r="K901" t="s">
        <v>5828</v>
      </c>
      <c r="L901" t="s">
        <v>8262</v>
      </c>
      <c r="M901" t="s">
        <v>8386</v>
      </c>
      <c r="N901" s="2">
        <v>45657</v>
      </c>
      <c r="P901" t="str">
        <f>"Update Project Set Organisation = '"&amp;H901&amp;"' where Project_ID = '"&amp;A901&amp;"'; "</f>
        <v xml:space="preserve">Update Project Set Organisation = 'Rhodes University' where Project_ID = 'P0902'; </v>
      </c>
      <c r="Q901" t="str">
        <f>"Update Project Set Library_name = '"&amp;L901&amp;"' , COADD_ID = '"&amp;M901&amp;"' where Project_ID = '"&amp;A901&amp;"'; "</f>
        <v xml:space="preserve">Update Project Set Library_name = 'Rhodes University (South Africa)' , COADD_ID = 'CO-ADD:PC0902' where Project_ID = 'P0902'; </v>
      </c>
    </row>
    <row r="902" spans="1:17">
      <c r="A902" t="s">
        <v>7887</v>
      </c>
      <c r="B902" t="s">
        <v>7886</v>
      </c>
      <c r="C902" t="s">
        <v>5633</v>
      </c>
      <c r="D902" t="s">
        <v>2808</v>
      </c>
      <c r="E902" t="s">
        <v>4097</v>
      </c>
      <c r="F902" t="s">
        <v>2807</v>
      </c>
      <c r="G902" t="s">
        <v>9091</v>
      </c>
      <c r="H902" t="s">
        <v>2811</v>
      </c>
      <c r="I902" t="s">
        <v>117</v>
      </c>
      <c r="K902" t="s">
        <v>5843</v>
      </c>
      <c r="P902" t="str">
        <f>"Update Project Set Organisation = '"&amp;H902&amp;"' where Project_ID = '"&amp;A902&amp;"'; "</f>
        <v xml:space="preserve">Update Project Set Organisation = 'Tennessee State University' where Project_ID = 'P0903'; </v>
      </c>
      <c r="Q902" t="str">
        <f>"Update Project Set Library_name = '"&amp;L902&amp;"' , COADD_ID = '"&amp;M902&amp;"' where Project_ID = '"&amp;A902&amp;"'; "</f>
        <v xml:space="preserve">Update Project Set Library_name = '' , COADD_ID = '' where Project_ID = 'P0903'; </v>
      </c>
    </row>
    <row r="903" spans="1:17">
      <c r="A903" t="s">
        <v>7888</v>
      </c>
      <c r="C903" t="s">
        <v>5633</v>
      </c>
      <c r="D903" t="s">
        <v>30</v>
      </c>
      <c r="E903" t="s">
        <v>29</v>
      </c>
      <c r="G903" t="s">
        <v>8991</v>
      </c>
      <c r="H903" t="s">
        <v>616</v>
      </c>
      <c r="I903" t="s">
        <v>37</v>
      </c>
      <c r="K903" t="s">
        <v>5837</v>
      </c>
      <c r="P903" t="str">
        <f>"Update Project Set Organisation = '"&amp;H903&amp;"' where Project_ID = '"&amp;A903&amp;"'; "</f>
        <v xml:space="preserve">Update Project Set Organisation = 'La Trobe University' where Project_ID = 'P0904'; </v>
      </c>
      <c r="Q903" t="str">
        <f>"Update Project Set Library_name = '"&amp;L903&amp;"' , COADD_ID = '"&amp;M903&amp;"' where Project_ID = '"&amp;A903&amp;"'; "</f>
        <v xml:space="preserve">Update Project Set Library_name = '' , COADD_ID = '' where Project_ID = 'P0904'; </v>
      </c>
    </row>
    <row r="904" spans="1:17">
      <c r="A904" t="s">
        <v>7889</v>
      </c>
      <c r="B904" t="s">
        <v>7880</v>
      </c>
      <c r="C904" t="s">
        <v>5633</v>
      </c>
      <c r="D904" t="s">
        <v>1725</v>
      </c>
      <c r="E904" t="s">
        <v>1896</v>
      </c>
      <c r="G904" t="s">
        <v>8965</v>
      </c>
      <c r="H904" t="s">
        <v>8152</v>
      </c>
      <c r="I904" t="s">
        <v>1256</v>
      </c>
      <c r="K904" t="s">
        <v>5828</v>
      </c>
      <c r="L904" t="s">
        <v>8184</v>
      </c>
      <c r="M904" t="s">
        <v>8353</v>
      </c>
      <c r="N904" s="2">
        <v>45657</v>
      </c>
      <c r="P904" t="str">
        <f>"Update Project Set Organisation = '"&amp;H904&amp;"' where Project_ID = '"&amp;A904&amp;"'; "</f>
        <v xml:space="preserve">Update Project Set Organisation = 'Institut Català Investigació Química (ICIQ)' where Project_ID = 'P0905'; </v>
      </c>
      <c r="Q904" t="str">
        <f>"Update Project Set Library_name = '"&amp;L904&amp;"' , COADD_ID = '"&amp;M904&amp;"' where Project_ID = '"&amp;A904&amp;"'; "</f>
        <v xml:space="preserve">Update Project Set Library_name = 'Institut Català Investigació Química (ICIQ) (Spain)' , COADD_ID = 'CO-ADD:PC0905' where Project_ID = 'P0905'; </v>
      </c>
    </row>
    <row r="905" spans="1:17">
      <c r="A905" t="s">
        <v>7891</v>
      </c>
      <c r="B905" t="s">
        <v>7890</v>
      </c>
      <c r="C905" t="s">
        <v>5633</v>
      </c>
      <c r="D905" t="s">
        <v>30</v>
      </c>
      <c r="E905" t="s">
        <v>5046</v>
      </c>
      <c r="F905" t="s">
        <v>1704</v>
      </c>
      <c r="G905" t="s">
        <v>8991</v>
      </c>
      <c r="H905" t="s">
        <v>616</v>
      </c>
      <c r="I905" t="s">
        <v>37</v>
      </c>
      <c r="K905" t="s">
        <v>5828</v>
      </c>
      <c r="L905" t="s">
        <v>8327</v>
      </c>
      <c r="M905" t="s">
        <v>8361</v>
      </c>
      <c r="N905" s="2">
        <v>45657</v>
      </c>
      <c r="P905" t="str">
        <f>"Update Project Set Organisation = '"&amp;H905&amp;"' where Project_ID = '"&amp;A905&amp;"'; "</f>
        <v xml:space="preserve">Update Project Set Organisation = 'La Trobe University' where Project_ID = 'P0906'; </v>
      </c>
      <c r="Q905" t="str">
        <f>"Update Project Set Library_name = '"&amp;L905&amp;"' , COADD_ID = '"&amp;M905&amp;"' where Project_ID = '"&amp;A905&amp;"'; "</f>
        <v xml:space="preserve">Update Project Set Library_name = 'La Trobe University (Sudan)' , COADD_ID = 'CO-ADD:PC0906' where Project_ID = 'P0906'; </v>
      </c>
    </row>
    <row r="906" spans="1:17">
      <c r="A906" t="s">
        <v>7893</v>
      </c>
      <c r="B906" t="s">
        <v>7892</v>
      </c>
      <c r="C906" t="s">
        <v>5633</v>
      </c>
      <c r="D906" t="s">
        <v>2194</v>
      </c>
      <c r="E906" t="s">
        <v>4382</v>
      </c>
      <c r="F906" t="s">
        <v>560</v>
      </c>
      <c r="G906" t="s">
        <v>9194</v>
      </c>
      <c r="H906" t="s">
        <v>362</v>
      </c>
      <c r="I906" t="s">
        <v>14</v>
      </c>
      <c r="K906" t="s">
        <v>5843</v>
      </c>
      <c r="P906" t="str">
        <f>"Update Project Set Organisation = '"&amp;H906&amp;"' where Project_ID = '"&amp;A906&amp;"'; "</f>
        <v xml:space="preserve">Update Project Set Organisation = 'University of Queensland' where Project_ID = 'P0907'; </v>
      </c>
      <c r="Q906" t="str">
        <f>"Update Project Set Library_name = '"&amp;L906&amp;"' , COADD_ID = '"&amp;M906&amp;"' where Project_ID = '"&amp;A906&amp;"'; "</f>
        <v xml:space="preserve">Update Project Set Library_name = '' , COADD_ID = '' where Project_ID = 'P0907'; </v>
      </c>
    </row>
    <row r="907" spans="1:17">
      <c r="A907" t="s">
        <v>7895</v>
      </c>
      <c r="B907" t="s">
        <v>7894</v>
      </c>
      <c r="C907" t="s">
        <v>5633</v>
      </c>
      <c r="D907" t="s">
        <v>1819</v>
      </c>
      <c r="E907" t="s">
        <v>4954</v>
      </c>
      <c r="F907" t="s">
        <v>1818</v>
      </c>
      <c r="G907" t="s">
        <v>8981</v>
      </c>
      <c r="H907" t="s">
        <v>1822</v>
      </c>
      <c r="I907" t="s">
        <v>318</v>
      </c>
      <c r="K907" t="s">
        <v>5828</v>
      </c>
      <c r="L907" t="s">
        <v>8328</v>
      </c>
      <c r="M907" t="s">
        <v>8357</v>
      </c>
      <c r="N907" s="2">
        <v>45657</v>
      </c>
      <c r="P907" t="str">
        <f>"Update Project Set Organisation = '"&amp;H907&amp;"' where Project_ID = '"&amp;A907&amp;"'; "</f>
        <v xml:space="preserve">Update Project Set Organisation = 'Jouf University' where Project_ID = 'P0908'; </v>
      </c>
      <c r="Q907" t="str">
        <f>"Update Project Set Library_name = '"&amp;L907&amp;"' , COADD_ID = '"&amp;M907&amp;"' where Project_ID = '"&amp;A907&amp;"'; "</f>
        <v xml:space="preserve">Update Project Set Library_name = 'Jouf University (Saudi Arabia)' , COADD_ID = 'CO-ADD:PC0908' where Project_ID = 'P0908'; </v>
      </c>
    </row>
    <row r="908" spans="1:17">
      <c r="A908" t="s">
        <v>7898</v>
      </c>
      <c r="B908" t="s">
        <v>7897</v>
      </c>
      <c r="C908" t="s">
        <v>5633</v>
      </c>
      <c r="D908" t="s">
        <v>3550</v>
      </c>
      <c r="E908" t="s">
        <v>3549</v>
      </c>
      <c r="G908" t="s">
        <v>8916</v>
      </c>
      <c r="H908" t="s">
        <v>731</v>
      </c>
      <c r="I908" t="s">
        <v>14</v>
      </c>
      <c r="K908" t="s">
        <v>7896</v>
      </c>
      <c r="P908" t="str">
        <f>"Update Project Set Organisation = '"&amp;H908&amp;"' where Project_ID = '"&amp;A908&amp;"'; "</f>
        <v xml:space="preserve">Update Project Set Organisation = 'Commonwealth Scientific and Industrial Research (CSIRO)' where Project_ID = 'P0909'; </v>
      </c>
      <c r="Q908" t="str">
        <f>"Update Project Set Library_name = '"&amp;L908&amp;"' , COADD_ID = '"&amp;M908&amp;"' where Project_ID = '"&amp;A908&amp;"'; "</f>
        <v xml:space="preserve">Update Project Set Library_name = '' , COADD_ID = '' where Project_ID = 'P0909'; </v>
      </c>
    </row>
    <row r="909" spans="1:17">
      <c r="A909" t="s">
        <v>7899</v>
      </c>
      <c r="C909" t="s">
        <v>5633</v>
      </c>
      <c r="D909" t="s">
        <v>1776</v>
      </c>
      <c r="E909" t="s">
        <v>1775</v>
      </c>
      <c r="G909" t="s">
        <v>9051</v>
      </c>
      <c r="H909" t="s">
        <v>1780</v>
      </c>
      <c r="I909" t="s">
        <v>55</v>
      </c>
      <c r="K909" t="s">
        <v>5828</v>
      </c>
      <c r="L909" t="s">
        <v>8329</v>
      </c>
      <c r="M909" t="s">
        <v>8378</v>
      </c>
      <c r="N909" s="2">
        <v>45657</v>
      </c>
      <c r="P909" t="str">
        <f>"Update Project Set Organisation = '"&amp;H909&amp;"' where Project_ID = '"&amp;A909&amp;"'; "</f>
        <v xml:space="preserve">Update Project Set Organisation = 'October University for Modern Sciences and Arts (MSA)' where Project_ID = 'P0910'; </v>
      </c>
      <c r="Q909" t="str">
        <f>"Update Project Set Library_name = '"&amp;L909&amp;"' , COADD_ID = '"&amp;M909&amp;"' where Project_ID = '"&amp;A909&amp;"'; "</f>
        <v xml:space="preserve">Update Project Set Library_name = 'October University for Modern Sciences and Arts (MSA) (Egypt)' , COADD_ID = 'CO-ADD:PC0910' where Project_ID = 'P0910'; </v>
      </c>
    </row>
    <row r="910" spans="1:17">
      <c r="A910" t="s">
        <v>7901</v>
      </c>
      <c r="B910" t="s">
        <v>7900</v>
      </c>
      <c r="C910" t="s">
        <v>5633</v>
      </c>
      <c r="D910" t="s">
        <v>2310</v>
      </c>
      <c r="E910" t="s">
        <v>4865</v>
      </c>
      <c r="F910" t="s">
        <v>2309</v>
      </c>
      <c r="G910" t="s">
        <v>8888</v>
      </c>
      <c r="H910" t="s">
        <v>1066</v>
      </c>
      <c r="I910" t="s">
        <v>14</v>
      </c>
      <c r="K910" t="s">
        <v>5828</v>
      </c>
      <c r="L910" t="s">
        <v>8330</v>
      </c>
      <c r="M910" t="s">
        <v>8338</v>
      </c>
      <c r="N910" s="2">
        <v>45657</v>
      </c>
      <c r="P910" t="str">
        <f>"Update Project Set Organisation = '"&amp;H910&amp;"' where Project_ID = '"&amp;A910&amp;"'; "</f>
        <v xml:space="preserve">Update Project Set Organisation = 'Australian National University (ANU)' where Project_ID = 'P0911'; </v>
      </c>
      <c r="Q910" t="str">
        <f>"Update Project Set Library_name = '"&amp;L910&amp;"' , COADD_ID = '"&amp;M910&amp;"' where Project_ID = '"&amp;A910&amp;"'; "</f>
        <v xml:space="preserve">Update Project Set Library_name = 'Australian National University (ANU) (Australia)' , COADD_ID = 'CO-ADD:PC0911' where Project_ID = 'P0911'; </v>
      </c>
    </row>
    <row r="911" spans="1:17">
      <c r="A911" t="s">
        <v>7903</v>
      </c>
      <c r="B911" t="s">
        <v>7902</v>
      </c>
      <c r="C911" t="s">
        <v>5633</v>
      </c>
      <c r="D911" t="s">
        <v>1062</v>
      </c>
      <c r="E911" t="s">
        <v>3400</v>
      </c>
      <c r="F911" t="s">
        <v>1061</v>
      </c>
      <c r="G911" t="s">
        <v>8889</v>
      </c>
      <c r="H911" t="s">
        <v>1066</v>
      </c>
      <c r="I911" t="s">
        <v>14</v>
      </c>
      <c r="K911" t="s">
        <v>5828</v>
      </c>
      <c r="L911" t="s">
        <v>8330</v>
      </c>
      <c r="M911" t="s">
        <v>8339</v>
      </c>
      <c r="N911" s="2">
        <v>45657</v>
      </c>
      <c r="P911" t="str">
        <f>"Update Project Set Organisation = '"&amp;H911&amp;"' where Project_ID = '"&amp;A911&amp;"'; "</f>
        <v xml:space="preserve">Update Project Set Organisation = 'Australian National University (ANU)' where Project_ID = 'P0912'; </v>
      </c>
      <c r="Q911" t="str">
        <f>"Update Project Set Library_name = '"&amp;L911&amp;"' , COADD_ID = '"&amp;M911&amp;"' where Project_ID = '"&amp;A911&amp;"'; "</f>
        <v xml:space="preserve">Update Project Set Library_name = 'Australian National University (ANU) (Australia)' , COADD_ID = 'CO-ADD:PC0912' where Project_ID = 'P0912'; </v>
      </c>
    </row>
    <row r="912" spans="1:17">
      <c r="A912" t="s">
        <v>7905</v>
      </c>
      <c r="B912" t="s">
        <v>7904</v>
      </c>
      <c r="C912" t="s">
        <v>5633</v>
      </c>
      <c r="D912" t="s">
        <v>238</v>
      </c>
      <c r="E912" t="s">
        <v>1949</v>
      </c>
      <c r="G912" t="s">
        <v>9192</v>
      </c>
      <c r="H912" t="s">
        <v>242</v>
      </c>
      <c r="I912" t="s">
        <v>117</v>
      </c>
      <c r="K912" t="s">
        <v>5828</v>
      </c>
      <c r="L912" t="s">
        <v>8325</v>
      </c>
      <c r="M912" t="s">
        <v>8432</v>
      </c>
      <c r="N912" s="2">
        <v>45657</v>
      </c>
      <c r="P912" t="str">
        <f>"Update Project Set Organisation = '"&amp;H912&amp;"' where Project_ID = '"&amp;A912&amp;"'; "</f>
        <v xml:space="preserve">Update Project Set Organisation = 'University of Puerto Rico Rio Piedras' where Project_ID = 'P0913'; </v>
      </c>
      <c r="Q912" t="str">
        <f>"Update Project Set Library_name = '"&amp;L912&amp;"' , COADD_ID = '"&amp;M912&amp;"' where Project_ID = '"&amp;A912&amp;"'; "</f>
        <v xml:space="preserve">Update Project Set Library_name = 'University of Puerto Rico Rio Piedras (United States)' , COADD_ID = 'CO-ADD:PC0913' where Project_ID = 'P0913'; </v>
      </c>
    </row>
    <row r="913" spans="1:17">
      <c r="A913" t="s">
        <v>7907</v>
      </c>
      <c r="B913" t="s">
        <v>7906</v>
      </c>
      <c r="C913" t="s">
        <v>5633</v>
      </c>
      <c r="D913" t="s">
        <v>195</v>
      </c>
      <c r="E913" t="s">
        <v>272</v>
      </c>
      <c r="G913" t="s">
        <v>8875</v>
      </c>
      <c r="H913" t="s">
        <v>199</v>
      </c>
      <c r="I913" t="s">
        <v>55</v>
      </c>
      <c r="K913" t="s">
        <v>5837</v>
      </c>
      <c r="P913" t="str">
        <f>"Update Project Set Organisation = '"&amp;H913&amp;"' where Project_ID = '"&amp;A913&amp;"'; "</f>
        <v xml:space="preserve">Update Project Set Organisation = 'Ain Shams University' where Project_ID = 'P0914'; </v>
      </c>
      <c r="Q913" t="str">
        <f>"Update Project Set Library_name = '"&amp;L913&amp;"' , COADD_ID = '"&amp;M913&amp;"' where Project_ID = '"&amp;A913&amp;"'; "</f>
        <v xml:space="preserve">Update Project Set Library_name = '' , COADD_ID = '' where Project_ID = 'P0914'; </v>
      </c>
    </row>
    <row r="914" spans="1:17">
      <c r="A914" t="s">
        <v>7908</v>
      </c>
      <c r="C914" t="s">
        <v>5633</v>
      </c>
      <c r="D914" t="s">
        <v>2002</v>
      </c>
      <c r="E914" t="s">
        <v>2001</v>
      </c>
      <c r="G914" t="s">
        <v>9204</v>
      </c>
      <c r="H914" t="s">
        <v>362</v>
      </c>
      <c r="I914" t="s">
        <v>609</v>
      </c>
      <c r="K914" t="s">
        <v>5843</v>
      </c>
      <c r="P914" t="str">
        <f>"Update Project Set Organisation = '"&amp;H914&amp;"' where Project_ID = '"&amp;A914&amp;"'; "</f>
        <v xml:space="preserve">Update Project Set Organisation = 'University of Queensland' where Project_ID = 'P0915'; </v>
      </c>
      <c r="Q914" t="str">
        <f>"Update Project Set Library_name = '"&amp;L914&amp;"' , COADD_ID = '"&amp;M914&amp;"' where Project_ID = '"&amp;A914&amp;"'; "</f>
        <v xml:space="preserve">Update Project Set Library_name = '' , COADD_ID = '' where Project_ID = 'P0915'; </v>
      </c>
    </row>
    <row r="915" spans="1:17">
      <c r="A915" t="s">
        <v>7909</v>
      </c>
      <c r="B915" t="s">
        <v>7843</v>
      </c>
      <c r="C915" t="s">
        <v>5633</v>
      </c>
      <c r="D915" t="s">
        <v>1020</v>
      </c>
      <c r="E915" t="s">
        <v>1312</v>
      </c>
      <c r="F915" t="s">
        <v>1019</v>
      </c>
      <c r="G915" t="s">
        <v>9131</v>
      </c>
      <c r="H915" t="s">
        <v>596</v>
      </c>
      <c r="I915" t="s">
        <v>223</v>
      </c>
      <c r="K915" t="s">
        <v>5828</v>
      </c>
      <c r="L915" t="s">
        <v>8167</v>
      </c>
      <c r="M915" t="s">
        <v>8414</v>
      </c>
      <c r="N915" s="2">
        <v>45657</v>
      </c>
      <c r="P915" t="str">
        <f>"Update Project Set Organisation = '"&amp;H915&amp;"' where Project_ID = '"&amp;A915&amp;"'; "</f>
        <v xml:space="preserve">Update Project Set Organisation = 'University of Auckland' where Project_ID = 'P0916'; </v>
      </c>
      <c r="Q915" t="str">
        <f>"Update Project Set Library_name = '"&amp;L915&amp;"' , COADD_ID = '"&amp;M915&amp;"' where Project_ID = '"&amp;A915&amp;"'; "</f>
        <v xml:space="preserve">Update Project Set Library_name = 'University of Auckland (New Zealand)' , COADD_ID = 'CO-ADD:PC0916' where Project_ID = 'P0916'; </v>
      </c>
    </row>
    <row r="916" spans="1:17">
      <c r="A916" t="s">
        <v>7911</v>
      </c>
      <c r="B916" t="s">
        <v>7910</v>
      </c>
      <c r="C916" t="s">
        <v>5633</v>
      </c>
      <c r="D916" t="s">
        <v>3828</v>
      </c>
      <c r="E916" t="s">
        <v>3827</v>
      </c>
      <c r="F916" t="s">
        <v>5235</v>
      </c>
      <c r="G916" t="s">
        <v>8890</v>
      </c>
      <c r="H916" t="s">
        <v>1066</v>
      </c>
      <c r="I916" t="s">
        <v>14</v>
      </c>
      <c r="K916" t="s">
        <v>5828</v>
      </c>
      <c r="L916" t="s">
        <v>8330</v>
      </c>
      <c r="M916" t="s">
        <v>8340</v>
      </c>
      <c r="N916" s="2">
        <v>45657</v>
      </c>
      <c r="P916" t="str">
        <f>"Update Project Set Organisation = '"&amp;H916&amp;"' where Project_ID = '"&amp;A916&amp;"'; "</f>
        <v xml:space="preserve">Update Project Set Organisation = 'Australian National University (ANU)' where Project_ID = 'P0917'; </v>
      </c>
      <c r="Q916" t="str">
        <f>"Update Project Set Library_name = '"&amp;L916&amp;"' , COADD_ID = '"&amp;M916&amp;"' where Project_ID = '"&amp;A916&amp;"'; "</f>
        <v xml:space="preserve">Update Project Set Library_name = 'Australian National University (ANU) (Australia)' , COADD_ID = 'CO-ADD:PC0917' where Project_ID = 'P0917'; </v>
      </c>
    </row>
    <row r="917" spans="1:17">
      <c r="A917" t="s">
        <v>7913</v>
      </c>
      <c r="B917" t="s">
        <v>7912</v>
      </c>
      <c r="C917" t="s">
        <v>5633</v>
      </c>
      <c r="D917" t="s">
        <v>1468</v>
      </c>
      <c r="E917" t="s">
        <v>2574</v>
      </c>
      <c r="G917" t="s">
        <v>9252</v>
      </c>
      <c r="H917" t="s">
        <v>4658</v>
      </c>
      <c r="I917" t="s">
        <v>427</v>
      </c>
      <c r="K917" t="s">
        <v>7896</v>
      </c>
      <c r="P917" t="str">
        <f>"Update Project Set Organisation = '"&amp;H917&amp;"' where Project_ID = '"&amp;A917&amp;"'; "</f>
        <v xml:space="preserve">Update Project Set Organisation = 'V.N. Karazin Kharkiv National University' where Project_ID = 'P0918'; </v>
      </c>
      <c r="Q917" t="str">
        <f>"Update Project Set Library_name = '"&amp;L917&amp;"' , COADD_ID = '"&amp;M917&amp;"' where Project_ID = '"&amp;A917&amp;"'; "</f>
        <v xml:space="preserve">Update Project Set Library_name = '' , COADD_ID = '' where Project_ID = 'P0918'; </v>
      </c>
    </row>
    <row r="918" spans="1:17">
      <c r="A918" t="s">
        <v>7914</v>
      </c>
      <c r="C918" t="s">
        <v>5633</v>
      </c>
      <c r="D918" t="s">
        <v>887</v>
      </c>
      <c r="E918" t="s">
        <v>886</v>
      </c>
      <c r="G918" t="s">
        <v>8956</v>
      </c>
      <c r="H918" t="s">
        <v>890</v>
      </c>
      <c r="I918" t="s">
        <v>891</v>
      </c>
      <c r="K918" t="s">
        <v>7896</v>
      </c>
      <c r="P918" t="str">
        <f>"Update Project Set Organisation = '"&amp;H918&amp;"' where Project_ID = '"&amp;A918&amp;"'; "</f>
        <v xml:space="preserve">Update Project Set Organisation = 'Ibn Tofail University' where Project_ID = 'P0919'; </v>
      </c>
      <c r="Q918" t="str">
        <f>"Update Project Set Library_name = '"&amp;L918&amp;"' , COADD_ID = '"&amp;M918&amp;"' where Project_ID = '"&amp;A918&amp;"'; "</f>
        <v xml:space="preserve">Update Project Set Library_name = '' , COADD_ID = '' where Project_ID = 'P0919'; </v>
      </c>
    </row>
    <row r="919" spans="1:17">
      <c r="A919" t="s">
        <v>7915</v>
      </c>
      <c r="C919" t="s">
        <v>5633</v>
      </c>
      <c r="D919" t="s">
        <v>2475</v>
      </c>
      <c r="E919" t="s">
        <v>3832</v>
      </c>
      <c r="F919" t="s">
        <v>2474</v>
      </c>
      <c r="G919" t="s">
        <v>9213</v>
      </c>
      <c r="H919" t="s">
        <v>2479</v>
      </c>
      <c r="I919" t="s">
        <v>14</v>
      </c>
      <c r="K919" t="s">
        <v>5828</v>
      </c>
      <c r="L919" t="s">
        <v>8216</v>
      </c>
      <c r="M919" t="s">
        <v>8440</v>
      </c>
      <c r="N919" s="2">
        <v>45657</v>
      </c>
      <c r="P919" t="str">
        <f>"Update Project Set Organisation = '"&amp;H919&amp;"' where Project_ID = '"&amp;A919&amp;"'; "</f>
        <v xml:space="preserve">Update Project Set Organisation = 'University of South Australia' where Project_ID = 'P0920'; </v>
      </c>
      <c r="Q919" t="str">
        <f>"Update Project Set Library_name = '"&amp;L919&amp;"' , COADD_ID = '"&amp;M919&amp;"' where Project_ID = '"&amp;A919&amp;"'; "</f>
        <v xml:space="preserve">Update Project Set Library_name = 'University of South Australia (Australia)' , COADD_ID = 'CO-ADD:PC0920' where Project_ID = 'P0920'; </v>
      </c>
    </row>
    <row r="920" spans="1:17">
      <c r="A920" t="s">
        <v>7917</v>
      </c>
      <c r="B920" t="s">
        <v>7916</v>
      </c>
      <c r="C920" t="s">
        <v>5633</v>
      </c>
      <c r="D920" t="s">
        <v>843</v>
      </c>
      <c r="E920" t="s">
        <v>5330</v>
      </c>
      <c r="F920" t="s">
        <v>842</v>
      </c>
      <c r="G920" t="s">
        <v>9088</v>
      </c>
      <c r="H920" t="s">
        <v>846</v>
      </c>
      <c r="I920" t="s">
        <v>848</v>
      </c>
      <c r="K920" t="s">
        <v>5837</v>
      </c>
      <c r="P920" t="str">
        <f>"Update Project Set Organisation = '"&amp;H920&amp;"' where Project_ID = '"&amp;A920&amp;"'; "</f>
        <v xml:space="preserve">Update Project Set Organisation = 'Technical University of Lodz' where Project_ID = 'P0921'; </v>
      </c>
      <c r="Q920" t="str">
        <f>"Update Project Set Library_name = '"&amp;L920&amp;"' , COADD_ID = '"&amp;M920&amp;"' where Project_ID = '"&amp;A920&amp;"'; "</f>
        <v xml:space="preserve">Update Project Set Library_name = '' , COADD_ID = '' where Project_ID = 'P0921'; </v>
      </c>
    </row>
    <row r="921" spans="1:17">
      <c r="A921" t="s">
        <v>7919</v>
      </c>
      <c r="B921" t="s">
        <v>7918</v>
      </c>
      <c r="C921" t="s">
        <v>5633</v>
      </c>
      <c r="D921" t="s">
        <v>925</v>
      </c>
      <c r="E921" t="s">
        <v>3202</v>
      </c>
      <c r="G921" t="s">
        <v>9063</v>
      </c>
      <c r="H921" t="s">
        <v>929</v>
      </c>
      <c r="I921" t="s">
        <v>14</v>
      </c>
      <c r="K921" t="s">
        <v>5828</v>
      </c>
      <c r="L921" t="s">
        <v>8265</v>
      </c>
      <c r="M921" t="s">
        <v>8389</v>
      </c>
      <c r="N921" s="2">
        <v>45657</v>
      </c>
      <c r="P921" t="str">
        <f>"Update Project Set Organisation = '"&amp;H921&amp;"' where Project_ID = '"&amp;A921&amp;"'; "</f>
        <v xml:space="preserve">Update Project Set Organisation = 'RMIT University' where Project_ID = 'P0922'; </v>
      </c>
      <c r="Q921" t="str">
        <f>"Update Project Set Library_name = '"&amp;L921&amp;"' , COADD_ID = '"&amp;M921&amp;"' where Project_ID = '"&amp;A921&amp;"'; "</f>
        <v xml:space="preserve">Update Project Set Library_name = 'RMIT University (Australia)' , COADD_ID = 'CO-ADD:PC0922' where Project_ID = 'P0922'; </v>
      </c>
    </row>
    <row r="922" spans="1:17">
      <c r="A922" t="s">
        <v>7921</v>
      </c>
      <c r="B922" t="s">
        <v>7920</v>
      </c>
      <c r="C922" t="s">
        <v>5633</v>
      </c>
      <c r="D922" t="s">
        <v>968</v>
      </c>
      <c r="E922" t="s">
        <v>1523</v>
      </c>
      <c r="F922" t="s">
        <v>2750</v>
      </c>
      <c r="G922" t="s">
        <v>8983</v>
      </c>
      <c r="H922" t="s">
        <v>971</v>
      </c>
      <c r="I922" t="s">
        <v>557</v>
      </c>
      <c r="K922" t="s">
        <v>5828</v>
      </c>
      <c r="L922" t="s">
        <v>8169</v>
      </c>
      <c r="M922" t="s">
        <v>8359</v>
      </c>
      <c r="N922" s="2">
        <v>45657</v>
      </c>
      <c r="P922" t="str">
        <f>"Update Project Set Organisation = '"&amp;H922&amp;"' where Project_ID = '"&amp;A922&amp;"'; "</f>
        <v xml:space="preserve">Update Project Set Organisation = 'Karlsruhe Institute of Technology (KIT)' where Project_ID = 'P0923'; </v>
      </c>
      <c r="Q922" t="str">
        <f>"Update Project Set Library_name = '"&amp;L922&amp;"' , COADD_ID = '"&amp;M922&amp;"' where Project_ID = '"&amp;A922&amp;"'; "</f>
        <v xml:space="preserve">Update Project Set Library_name = 'Karlsruhe Institute of Technology (KIT) (Germany)' , COADD_ID = 'CO-ADD:PC0923' where Project_ID = 'P0923'; </v>
      </c>
    </row>
    <row r="923" spans="1:17">
      <c r="A923" t="s">
        <v>7924</v>
      </c>
      <c r="B923" t="s">
        <v>7923</v>
      </c>
      <c r="C923" t="s">
        <v>5633</v>
      </c>
      <c r="D923" t="s">
        <v>708</v>
      </c>
      <c r="E923" t="s">
        <v>707</v>
      </c>
      <c r="G923" t="s">
        <v>9061</v>
      </c>
      <c r="H923" t="s">
        <v>711</v>
      </c>
      <c r="I923" t="s">
        <v>609</v>
      </c>
      <c r="J923" t="s">
        <v>7922</v>
      </c>
      <c r="K923" t="s">
        <v>5843</v>
      </c>
      <c r="P923" t="str">
        <f>"Update Project Set Organisation = '"&amp;H923&amp;"' where Project_ID = '"&amp;A923&amp;"'; "</f>
        <v xml:space="preserve">Update Project Set Organisation = 'Rhodes University' where Project_ID = 'P0924'; </v>
      </c>
      <c r="Q923" t="str">
        <f>"Update Project Set Library_name = '"&amp;L923&amp;"' , COADD_ID = '"&amp;M923&amp;"' where Project_ID = '"&amp;A923&amp;"'; "</f>
        <v xml:space="preserve">Update Project Set Library_name = '' , COADD_ID = '' where Project_ID = 'P0924'; </v>
      </c>
    </row>
    <row r="924" spans="1:17">
      <c r="A924" t="s">
        <v>7925</v>
      </c>
      <c r="B924" t="s">
        <v>7822</v>
      </c>
      <c r="C924" t="s">
        <v>5633</v>
      </c>
      <c r="D924" t="s">
        <v>2194</v>
      </c>
      <c r="E924" t="s">
        <v>2193</v>
      </c>
      <c r="F924" t="s">
        <v>5260</v>
      </c>
      <c r="G924" t="s">
        <v>9194</v>
      </c>
      <c r="H924" t="s">
        <v>362</v>
      </c>
      <c r="I924" t="s">
        <v>14</v>
      </c>
      <c r="K924" t="s">
        <v>5843</v>
      </c>
      <c r="P924" t="str">
        <f>"Update Project Set Organisation = '"&amp;H924&amp;"' where Project_ID = '"&amp;A924&amp;"'; "</f>
        <v xml:space="preserve">Update Project Set Organisation = 'University of Queensland' where Project_ID = 'P0925'; </v>
      </c>
      <c r="Q924" t="str">
        <f>"Update Project Set Library_name = '"&amp;L924&amp;"' , COADD_ID = '"&amp;M924&amp;"' where Project_ID = '"&amp;A924&amp;"'; "</f>
        <v xml:space="preserve">Update Project Set Library_name = '' , COADD_ID = '' where Project_ID = 'P0925'; </v>
      </c>
    </row>
    <row r="925" spans="1:17">
      <c r="A925" t="s">
        <v>7926</v>
      </c>
      <c r="C925" t="s">
        <v>5633</v>
      </c>
      <c r="D925" t="s">
        <v>4775</v>
      </c>
      <c r="E925" t="s">
        <v>4774</v>
      </c>
      <c r="G925" t="s">
        <v>9208</v>
      </c>
      <c r="H925" t="s">
        <v>4777</v>
      </c>
      <c r="I925" t="s">
        <v>2674</v>
      </c>
      <c r="K925" t="s">
        <v>5837</v>
      </c>
      <c r="P925" t="str">
        <f>"Update Project Set Organisation = '"&amp;H925&amp;"' where Project_ID = '"&amp;A925&amp;"'; "</f>
        <v xml:space="preserve">Update Project Set Organisation = 'University of Science and Technology Bannu' where Project_ID = 'P0927'; </v>
      </c>
      <c r="Q925" t="str">
        <f>"Update Project Set Library_name = '"&amp;L925&amp;"' , COADD_ID = '"&amp;M925&amp;"' where Project_ID = '"&amp;A925&amp;"'; "</f>
        <v xml:space="preserve">Update Project Set Library_name = '' , COADD_ID = '' where Project_ID = 'P0927'; </v>
      </c>
    </row>
    <row r="926" spans="1:17">
      <c r="A926" t="s">
        <v>7929</v>
      </c>
      <c r="B926" t="s">
        <v>7928</v>
      </c>
      <c r="C926" t="s">
        <v>5633</v>
      </c>
      <c r="D926" t="s">
        <v>2516</v>
      </c>
      <c r="E926" t="s">
        <v>2515</v>
      </c>
      <c r="G926" t="s">
        <v>8911</v>
      </c>
      <c r="H926" t="s">
        <v>2519</v>
      </c>
      <c r="I926" t="s">
        <v>117</v>
      </c>
      <c r="J926" t="s">
        <v>7927</v>
      </c>
      <c r="K926" t="s">
        <v>7896</v>
      </c>
      <c r="P926" t="str">
        <f>"Update Project Set Organisation = '"&amp;H926&amp;"' where Project_ID = '"&amp;A926&amp;"'; "</f>
        <v xml:space="preserve">Update Project Set Organisation = 'Cold Springs Harbor Laboratory' where Project_ID = 'P0928'; </v>
      </c>
      <c r="Q926" t="str">
        <f>"Update Project Set Library_name = '"&amp;L926&amp;"' , COADD_ID = '"&amp;M926&amp;"' where Project_ID = '"&amp;A926&amp;"'; "</f>
        <v xml:space="preserve">Update Project Set Library_name = '' , COADD_ID = '' where Project_ID = 'P0928'; </v>
      </c>
    </row>
    <row r="927" spans="1:17">
      <c r="A927" t="s">
        <v>7931</v>
      </c>
      <c r="B927" t="s">
        <v>7930</v>
      </c>
      <c r="C927" t="s">
        <v>5633</v>
      </c>
      <c r="D927" t="s">
        <v>2808</v>
      </c>
      <c r="E927" t="s">
        <v>4097</v>
      </c>
      <c r="F927" t="s">
        <v>2807</v>
      </c>
      <c r="G927" t="s">
        <v>9091</v>
      </c>
      <c r="H927" t="s">
        <v>2811</v>
      </c>
      <c r="I927" t="s">
        <v>117</v>
      </c>
      <c r="K927" t="s">
        <v>7896</v>
      </c>
      <c r="P927" t="str">
        <f>"Update Project Set Organisation = '"&amp;H927&amp;"' where Project_ID = '"&amp;A927&amp;"'; "</f>
        <v xml:space="preserve">Update Project Set Organisation = 'Tennessee State University' where Project_ID = 'P0929'; </v>
      </c>
      <c r="Q927" t="str">
        <f>"Update Project Set Library_name = '"&amp;L927&amp;"' , COADD_ID = '"&amp;M927&amp;"' where Project_ID = '"&amp;A927&amp;"'; "</f>
        <v xml:space="preserve">Update Project Set Library_name = '' , COADD_ID = '' where Project_ID = 'P0929'; </v>
      </c>
    </row>
    <row r="928" spans="1:17">
      <c r="A928" t="s">
        <v>7932</v>
      </c>
      <c r="C928" t="s">
        <v>5633</v>
      </c>
      <c r="D928" t="s">
        <v>1419</v>
      </c>
      <c r="E928" t="s">
        <v>1418</v>
      </c>
      <c r="G928" t="s">
        <v>9247</v>
      </c>
      <c r="H928" t="s">
        <v>1422</v>
      </c>
      <c r="I928" t="s">
        <v>14</v>
      </c>
      <c r="K928" t="s">
        <v>7896</v>
      </c>
      <c r="P928" t="str">
        <f>"Update Project Set Organisation = '"&amp;H928&amp;"' where Project_ID = '"&amp;A928&amp;"'; "</f>
        <v xml:space="preserve">Update Project Set Organisation = 'University of Wollongong' where Project_ID = 'P0930'; </v>
      </c>
      <c r="Q928" t="str">
        <f>"Update Project Set Library_name = '"&amp;L928&amp;"' , COADD_ID = '"&amp;M928&amp;"' where Project_ID = '"&amp;A928&amp;"'; "</f>
        <v xml:space="preserve">Update Project Set Library_name = '' , COADD_ID = '' where Project_ID = 'P0930'; </v>
      </c>
    </row>
    <row r="929" spans="1:17">
      <c r="A929" t="s">
        <v>7934</v>
      </c>
      <c r="B929" t="s">
        <v>7933</v>
      </c>
      <c r="C929" t="s">
        <v>5633</v>
      </c>
      <c r="D929" t="s">
        <v>2683</v>
      </c>
      <c r="E929" t="s">
        <v>2682</v>
      </c>
      <c r="G929" t="s">
        <v>9235</v>
      </c>
      <c r="H929" t="s">
        <v>691</v>
      </c>
      <c r="I929" t="s">
        <v>694</v>
      </c>
      <c r="K929" t="s">
        <v>5843</v>
      </c>
      <c r="P929" t="str">
        <f>"Update Project Set Organisation = '"&amp;H929&amp;"' where Project_ID = '"&amp;A929&amp;"'; "</f>
        <v xml:space="preserve">Update Project Set Organisation = 'University of Vienna' where Project_ID = 'P0931'; </v>
      </c>
      <c r="Q929" t="str">
        <f>"Update Project Set Library_name = '"&amp;L929&amp;"' , COADD_ID = '"&amp;M929&amp;"' where Project_ID = '"&amp;A929&amp;"'; "</f>
        <v xml:space="preserve">Update Project Set Library_name = '' , COADD_ID = '' where Project_ID = 'P0931'; </v>
      </c>
    </row>
    <row r="930" spans="1:17">
      <c r="A930" t="s">
        <v>7935</v>
      </c>
      <c r="B930" t="s">
        <v>7712</v>
      </c>
      <c r="C930" t="s">
        <v>5633</v>
      </c>
      <c r="D930" t="s">
        <v>1020</v>
      </c>
      <c r="E930" t="s">
        <v>1312</v>
      </c>
      <c r="F930" t="s">
        <v>1019</v>
      </c>
      <c r="G930" t="s">
        <v>9131</v>
      </c>
      <c r="H930" t="s">
        <v>596</v>
      </c>
      <c r="I930" t="s">
        <v>223</v>
      </c>
      <c r="K930" t="s">
        <v>5828</v>
      </c>
      <c r="L930" t="s">
        <v>8167</v>
      </c>
      <c r="M930" t="s">
        <v>8415</v>
      </c>
      <c r="N930" s="2">
        <v>45657</v>
      </c>
      <c r="P930" t="str">
        <f>"Update Project Set Organisation = '"&amp;H930&amp;"' where Project_ID = '"&amp;A930&amp;"'; "</f>
        <v xml:space="preserve">Update Project Set Organisation = 'University of Auckland' where Project_ID = 'P0932'; </v>
      </c>
      <c r="Q930" t="str">
        <f>"Update Project Set Library_name = '"&amp;L930&amp;"' , COADD_ID = '"&amp;M930&amp;"' where Project_ID = '"&amp;A930&amp;"'; "</f>
        <v xml:space="preserve">Update Project Set Library_name = 'University of Auckland (New Zealand)' , COADD_ID = 'CO-ADD:PC0932' where Project_ID = 'P0932'; </v>
      </c>
    </row>
    <row r="931" spans="1:17">
      <c r="A931" t="s">
        <v>7936</v>
      </c>
      <c r="B931" t="s">
        <v>7712</v>
      </c>
      <c r="C931" t="s">
        <v>5633</v>
      </c>
      <c r="D931" t="s">
        <v>1020</v>
      </c>
      <c r="E931" t="s">
        <v>1312</v>
      </c>
      <c r="F931" t="s">
        <v>1019</v>
      </c>
      <c r="G931" t="s">
        <v>9131</v>
      </c>
      <c r="H931" t="s">
        <v>596</v>
      </c>
      <c r="I931" t="s">
        <v>223</v>
      </c>
      <c r="K931" t="s">
        <v>7896</v>
      </c>
      <c r="P931" t="str">
        <f>"Update Project Set Organisation = '"&amp;H931&amp;"' where Project_ID = '"&amp;A931&amp;"'; "</f>
        <v xml:space="preserve">Update Project Set Organisation = 'University of Auckland' where Project_ID = 'P0933'; </v>
      </c>
      <c r="Q931" t="str">
        <f>"Update Project Set Library_name = '"&amp;L931&amp;"' , COADD_ID = '"&amp;M931&amp;"' where Project_ID = '"&amp;A931&amp;"'; "</f>
        <v xml:space="preserve">Update Project Set Library_name = '' , COADD_ID = '' where Project_ID = 'P0933'; </v>
      </c>
    </row>
    <row r="932" spans="1:17">
      <c r="A932" t="s">
        <v>7937</v>
      </c>
      <c r="B932" t="s">
        <v>7487</v>
      </c>
      <c r="C932" t="s">
        <v>5633</v>
      </c>
      <c r="D932" t="s">
        <v>3040</v>
      </c>
      <c r="E932" t="s">
        <v>3039</v>
      </c>
      <c r="G932" t="s">
        <v>8893</v>
      </c>
      <c r="H932" t="s">
        <v>3654</v>
      </c>
      <c r="I932" t="s">
        <v>557</v>
      </c>
      <c r="K932" t="s">
        <v>7896</v>
      </c>
      <c r="P932" t="str">
        <f>"Update Project Set Organisation = '"&amp;H932&amp;"' where Project_ID = '"&amp;A932&amp;"'; "</f>
        <v xml:space="preserve">Update Project Set Organisation = 'Bergische Universität Wuppertal' where Project_ID = 'P0934'; </v>
      </c>
      <c r="Q932" t="str">
        <f>"Update Project Set Library_name = '"&amp;L932&amp;"' , COADD_ID = '"&amp;M932&amp;"' where Project_ID = '"&amp;A932&amp;"'; "</f>
        <v xml:space="preserve">Update Project Set Library_name = '' , COADD_ID = '' where Project_ID = 'P0934'; </v>
      </c>
    </row>
    <row r="933" spans="1:17">
      <c r="A933" t="s">
        <v>7939</v>
      </c>
      <c r="B933" t="s">
        <v>7938</v>
      </c>
      <c r="C933" t="s">
        <v>5633</v>
      </c>
      <c r="D933" t="s">
        <v>238</v>
      </c>
      <c r="E933" t="s">
        <v>237</v>
      </c>
      <c r="F933" t="s">
        <v>2089</v>
      </c>
      <c r="G933" t="s">
        <v>9192</v>
      </c>
      <c r="H933" t="s">
        <v>242</v>
      </c>
      <c r="I933" t="s">
        <v>117</v>
      </c>
      <c r="K933" t="s">
        <v>7896</v>
      </c>
      <c r="P933" t="str">
        <f>"Update Project Set Organisation = '"&amp;H933&amp;"' where Project_ID = '"&amp;A933&amp;"'; "</f>
        <v xml:space="preserve">Update Project Set Organisation = 'University of Puerto Rico Rio Piedras' where Project_ID = 'P0935'; </v>
      </c>
      <c r="Q933" t="str">
        <f>"Update Project Set Library_name = '"&amp;L933&amp;"' , COADD_ID = '"&amp;M933&amp;"' where Project_ID = '"&amp;A933&amp;"'; "</f>
        <v xml:space="preserve">Update Project Set Library_name = '' , COADD_ID = '' where Project_ID = 'P0935'; </v>
      </c>
    </row>
    <row r="934" spans="1:17">
      <c r="A934" t="s">
        <v>7941</v>
      </c>
      <c r="B934" t="s">
        <v>7940</v>
      </c>
      <c r="C934" t="s">
        <v>5633</v>
      </c>
      <c r="D934" t="s">
        <v>59</v>
      </c>
      <c r="E934" t="s">
        <v>89</v>
      </c>
      <c r="F934" t="s">
        <v>187</v>
      </c>
      <c r="G934" t="s">
        <v>9018</v>
      </c>
      <c r="H934" t="s">
        <v>5798</v>
      </c>
      <c r="I934" t="s">
        <v>55</v>
      </c>
      <c r="K934" t="s">
        <v>7896</v>
      </c>
      <c r="P934" t="str">
        <f>"Update Project Set Organisation = '"&amp;H934&amp;"' where Project_ID = '"&amp;A934&amp;"'; "</f>
        <v xml:space="preserve">Update Project Set Organisation = 'Modern University for Technology and Information' where Project_ID = 'P0936'; </v>
      </c>
      <c r="Q934" t="str">
        <f>"Update Project Set Library_name = '"&amp;L934&amp;"' , COADD_ID = '"&amp;M934&amp;"' where Project_ID = '"&amp;A934&amp;"'; "</f>
        <v xml:space="preserve">Update Project Set Library_name = '' , COADD_ID = '' where Project_ID = 'P0936'; </v>
      </c>
    </row>
    <row r="935" spans="1:17">
      <c r="A935" t="s">
        <v>7942</v>
      </c>
      <c r="B935" t="s">
        <v>7942</v>
      </c>
      <c r="C935" t="s">
        <v>5633</v>
      </c>
      <c r="D935" t="s">
        <v>1152</v>
      </c>
      <c r="E935" t="s">
        <v>3092</v>
      </c>
      <c r="F935" t="s">
        <v>3133</v>
      </c>
      <c r="G935" t="s">
        <v>9237</v>
      </c>
      <c r="H935" t="s">
        <v>1154</v>
      </c>
      <c r="I935" t="s">
        <v>269</v>
      </c>
      <c r="K935" t="s">
        <v>7896</v>
      </c>
      <c r="P935" t="str">
        <f>"Update Project Set Organisation = '"&amp;H935&amp;"' where Project_ID = '"&amp;A935&amp;"'; "</f>
        <v xml:space="preserve">Update Project Set Organisation = 'University of Warwick' where Project_ID = 'P0937'; </v>
      </c>
      <c r="Q935" t="str">
        <f>"Update Project Set Library_name = '"&amp;L935&amp;"' , COADD_ID = '"&amp;M935&amp;"' where Project_ID = '"&amp;A935&amp;"'; "</f>
        <v xml:space="preserve">Update Project Set Library_name = '' , COADD_ID = '' where Project_ID = 'P0937'; </v>
      </c>
    </row>
    <row r="936" spans="1:17">
      <c r="A936" t="s">
        <v>7944</v>
      </c>
      <c r="B936" t="s">
        <v>7943</v>
      </c>
      <c r="C936" t="s">
        <v>5633</v>
      </c>
      <c r="D936" t="s">
        <v>708</v>
      </c>
      <c r="E936" t="s">
        <v>707</v>
      </c>
      <c r="G936" t="s">
        <v>9061</v>
      </c>
      <c r="H936" t="s">
        <v>711</v>
      </c>
      <c r="I936" t="s">
        <v>609</v>
      </c>
      <c r="K936" t="s">
        <v>7896</v>
      </c>
      <c r="P936" t="str">
        <f>"Update Project Set Organisation = '"&amp;H936&amp;"' where Project_ID = '"&amp;A936&amp;"'; "</f>
        <v xml:space="preserve">Update Project Set Organisation = 'Rhodes University' where Project_ID = 'P0938'; </v>
      </c>
      <c r="Q936" t="str">
        <f>"Update Project Set Library_name = '"&amp;L936&amp;"' , COADD_ID = '"&amp;M936&amp;"' where Project_ID = '"&amp;A936&amp;"'; "</f>
        <v xml:space="preserve">Update Project Set Library_name = '' , COADD_ID = '' where Project_ID = 'P0938'; </v>
      </c>
    </row>
    <row r="937" spans="1:17">
      <c r="A937" t="s">
        <v>7946</v>
      </c>
      <c r="B937" t="s">
        <v>7945</v>
      </c>
      <c r="C937" t="s">
        <v>5633</v>
      </c>
      <c r="D937" t="s">
        <v>311</v>
      </c>
      <c r="E937" t="s">
        <v>586</v>
      </c>
      <c r="G937" t="s">
        <v>8986</v>
      </c>
      <c r="H937" t="s">
        <v>315</v>
      </c>
      <c r="I937" t="s">
        <v>318</v>
      </c>
      <c r="K937" t="s">
        <v>5843</v>
      </c>
      <c r="P937" t="str">
        <f>"Update Project Set Organisation = '"&amp;H937&amp;"' where Project_ID = '"&amp;A937&amp;"'; "</f>
        <v xml:space="preserve">Update Project Set Organisation = 'King Saud University' where Project_ID = 'P0939'; </v>
      </c>
      <c r="Q937" t="str">
        <f>"Update Project Set Library_name = '"&amp;L937&amp;"' , COADD_ID = '"&amp;M937&amp;"' where Project_ID = '"&amp;A937&amp;"'; "</f>
        <v xml:space="preserve">Update Project Set Library_name = '' , COADD_ID = '' where Project_ID = 'P0939'; </v>
      </c>
    </row>
    <row r="938" spans="1:17">
      <c r="A938" t="s">
        <v>7947</v>
      </c>
      <c r="B938" t="s">
        <v>7947</v>
      </c>
      <c r="C938" t="s">
        <v>5633</v>
      </c>
      <c r="D938" t="s">
        <v>1419</v>
      </c>
      <c r="E938" t="s">
        <v>1418</v>
      </c>
      <c r="G938" t="s">
        <v>9247</v>
      </c>
      <c r="H938" t="s">
        <v>1422</v>
      </c>
      <c r="I938" t="s">
        <v>14</v>
      </c>
      <c r="K938" t="s">
        <v>7896</v>
      </c>
      <c r="P938" t="str">
        <f>"Update Project Set Organisation = '"&amp;H938&amp;"' where Project_ID = '"&amp;A938&amp;"'; "</f>
        <v xml:space="preserve">Update Project Set Organisation = 'University of Wollongong' where Project_ID = 'P0940'; </v>
      </c>
      <c r="Q938" t="str">
        <f>"Update Project Set Library_name = '"&amp;L938&amp;"' , COADD_ID = '"&amp;M938&amp;"' where Project_ID = '"&amp;A938&amp;"'; "</f>
        <v xml:space="preserve">Update Project Set Library_name = '' , COADD_ID = '' where Project_ID = 'P0940'; </v>
      </c>
    </row>
    <row r="939" spans="1:17">
      <c r="A939" t="s">
        <v>7948</v>
      </c>
      <c r="B939" t="s">
        <v>7948</v>
      </c>
      <c r="C939" t="s">
        <v>5633</v>
      </c>
      <c r="D939" t="s">
        <v>2194</v>
      </c>
      <c r="E939" t="s">
        <v>5260</v>
      </c>
      <c r="G939" t="s">
        <v>9194</v>
      </c>
      <c r="H939" t="s">
        <v>362</v>
      </c>
      <c r="I939" t="s">
        <v>14</v>
      </c>
      <c r="K939" t="s">
        <v>7896</v>
      </c>
      <c r="P939" t="str">
        <f>"Update Project Set Organisation = '"&amp;H939&amp;"' where Project_ID = '"&amp;A939&amp;"'; "</f>
        <v xml:space="preserve">Update Project Set Organisation = 'University of Queensland' where Project_ID = 'P0941'; </v>
      </c>
      <c r="Q939" t="str">
        <f>"Update Project Set Library_name = '"&amp;L939&amp;"' , COADD_ID = '"&amp;M939&amp;"' where Project_ID = '"&amp;A939&amp;"'; "</f>
        <v xml:space="preserve">Update Project Set Library_name = '' , COADD_ID = '' where Project_ID = 'P0941'; </v>
      </c>
    </row>
    <row r="940" spans="1:17">
      <c r="A940" t="s">
        <v>7950</v>
      </c>
      <c r="B940" t="s">
        <v>7949</v>
      </c>
      <c r="C940" t="s">
        <v>5633</v>
      </c>
      <c r="D940" t="s">
        <v>1963</v>
      </c>
      <c r="E940" t="s">
        <v>1962</v>
      </c>
      <c r="G940" t="s">
        <v>8894</v>
      </c>
      <c r="H940" t="s">
        <v>1967</v>
      </c>
      <c r="I940" t="s">
        <v>117</v>
      </c>
      <c r="K940" t="s">
        <v>7896</v>
      </c>
      <c r="P940" t="str">
        <f>"Update Project Set Organisation = '"&amp;H940&amp;"' where Project_ID = '"&amp;A940&amp;"'; "</f>
        <v xml:space="preserve">Update Project Set Organisation = 'BioCipher LLC' where Project_ID = 'P0942'; </v>
      </c>
      <c r="Q940" t="str">
        <f>"Update Project Set Library_name = '"&amp;L940&amp;"' , COADD_ID = '"&amp;M940&amp;"' where Project_ID = '"&amp;A940&amp;"'; "</f>
        <v xml:space="preserve">Update Project Set Library_name = '' , COADD_ID = '' where Project_ID = 'P0942'; </v>
      </c>
    </row>
    <row r="941" spans="1:17">
      <c r="A941" t="s">
        <v>7952</v>
      </c>
      <c r="B941" t="s">
        <v>7951</v>
      </c>
      <c r="C941" t="s">
        <v>5633</v>
      </c>
      <c r="D941" t="s">
        <v>1929</v>
      </c>
      <c r="E941" t="s">
        <v>4944</v>
      </c>
      <c r="F941" t="s">
        <v>1928</v>
      </c>
      <c r="G941" t="s">
        <v>8974</v>
      </c>
      <c r="H941" t="s">
        <v>1932</v>
      </c>
      <c r="I941" t="s">
        <v>1934</v>
      </c>
      <c r="K941" t="s">
        <v>7896</v>
      </c>
      <c r="P941" t="str">
        <f>"Update Project Set Organisation = '"&amp;H941&amp;"' where Project_ID = '"&amp;A941&amp;"'; "</f>
        <v xml:space="preserve">Update Project Set Organisation = 'IPB University' where Project_ID = 'P0943'; </v>
      </c>
      <c r="Q941" t="str">
        <f>"Update Project Set Library_name = '"&amp;L941&amp;"' , COADD_ID = '"&amp;M941&amp;"' where Project_ID = '"&amp;A941&amp;"'; "</f>
        <v xml:space="preserve">Update Project Set Library_name = '' , COADD_ID = '' where Project_ID = 'P0943'; </v>
      </c>
    </row>
    <row r="942" spans="1:17">
      <c r="A942" t="s">
        <v>7954</v>
      </c>
      <c r="B942" t="s">
        <v>7953</v>
      </c>
      <c r="C942" t="s">
        <v>5633</v>
      </c>
      <c r="D942" t="s">
        <v>752</v>
      </c>
      <c r="E942" t="s">
        <v>3287</v>
      </c>
      <c r="F942" t="s">
        <v>4720</v>
      </c>
      <c r="G942" t="s">
        <v>8906</v>
      </c>
      <c r="H942" t="s">
        <v>755</v>
      </c>
      <c r="I942" t="s">
        <v>75</v>
      </c>
      <c r="K942" t="s">
        <v>7896</v>
      </c>
      <c r="P942" t="str">
        <f>"Update Project Set Organisation = '"&amp;H942&amp;"' where Project_ID = '"&amp;A942&amp;"'; "</f>
        <v xml:space="preserve">Update Project Set Organisation = 'Carleton University' where Project_ID = 'P0944'; </v>
      </c>
      <c r="Q942" t="str">
        <f>"Update Project Set Library_name = '"&amp;L942&amp;"' , COADD_ID = '"&amp;M942&amp;"' where Project_ID = '"&amp;A942&amp;"'; "</f>
        <v xml:space="preserve">Update Project Set Library_name = '' , COADD_ID = '' where Project_ID = 'P0944'; </v>
      </c>
    </row>
    <row r="943" spans="1:17">
      <c r="A943" t="s">
        <v>7956</v>
      </c>
      <c r="C943" t="s">
        <v>5633</v>
      </c>
      <c r="D943" t="s">
        <v>495</v>
      </c>
      <c r="E943" t="s">
        <v>494</v>
      </c>
      <c r="G943" t="s">
        <v>9181</v>
      </c>
      <c r="H943" t="s">
        <v>499</v>
      </c>
      <c r="I943" t="s">
        <v>7955</v>
      </c>
      <c r="K943" t="s">
        <v>7896</v>
      </c>
      <c r="P943" t="str">
        <f>"Update Project Set Organisation = '"&amp;H943&amp;"' where Project_ID = '"&amp;A943&amp;"'; "</f>
        <v xml:space="preserve">Update Project Set Organisation = 'University of North Carolina at Chapel Hill' where Project_ID = 'P0945'; </v>
      </c>
      <c r="Q943" t="str">
        <f>"Update Project Set Library_name = '"&amp;L943&amp;"' , COADD_ID = '"&amp;M943&amp;"' where Project_ID = '"&amp;A943&amp;"'; "</f>
        <v xml:space="preserve">Update Project Set Library_name = '' , COADD_ID = '' where Project_ID = 'P0945'; </v>
      </c>
    </row>
    <row r="944" spans="1:17">
      <c r="A944" t="s">
        <v>7958</v>
      </c>
      <c r="B944" t="s">
        <v>7957</v>
      </c>
      <c r="C944" t="s">
        <v>5762</v>
      </c>
      <c r="D944" t="s">
        <v>727</v>
      </c>
      <c r="E944" t="s">
        <v>3250</v>
      </c>
      <c r="F944" t="s">
        <v>3250</v>
      </c>
      <c r="G944" t="s">
        <v>8917</v>
      </c>
      <c r="H944" t="s">
        <v>731</v>
      </c>
      <c r="I944" t="s">
        <v>14</v>
      </c>
      <c r="K944" t="s">
        <v>5843</v>
      </c>
      <c r="P944" t="str">
        <f>"Update Project Set Organisation = '"&amp;H944&amp;"' where Project_ID = '"&amp;A944&amp;"'; "</f>
        <v xml:space="preserve">Update Project Set Organisation = 'Commonwealth Scientific and Industrial Research (CSIRO)' where Project_ID = 'P0950'; </v>
      </c>
      <c r="Q944" t="str">
        <f>"Update Project Set Library_name = '"&amp;L944&amp;"' , COADD_ID = '"&amp;M944&amp;"' where Project_ID = '"&amp;A944&amp;"'; "</f>
        <v xml:space="preserve">Update Project Set Library_name = '' , COADD_ID = '' where Project_ID = 'P0950'; </v>
      </c>
    </row>
    <row r="945" spans="1:17">
      <c r="A945" t="s">
        <v>7959</v>
      </c>
      <c r="C945" t="s">
        <v>5633</v>
      </c>
      <c r="D945" t="s">
        <v>1758</v>
      </c>
      <c r="E945" t="s">
        <v>1757</v>
      </c>
      <c r="G945" t="s">
        <v>9211</v>
      </c>
      <c r="H945" t="s">
        <v>1760</v>
      </c>
      <c r="I945" t="s">
        <v>1763</v>
      </c>
      <c r="K945" t="s">
        <v>7896</v>
      </c>
      <c r="P945" t="str">
        <f>"Update Project Set Organisation = '"&amp;H945&amp;"' where Project_ID = '"&amp;A945&amp;"'; "</f>
        <v xml:space="preserve">Update Project Set Organisation = 'University of Sharjah' where Project_ID = 'P0951'; </v>
      </c>
      <c r="Q945" t="str">
        <f>"Update Project Set Library_name = '"&amp;L945&amp;"' , COADD_ID = '"&amp;M945&amp;"' where Project_ID = '"&amp;A945&amp;"'; "</f>
        <v xml:space="preserve">Update Project Set Library_name = '' , COADD_ID = '' where Project_ID = 'P0951'; </v>
      </c>
    </row>
    <row r="946" spans="1:17">
      <c r="A946" t="s">
        <v>7961</v>
      </c>
      <c r="B946" t="s">
        <v>7960</v>
      </c>
      <c r="C946" t="s">
        <v>5633</v>
      </c>
      <c r="D946" t="s">
        <v>59</v>
      </c>
      <c r="E946" t="s">
        <v>89</v>
      </c>
      <c r="G946" t="s">
        <v>9018</v>
      </c>
      <c r="H946" t="s">
        <v>5798</v>
      </c>
      <c r="I946" t="s">
        <v>55</v>
      </c>
      <c r="K946" t="s">
        <v>7896</v>
      </c>
      <c r="P946" t="str">
        <f>"Update Project Set Organisation = '"&amp;H946&amp;"' where Project_ID = '"&amp;A946&amp;"'; "</f>
        <v xml:space="preserve">Update Project Set Organisation = 'Modern University for Technology and Information' where Project_ID = 'P0952'; </v>
      </c>
      <c r="Q946" t="str">
        <f>"Update Project Set Library_name = '"&amp;L946&amp;"' , COADD_ID = '"&amp;M946&amp;"' where Project_ID = '"&amp;A946&amp;"'; "</f>
        <v xml:space="preserve">Update Project Set Library_name = '' , COADD_ID = '' where Project_ID = 'P0952'; </v>
      </c>
    </row>
    <row r="947" spans="1:17">
      <c r="A947" t="s">
        <v>7962</v>
      </c>
      <c r="C947" t="s">
        <v>5633</v>
      </c>
      <c r="D947" t="s">
        <v>17</v>
      </c>
      <c r="E947" t="s">
        <v>3377</v>
      </c>
      <c r="G947" t="s">
        <v>9170</v>
      </c>
      <c r="H947" t="s">
        <v>22</v>
      </c>
      <c r="I947" t="s">
        <v>25</v>
      </c>
      <c r="K947" t="s">
        <v>7896</v>
      </c>
      <c r="P947" t="str">
        <f>"Update Project Set Organisation = '"&amp;H947&amp;"' where Project_ID = '"&amp;A947&amp;"'; "</f>
        <v xml:space="preserve">Update Project Set Organisation = 'University of Mosul' where Project_ID = 'P0953'; </v>
      </c>
      <c r="Q947" t="str">
        <f>"Update Project Set Library_name = '"&amp;L947&amp;"' , COADD_ID = '"&amp;M947&amp;"' where Project_ID = '"&amp;A947&amp;"'; "</f>
        <v xml:space="preserve">Update Project Set Library_name = '' , COADD_ID = '' where Project_ID = 'P0953'; </v>
      </c>
    </row>
    <row r="948" spans="1:17">
      <c r="A948" t="s">
        <v>7963</v>
      </c>
      <c r="C948" t="s">
        <v>5633</v>
      </c>
      <c r="D948" t="s">
        <v>2194</v>
      </c>
      <c r="E948" t="s">
        <v>5260</v>
      </c>
      <c r="G948" t="s">
        <v>9194</v>
      </c>
      <c r="H948" t="s">
        <v>362</v>
      </c>
      <c r="I948" t="s">
        <v>14</v>
      </c>
      <c r="K948" t="s">
        <v>7896</v>
      </c>
      <c r="P948" t="str">
        <f>"Update Project Set Organisation = '"&amp;H948&amp;"' where Project_ID = '"&amp;A948&amp;"'; "</f>
        <v xml:space="preserve">Update Project Set Organisation = 'University of Queensland' where Project_ID = 'P0954'; </v>
      </c>
      <c r="Q948" t="str">
        <f>"Update Project Set Library_name = '"&amp;L948&amp;"' , COADD_ID = '"&amp;M948&amp;"' where Project_ID = '"&amp;A948&amp;"'; "</f>
        <v xml:space="preserve">Update Project Set Library_name = '' , COADD_ID = '' where Project_ID = 'P0954'; </v>
      </c>
    </row>
    <row r="949" spans="1:17">
      <c r="A949" t="s">
        <v>7964</v>
      </c>
      <c r="C949" t="s">
        <v>5633</v>
      </c>
      <c r="D949" t="s">
        <v>1758</v>
      </c>
      <c r="E949" t="s">
        <v>1757</v>
      </c>
      <c r="G949" t="s">
        <v>9211</v>
      </c>
      <c r="H949" t="s">
        <v>1760</v>
      </c>
      <c r="I949" t="s">
        <v>1763</v>
      </c>
      <c r="K949" t="s">
        <v>7896</v>
      </c>
      <c r="P949" t="str">
        <f>"Update Project Set Organisation = '"&amp;H949&amp;"' where Project_ID = '"&amp;A949&amp;"'; "</f>
        <v xml:space="preserve">Update Project Set Organisation = 'University of Sharjah' where Project_ID = 'P0955'; </v>
      </c>
      <c r="Q949" t="str">
        <f>"Update Project Set Library_name = '"&amp;L949&amp;"' , COADD_ID = '"&amp;M949&amp;"' where Project_ID = '"&amp;A949&amp;"'; "</f>
        <v xml:space="preserve">Update Project Set Library_name = '' , COADD_ID = '' where Project_ID = 'P0955'; </v>
      </c>
    </row>
    <row r="950" spans="1:17">
      <c r="A950" t="s">
        <v>7966</v>
      </c>
      <c r="B950" t="s">
        <v>7965</v>
      </c>
      <c r="C950" t="s">
        <v>5633</v>
      </c>
      <c r="D950" t="s">
        <v>68</v>
      </c>
      <c r="E950" t="s">
        <v>3909</v>
      </c>
      <c r="G950" t="s">
        <v>9191</v>
      </c>
      <c r="H950" t="s">
        <v>72</v>
      </c>
      <c r="I950" t="s">
        <v>75</v>
      </c>
      <c r="K950" t="s">
        <v>7896</v>
      </c>
      <c r="P950" t="str">
        <f>"Update Project Set Organisation = '"&amp;H950&amp;"' where Project_ID = '"&amp;A950&amp;"'; "</f>
        <v xml:space="preserve">Update Project Set Organisation = 'University of Prince Edward Island' where Project_ID = 'P0956'; </v>
      </c>
      <c r="Q950" t="str">
        <f>"Update Project Set Library_name = '"&amp;L950&amp;"' , COADD_ID = '"&amp;M950&amp;"' where Project_ID = '"&amp;A950&amp;"'; "</f>
        <v xml:space="preserve">Update Project Set Library_name = '' , COADD_ID = '' where Project_ID = 'P0956'; </v>
      </c>
    </row>
    <row r="951" spans="1:17">
      <c r="A951" t="s">
        <v>7968</v>
      </c>
      <c r="B951" t="s">
        <v>7967</v>
      </c>
      <c r="C951" t="s">
        <v>5633</v>
      </c>
      <c r="D951" t="s">
        <v>1535</v>
      </c>
      <c r="E951" t="s">
        <v>1534</v>
      </c>
      <c r="G951" t="s">
        <v>9176</v>
      </c>
      <c r="H951" t="s">
        <v>1539</v>
      </c>
      <c r="I951" t="s">
        <v>117</v>
      </c>
      <c r="K951" t="s">
        <v>5837</v>
      </c>
      <c r="P951" t="str">
        <f>"Update Project Set Organisation = '"&amp;H951&amp;"' where Project_ID = '"&amp;A951&amp;"'; "</f>
        <v xml:space="preserve">Update Project Set Organisation = 'University of New England' where Project_ID = 'P0957'; </v>
      </c>
      <c r="Q951" t="str">
        <f>"Update Project Set Library_name = '"&amp;L951&amp;"' , COADD_ID = '"&amp;M951&amp;"' where Project_ID = '"&amp;A951&amp;"'; "</f>
        <v xml:space="preserve">Update Project Set Library_name = '' , COADD_ID = '' where Project_ID = 'P0957'; </v>
      </c>
    </row>
    <row r="952" spans="1:17">
      <c r="A952" t="s">
        <v>7970</v>
      </c>
      <c r="B952" t="s">
        <v>7969</v>
      </c>
      <c r="C952" t="s">
        <v>5633</v>
      </c>
      <c r="D952" t="s">
        <v>247</v>
      </c>
      <c r="E952" t="s">
        <v>697</v>
      </c>
      <c r="F952" t="s">
        <v>246</v>
      </c>
      <c r="G952" t="s">
        <v>9011</v>
      </c>
      <c r="H952" t="s">
        <v>250</v>
      </c>
      <c r="I952" t="s">
        <v>253</v>
      </c>
      <c r="K952" t="s">
        <v>5837</v>
      </c>
      <c r="P952" t="str">
        <f>"Update Project Set Organisation = '"&amp;H952&amp;"' where Project_ID = '"&amp;A952&amp;"'; "</f>
        <v xml:space="preserve">Update Project Set Organisation = 'Medicines for Malaria Venture (MMV)' where Project_ID = 'P0958'; </v>
      </c>
      <c r="Q952" t="str">
        <f>"Update Project Set Library_name = '"&amp;L952&amp;"' , COADD_ID = '"&amp;M952&amp;"' where Project_ID = '"&amp;A952&amp;"'; "</f>
        <v xml:space="preserve">Update Project Set Library_name = '' , COADD_ID = '' where Project_ID = 'P0958'; </v>
      </c>
    </row>
    <row r="953" spans="1:17">
      <c r="A953" t="s">
        <v>7972</v>
      </c>
      <c r="B953" t="s">
        <v>7971</v>
      </c>
      <c r="C953" t="s">
        <v>5633</v>
      </c>
      <c r="D953" t="s">
        <v>2318</v>
      </c>
      <c r="E953" t="s">
        <v>2317</v>
      </c>
      <c r="G953" t="s">
        <v>9149</v>
      </c>
      <c r="H953" t="s">
        <v>2321</v>
      </c>
      <c r="I953" t="s">
        <v>269</v>
      </c>
      <c r="K953" t="s">
        <v>7896</v>
      </c>
      <c r="P953" t="str">
        <f>"Update Project Set Organisation = '"&amp;H953&amp;"' where Project_ID = '"&amp;A953&amp;"'; "</f>
        <v xml:space="preserve">Update Project Set Organisation = 'University of Dundee' where Project_ID = 'P0959'; </v>
      </c>
      <c r="Q953" t="str">
        <f>"Update Project Set Library_name = '"&amp;L953&amp;"' , COADD_ID = '"&amp;M953&amp;"' where Project_ID = '"&amp;A953&amp;"'; "</f>
        <v xml:space="preserve">Update Project Set Library_name = '' , COADD_ID = '' where Project_ID = 'P0959'; </v>
      </c>
    </row>
    <row r="954" spans="1:17">
      <c r="A954" t="s">
        <v>7973</v>
      </c>
      <c r="C954" t="s">
        <v>5633</v>
      </c>
      <c r="D954" t="s">
        <v>1758</v>
      </c>
      <c r="E954" t="s">
        <v>1757</v>
      </c>
      <c r="G954" t="s">
        <v>9211</v>
      </c>
      <c r="H954" t="s">
        <v>1760</v>
      </c>
      <c r="I954" t="s">
        <v>1763</v>
      </c>
      <c r="K954" t="s">
        <v>7896</v>
      </c>
      <c r="P954" t="str">
        <f>"Update Project Set Organisation = '"&amp;H954&amp;"' where Project_ID = '"&amp;A954&amp;"'; "</f>
        <v xml:space="preserve">Update Project Set Organisation = 'University of Sharjah' where Project_ID = 'P0960'; </v>
      </c>
      <c r="Q954" t="str">
        <f>"Update Project Set Library_name = '"&amp;L954&amp;"' , COADD_ID = '"&amp;M954&amp;"' where Project_ID = '"&amp;A954&amp;"'; "</f>
        <v xml:space="preserve">Update Project Set Library_name = '' , COADD_ID = '' where Project_ID = 'P0960'; </v>
      </c>
    </row>
    <row r="955" spans="1:17">
      <c r="A955" t="s">
        <v>7974</v>
      </c>
      <c r="C955" t="s">
        <v>5633</v>
      </c>
      <c r="D955" t="s">
        <v>2163</v>
      </c>
      <c r="E955" t="s">
        <v>2162</v>
      </c>
      <c r="G955" t="s">
        <v>9089</v>
      </c>
      <c r="H955" t="s">
        <v>2167</v>
      </c>
      <c r="I955" t="s">
        <v>557</v>
      </c>
      <c r="K955" t="s">
        <v>7896</v>
      </c>
      <c r="P955" t="str">
        <f>"Update Project Set Organisation = '"&amp;H955&amp;"' where Project_ID = '"&amp;A955&amp;"'; "</f>
        <v xml:space="preserve">Update Project Set Organisation = 'Technische Universität Braunschweig' where Project_ID = 'P0961'; </v>
      </c>
      <c r="Q955" t="str">
        <f>"Update Project Set Library_name = '"&amp;L955&amp;"' , COADD_ID = '"&amp;M955&amp;"' where Project_ID = '"&amp;A955&amp;"'; "</f>
        <v xml:space="preserve">Update Project Set Library_name = '' , COADD_ID = '' where Project_ID = 'P0961'; </v>
      </c>
    </row>
    <row r="956" spans="1:17">
      <c r="A956" t="s">
        <v>7976</v>
      </c>
      <c r="B956" t="s">
        <v>7975</v>
      </c>
      <c r="C956" t="s">
        <v>5633</v>
      </c>
      <c r="D956" t="s">
        <v>2660</v>
      </c>
      <c r="E956" t="s">
        <v>2659</v>
      </c>
      <c r="F956" t="s">
        <v>5425</v>
      </c>
      <c r="G956" t="s">
        <v>9074</v>
      </c>
      <c r="H956" t="s">
        <v>2663</v>
      </c>
      <c r="I956" t="s">
        <v>211</v>
      </c>
      <c r="K956" t="s">
        <v>7896</v>
      </c>
      <c r="P956" t="str">
        <f>"Update Project Set Organisation = '"&amp;H956&amp;"' where Project_ID = '"&amp;A956&amp;"'; "</f>
        <v xml:space="preserve">Update Project Set Organisation = 'Savitribai Phule Pune University' where Project_ID = 'P0962'; </v>
      </c>
      <c r="Q956" t="str">
        <f>"Update Project Set Library_name = '"&amp;L956&amp;"' , COADD_ID = '"&amp;M956&amp;"' where Project_ID = '"&amp;A956&amp;"'; "</f>
        <v xml:space="preserve">Update Project Set Library_name = '' , COADD_ID = '' where Project_ID = 'P0962'; </v>
      </c>
    </row>
    <row r="957" spans="1:17">
      <c r="A957" t="s">
        <v>7978</v>
      </c>
      <c r="B957" t="s">
        <v>7977</v>
      </c>
      <c r="C957" t="s">
        <v>5633</v>
      </c>
      <c r="D957" t="s">
        <v>403</v>
      </c>
      <c r="E957" t="s">
        <v>3181</v>
      </c>
      <c r="F957" t="s">
        <v>4843</v>
      </c>
      <c r="G957" t="s">
        <v>9159</v>
      </c>
      <c r="H957" t="s">
        <v>5799</v>
      </c>
      <c r="I957" t="s">
        <v>408</v>
      </c>
      <c r="K957" t="s">
        <v>7896</v>
      </c>
      <c r="P957" t="str">
        <f>"Update Project Set Organisation = '"&amp;H957&amp;"' where Project_ID = '"&amp;A957&amp;"'; "</f>
        <v xml:space="preserve">Update Project Set Organisation = 'University of Lisbon' where Project_ID = 'P0963'; </v>
      </c>
      <c r="Q957" t="str">
        <f>"Update Project Set Library_name = '"&amp;L957&amp;"' , COADD_ID = '"&amp;M957&amp;"' where Project_ID = '"&amp;A957&amp;"'; "</f>
        <v xml:space="preserve">Update Project Set Library_name = '' , COADD_ID = '' where Project_ID = 'P0963'; </v>
      </c>
    </row>
    <row r="958" spans="1:17">
      <c r="A958" t="s">
        <v>7979</v>
      </c>
      <c r="C958" t="s">
        <v>5633</v>
      </c>
      <c r="D958" t="s">
        <v>2194</v>
      </c>
      <c r="E958" t="s">
        <v>4382</v>
      </c>
      <c r="G958" t="s">
        <v>9194</v>
      </c>
      <c r="H958" t="s">
        <v>362</v>
      </c>
      <c r="I958" t="s">
        <v>14</v>
      </c>
      <c r="K958" t="s">
        <v>7896</v>
      </c>
      <c r="P958" t="str">
        <f>"Update Project Set Organisation = '"&amp;H958&amp;"' where Project_ID = '"&amp;A958&amp;"'; "</f>
        <v xml:space="preserve">Update Project Set Organisation = 'University of Queensland' where Project_ID = 'P0964'; </v>
      </c>
      <c r="Q958" t="str">
        <f>"Update Project Set Library_name = '"&amp;L958&amp;"' , COADD_ID = '"&amp;M958&amp;"' where Project_ID = '"&amp;A958&amp;"'; "</f>
        <v xml:space="preserve">Update Project Set Library_name = '' , COADD_ID = '' where Project_ID = 'P0964'; </v>
      </c>
    </row>
    <row r="959" spans="1:17">
      <c r="A959" t="s">
        <v>7980</v>
      </c>
      <c r="B959" t="s">
        <v>1362</v>
      </c>
      <c r="C959" t="s">
        <v>5633</v>
      </c>
      <c r="D959" t="s">
        <v>1172</v>
      </c>
      <c r="E959" t="s">
        <v>1688</v>
      </c>
      <c r="G959" t="s">
        <v>9197</v>
      </c>
      <c r="H959" t="s">
        <v>362</v>
      </c>
      <c r="I959" t="s">
        <v>14</v>
      </c>
      <c r="K959" t="s">
        <v>7896</v>
      </c>
      <c r="P959" t="str">
        <f>"Update Project Set Organisation = '"&amp;H959&amp;"' where Project_ID = '"&amp;A959&amp;"'; "</f>
        <v xml:space="preserve">Update Project Set Organisation = 'University of Queensland' where Project_ID = 'P0965'; </v>
      </c>
      <c r="Q959" t="str">
        <f>"Update Project Set Library_name = '"&amp;L959&amp;"' , COADD_ID = '"&amp;M959&amp;"' where Project_ID = '"&amp;A959&amp;"'; "</f>
        <v xml:space="preserve">Update Project Set Library_name = '' , COADD_ID = '' where Project_ID = 'P0965'; </v>
      </c>
    </row>
    <row r="960" spans="1:17">
      <c r="A960" t="s">
        <v>7982</v>
      </c>
      <c r="B960" t="s">
        <v>7981</v>
      </c>
      <c r="C960" t="s">
        <v>5633</v>
      </c>
      <c r="D960" t="s">
        <v>862</v>
      </c>
      <c r="E960" t="s">
        <v>861</v>
      </c>
      <c r="F960" t="s">
        <v>2100</v>
      </c>
      <c r="G960" t="s">
        <v>9189</v>
      </c>
      <c r="H960" t="s">
        <v>865</v>
      </c>
      <c r="I960" t="s">
        <v>408</v>
      </c>
      <c r="K960" t="s">
        <v>7896</v>
      </c>
      <c r="P960" t="str">
        <f>"Update Project Set Organisation = '"&amp;H960&amp;"' where Project_ID = '"&amp;A960&amp;"'; "</f>
        <v xml:space="preserve">Update Project Set Organisation = 'University of Porto' where Project_ID = 'P0966'; </v>
      </c>
      <c r="Q960" t="str">
        <f>"Update Project Set Library_name = '"&amp;L960&amp;"' , COADD_ID = '"&amp;M960&amp;"' where Project_ID = '"&amp;A960&amp;"'; "</f>
        <v xml:space="preserve">Update Project Set Library_name = '' , COADD_ID = '' where Project_ID = 'P0966'; </v>
      </c>
    </row>
    <row r="961" spans="1:17">
      <c r="A961" t="s">
        <v>7984</v>
      </c>
      <c r="B961" t="s">
        <v>7983</v>
      </c>
      <c r="C961" t="s">
        <v>5633</v>
      </c>
      <c r="D961" t="s">
        <v>4578</v>
      </c>
      <c r="E961" t="s">
        <v>4577</v>
      </c>
      <c r="G961" t="s">
        <v>9008</v>
      </c>
      <c r="H961" t="s">
        <v>4580</v>
      </c>
      <c r="I961" t="s">
        <v>75</v>
      </c>
      <c r="K961" t="s">
        <v>7896</v>
      </c>
      <c r="P961" t="str">
        <f>"Update Project Set Organisation = '"&amp;H961&amp;"' where Project_ID = '"&amp;A961&amp;"'; "</f>
        <v xml:space="preserve">Update Project Set Organisation = 'McGill University' where Project_ID = 'P0967'; </v>
      </c>
      <c r="Q961" t="str">
        <f>"Update Project Set Library_name = '"&amp;L961&amp;"' , COADD_ID = '"&amp;M961&amp;"' where Project_ID = '"&amp;A961&amp;"'; "</f>
        <v xml:space="preserve">Update Project Set Library_name = '' , COADD_ID = '' where Project_ID = 'P0967'; </v>
      </c>
    </row>
    <row r="962" spans="1:17">
      <c r="A962" t="s">
        <v>7985</v>
      </c>
      <c r="C962" t="s">
        <v>5633</v>
      </c>
      <c r="D962" t="s">
        <v>3326</v>
      </c>
      <c r="E962" t="s">
        <v>3890</v>
      </c>
      <c r="F962" t="s">
        <v>5166</v>
      </c>
      <c r="G962" t="s">
        <v>9118</v>
      </c>
      <c r="H962" t="s">
        <v>1234</v>
      </c>
      <c r="I962" t="s">
        <v>1235</v>
      </c>
      <c r="K962" t="s">
        <v>7896</v>
      </c>
      <c r="P962" t="str">
        <f>"Update Project Set Organisation = '"&amp;H962&amp;"' where Project_ID = '"&amp;A962&amp;"'; "</f>
        <v xml:space="preserve">Update Project Set Organisation = 'University College Cork' where Project_ID = 'P0968'; </v>
      </c>
      <c r="Q962" t="str">
        <f>"Update Project Set Library_name = '"&amp;L962&amp;"' , COADD_ID = '"&amp;M962&amp;"' where Project_ID = '"&amp;A962&amp;"'; "</f>
        <v xml:space="preserve">Update Project Set Library_name = '' , COADD_ID = '' where Project_ID = 'P0968'; </v>
      </c>
    </row>
    <row r="963" spans="1:17">
      <c r="A963" t="s">
        <v>7987</v>
      </c>
      <c r="B963" t="s">
        <v>7986</v>
      </c>
      <c r="C963" t="s">
        <v>5633</v>
      </c>
      <c r="D963" t="s">
        <v>2457</v>
      </c>
      <c r="E963" t="s">
        <v>3823</v>
      </c>
      <c r="G963" t="s">
        <v>8934</v>
      </c>
      <c r="H963" t="s">
        <v>823</v>
      </c>
      <c r="I963" t="s">
        <v>253</v>
      </c>
      <c r="K963" t="s">
        <v>7896</v>
      </c>
      <c r="P963" t="str">
        <f>"Update Project Set Organisation = '"&amp;H963&amp;"' where Project_ID = '"&amp;A963&amp;"'; "</f>
        <v xml:space="preserve">Update Project Set Organisation = 'ETH Zurich' where Project_ID = 'P0969'; </v>
      </c>
      <c r="Q963" t="str">
        <f>"Update Project Set Library_name = '"&amp;L963&amp;"' , COADD_ID = '"&amp;M963&amp;"' where Project_ID = '"&amp;A963&amp;"'; "</f>
        <v xml:space="preserve">Update Project Set Library_name = '' , COADD_ID = '' where Project_ID = 'P0969'; </v>
      </c>
    </row>
    <row r="964" spans="1:17">
      <c r="A964" t="s">
        <v>7988</v>
      </c>
      <c r="B964" t="s">
        <v>7981</v>
      </c>
      <c r="C964" t="s">
        <v>5633</v>
      </c>
      <c r="D964" t="s">
        <v>862</v>
      </c>
      <c r="E964" t="s">
        <v>861</v>
      </c>
      <c r="F964" t="s">
        <v>2100</v>
      </c>
      <c r="G964" t="s">
        <v>9189</v>
      </c>
      <c r="H964" t="s">
        <v>865</v>
      </c>
      <c r="I964" t="s">
        <v>408</v>
      </c>
      <c r="K964" t="s">
        <v>7896</v>
      </c>
      <c r="P964" t="str">
        <f>"Update Project Set Organisation = '"&amp;H964&amp;"' where Project_ID = '"&amp;A964&amp;"'; "</f>
        <v xml:space="preserve">Update Project Set Organisation = 'University of Porto' where Project_ID = 'P0970'; </v>
      </c>
      <c r="Q964" t="str">
        <f>"Update Project Set Library_name = '"&amp;L964&amp;"' , COADD_ID = '"&amp;M964&amp;"' where Project_ID = '"&amp;A964&amp;"'; "</f>
        <v xml:space="preserve">Update Project Set Library_name = '' , COADD_ID = '' where Project_ID = 'P0970'; </v>
      </c>
    </row>
    <row r="965" spans="1:17">
      <c r="A965" t="s">
        <v>7989</v>
      </c>
      <c r="B965" t="s">
        <v>7949</v>
      </c>
      <c r="C965" t="s">
        <v>5633</v>
      </c>
      <c r="D965" t="s">
        <v>1963</v>
      </c>
      <c r="E965" t="s">
        <v>1962</v>
      </c>
      <c r="G965" t="s">
        <v>8894</v>
      </c>
      <c r="H965" t="s">
        <v>1967</v>
      </c>
      <c r="I965" t="s">
        <v>117</v>
      </c>
      <c r="K965" t="s">
        <v>7896</v>
      </c>
      <c r="P965" t="str">
        <f>"Update Project Set Organisation = '"&amp;H965&amp;"' where Project_ID = '"&amp;A965&amp;"'; "</f>
        <v xml:space="preserve">Update Project Set Organisation = 'BioCipher LLC' where Project_ID = 'P0971'; </v>
      </c>
      <c r="Q965" t="str">
        <f>"Update Project Set Library_name = '"&amp;L965&amp;"' , COADD_ID = '"&amp;M965&amp;"' where Project_ID = '"&amp;A965&amp;"'; "</f>
        <v xml:space="preserve">Update Project Set Library_name = '' , COADD_ID = '' where Project_ID = 'P0971'; </v>
      </c>
    </row>
    <row r="966" spans="1:17">
      <c r="A966" t="s">
        <v>7990</v>
      </c>
      <c r="B966" t="s">
        <v>7866</v>
      </c>
      <c r="C966" t="s">
        <v>5633</v>
      </c>
      <c r="D966" t="s">
        <v>2002</v>
      </c>
      <c r="E966" t="s">
        <v>5479</v>
      </c>
      <c r="F966" t="s">
        <v>2001</v>
      </c>
      <c r="G966" t="s">
        <v>9204</v>
      </c>
      <c r="H966" t="s">
        <v>362</v>
      </c>
      <c r="I966" t="s">
        <v>14</v>
      </c>
      <c r="K966" t="s">
        <v>7896</v>
      </c>
      <c r="P966" t="str">
        <f>"Update Project Set Organisation = '"&amp;H966&amp;"' where Project_ID = '"&amp;A966&amp;"'; "</f>
        <v xml:space="preserve">Update Project Set Organisation = 'University of Queensland' where Project_ID = 'P0972'; </v>
      </c>
      <c r="Q966" t="str">
        <f>"Update Project Set Library_name = '"&amp;L966&amp;"' , COADD_ID = '"&amp;M966&amp;"' where Project_ID = '"&amp;A966&amp;"'; "</f>
        <v xml:space="preserve">Update Project Set Library_name = '' , COADD_ID = '' where Project_ID = 'P0972'; </v>
      </c>
    </row>
    <row r="967" spans="1:17">
      <c r="A967" t="s">
        <v>7992</v>
      </c>
      <c r="B967" t="s">
        <v>7991</v>
      </c>
      <c r="C967" t="s">
        <v>5633</v>
      </c>
      <c r="D967" t="s">
        <v>708</v>
      </c>
      <c r="E967" t="s">
        <v>707</v>
      </c>
      <c r="G967" t="s">
        <v>9061</v>
      </c>
      <c r="H967" t="s">
        <v>711</v>
      </c>
      <c r="I967" t="s">
        <v>609</v>
      </c>
      <c r="K967" t="s">
        <v>7896</v>
      </c>
      <c r="P967" t="str">
        <f>"Update Project Set Organisation = '"&amp;H967&amp;"' where Project_ID = '"&amp;A967&amp;"'; "</f>
        <v xml:space="preserve">Update Project Set Organisation = 'Rhodes University' where Project_ID = 'P0973'; </v>
      </c>
      <c r="Q967" t="str">
        <f>"Update Project Set Library_name = '"&amp;L967&amp;"' , COADD_ID = '"&amp;M967&amp;"' where Project_ID = '"&amp;A967&amp;"'; "</f>
        <v xml:space="preserve">Update Project Set Library_name = '' , COADD_ID = '' where Project_ID = 'P0973'; </v>
      </c>
    </row>
    <row r="968" spans="1:17">
      <c r="A968" t="s">
        <v>7993</v>
      </c>
      <c r="C968" t="s">
        <v>5633</v>
      </c>
      <c r="D968" t="s">
        <v>2475</v>
      </c>
      <c r="E968" t="s">
        <v>3832</v>
      </c>
      <c r="F968" t="s">
        <v>2474</v>
      </c>
      <c r="G968" t="s">
        <v>9213</v>
      </c>
      <c r="H968" t="s">
        <v>2479</v>
      </c>
      <c r="I968" t="s">
        <v>14</v>
      </c>
      <c r="K968" t="s">
        <v>7896</v>
      </c>
      <c r="P968" t="str">
        <f>"Update Project Set Organisation = '"&amp;H968&amp;"' where Project_ID = '"&amp;A968&amp;"'; "</f>
        <v xml:space="preserve">Update Project Set Organisation = 'University of South Australia' where Project_ID = 'P0974'; </v>
      </c>
      <c r="Q968" t="str">
        <f>"Update Project Set Library_name = '"&amp;L968&amp;"' , COADD_ID = '"&amp;M968&amp;"' where Project_ID = '"&amp;A968&amp;"'; "</f>
        <v xml:space="preserve">Update Project Set Library_name = '' , COADD_ID = '' where Project_ID = 'P0974'; </v>
      </c>
    </row>
    <row r="969" spans="1:17">
      <c r="A969" t="s">
        <v>7995</v>
      </c>
      <c r="B969" t="s">
        <v>7994</v>
      </c>
      <c r="C969" t="s">
        <v>5633</v>
      </c>
      <c r="D969" t="s">
        <v>2318</v>
      </c>
      <c r="E969" t="s">
        <v>2317</v>
      </c>
      <c r="G969" t="s">
        <v>9149</v>
      </c>
      <c r="H969" t="s">
        <v>2321</v>
      </c>
      <c r="I969" t="s">
        <v>269</v>
      </c>
      <c r="K969" t="s">
        <v>7896</v>
      </c>
      <c r="P969" t="str">
        <f>"Update Project Set Organisation = '"&amp;H969&amp;"' where Project_ID = '"&amp;A969&amp;"'; "</f>
        <v xml:space="preserve">Update Project Set Organisation = 'University of Dundee' where Project_ID = 'P0975'; </v>
      </c>
      <c r="Q969" t="str">
        <f>"Update Project Set Library_name = '"&amp;L969&amp;"' , COADD_ID = '"&amp;M969&amp;"' where Project_ID = '"&amp;A969&amp;"'; "</f>
        <v xml:space="preserve">Update Project Set Library_name = '' , COADD_ID = '' where Project_ID = 'P0975'; </v>
      </c>
    </row>
    <row r="970" spans="1:17">
      <c r="A970" t="s">
        <v>7997</v>
      </c>
      <c r="B970" t="s">
        <v>7996</v>
      </c>
      <c r="C970" t="s">
        <v>5633</v>
      </c>
      <c r="D970" t="s">
        <v>2660</v>
      </c>
      <c r="E970" t="s">
        <v>2659</v>
      </c>
      <c r="F970" t="s">
        <v>5425</v>
      </c>
      <c r="G970" t="s">
        <v>9074</v>
      </c>
      <c r="H970" t="s">
        <v>2663</v>
      </c>
      <c r="I970" t="s">
        <v>211</v>
      </c>
      <c r="K970" t="s">
        <v>7896</v>
      </c>
      <c r="P970" t="str">
        <f>"Update Project Set Organisation = '"&amp;H970&amp;"' where Project_ID = '"&amp;A970&amp;"'; "</f>
        <v xml:space="preserve">Update Project Set Organisation = 'Savitribai Phule Pune University' where Project_ID = 'P0976'; </v>
      </c>
      <c r="Q970" t="str">
        <f>"Update Project Set Library_name = '"&amp;L970&amp;"' , COADD_ID = '"&amp;M970&amp;"' where Project_ID = '"&amp;A970&amp;"'; "</f>
        <v xml:space="preserve">Update Project Set Library_name = '' , COADD_ID = '' where Project_ID = 'P0976'; </v>
      </c>
    </row>
    <row r="971" spans="1:17">
      <c r="A971" t="s">
        <v>7999</v>
      </c>
      <c r="B971" t="s">
        <v>7998</v>
      </c>
      <c r="C971" t="s">
        <v>5633</v>
      </c>
      <c r="D971" t="s">
        <v>2280</v>
      </c>
      <c r="E971" t="s">
        <v>3241</v>
      </c>
      <c r="G971" t="s">
        <v>9111</v>
      </c>
      <c r="H971" t="s">
        <v>2284</v>
      </c>
      <c r="I971" t="s">
        <v>704</v>
      </c>
      <c r="K971" t="s">
        <v>7896</v>
      </c>
      <c r="P971" t="str">
        <f>"Update Project Set Organisation = '"&amp;H971&amp;"' where Project_ID = '"&amp;A971&amp;"'; "</f>
        <v xml:space="preserve">Update Project Set Organisation = 'Université de Strasbourg' where Project_ID = 'P0977'; </v>
      </c>
      <c r="Q971" t="str">
        <f>"Update Project Set Library_name = '"&amp;L971&amp;"' , COADD_ID = '"&amp;M971&amp;"' where Project_ID = '"&amp;A971&amp;"'; "</f>
        <v xml:space="preserve">Update Project Set Library_name = '' , COADD_ID = '' where Project_ID = 'P0977'; </v>
      </c>
    </row>
    <row r="972" spans="1:17">
      <c r="A972" t="s">
        <v>8001</v>
      </c>
      <c r="B972" t="s">
        <v>8000</v>
      </c>
      <c r="C972" t="s">
        <v>5633</v>
      </c>
      <c r="D972" t="s">
        <v>2280</v>
      </c>
      <c r="E972" t="s">
        <v>3241</v>
      </c>
      <c r="G972" t="s">
        <v>9111</v>
      </c>
      <c r="H972" t="s">
        <v>2284</v>
      </c>
      <c r="I972" t="s">
        <v>704</v>
      </c>
      <c r="K972" t="s">
        <v>7896</v>
      </c>
      <c r="P972" t="str">
        <f>"Update Project Set Organisation = '"&amp;H972&amp;"' where Project_ID = '"&amp;A972&amp;"'; "</f>
        <v xml:space="preserve">Update Project Set Organisation = 'Université de Strasbourg' where Project_ID = 'P0978'; </v>
      </c>
      <c r="Q972" t="str">
        <f>"Update Project Set Library_name = '"&amp;L972&amp;"' , COADD_ID = '"&amp;M972&amp;"' where Project_ID = '"&amp;A972&amp;"'; "</f>
        <v xml:space="preserve">Update Project Set Library_name = '' , COADD_ID = '' where Project_ID = 'P0978'; </v>
      </c>
    </row>
    <row r="973" spans="1:17">
      <c r="A973" t="s">
        <v>8002</v>
      </c>
      <c r="B973" t="s">
        <v>7843</v>
      </c>
      <c r="C973" t="s">
        <v>5633</v>
      </c>
      <c r="D973" t="s">
        <v>1020</v>
      </c>
      <c r="E973" t="s">
        <v>1312</v>
      </c>
      <c r="F973" t="s">
        <v>1019</v>
      </c>
      <c r="G973" t="s">
        <v>9131</v>
      </c>
      <c r="H973" t="s">
        <v>596</v>
      </c>
      <c r="I973" t="s">
        <v>223</v>
      </c>
      <c r="K973" t="s">
        <v>7896</v>
      </c>
      <c r="P973" t="str">
        <f>"Update Project Set Organisation = '"&amp;H973&amp;"' where Project_ID = '"&amp;A973&amp;"'; "</f>
        <v xml:space="preserve">Update Project Set Organisation = 'University of Auckland' where Project_ID = 'P0979'; </v>
      </c>
      <c r="Q973" t="str">
        <f>"Update Project Set Library_name = '"&amp;L973&amp;"' , COADD_ID = '"&amp;M973&amp;"' where Project_ID = '"&amp;A973&amp;"'; "</f>
        <v xml:space="preserve">Update Project Set Library_name = '' , COADD_ID = '' where Project_ID = 'P0979'; </v>
      </c>
    </row>
    <row r="974" spans="1:17">
      <c r="A974" t="s">
        <v>8004</v>
      </c>
      <c r="B974" t="s">
        <v>8003</v>
      </c>
      <c r="C974" t="s">
        <v>5633</v>
      </c>
      <c r="D974" t="s">
        <v>727</v>
      </c>
      <c r="E974" t="s">
        <v>726</v>
      </c>
      <c r="G974" t="s">
        <v>8917</v>
      </c>
      <c r="H974" t="s">
        <v>731</v>
      </c>
      <c r="I974" t="s">
        <v>14</v>
      </c>
      <c r="K974" t="s">
        <v>7896</v>
      </c>
      <c r="P974" t="str">
        <f>"Update Project Set Organisation = '"&amp;H974&amp;"' where Project_ID = '"&amp;A974&amp;"'; "</f>
        <v xml:space="preserve">Update Project Set Organisation = 'Commonwealth Scientific and Industrial Research (CSIRO)' where Project_ID = 'P0980'; </v>
      </c>
      <c r="Q974" t="str">
        <f>"Update Project Set Library_name = '"&amp;L974&amp;"' , COADD_ID = '"&amp;M974&amp;"' where Project_ID = '"&amp;A974&amp;"'; "</f>
        <v xml:space="preserve">Update Project Set Library_name = '' , COADD_ID = '' where Project_ID = 'P0980'; </v>
      </c>
    </row>
    <row r="975" spans="1:17">
      <c r="A975" t="s">
        <v>8006</v>
      </c>
      <c r="B975" t="s">
        <v>8005</v>
      </c>
      <c r="C975" t="s">
        <v>5633</v>
      </c>
      <c r="D975" t="s">
        <v>551</v>
      </c>
      <c r="E975" t="s">
        <v>550</v>
      </c>
      <c r="G975" t="s">
        <v>9153</v>
      </c>
      <c r="H975" t="s">
        <v>554</v>
      </c>
      <c r="I975" t="s">
        <v>557</v>
      </c>
      <c r="K975" t="s">
        <v>7896</v>
      </c>
      <c r="P975" t="str">
        <f>"Update Project Set Organisation = '"&amp;H975&amp;"' where Project_ID = '"&amp;A975&amp;"'; "</f>
        <v xml:space="preserve">Update Project Set Organisation = 'University of Greifswald' where Project_ID = 'P0981'; </v>
      </c>
      <c r="Q975" t="str">
        <f>"Update Project Set Library_name = '"&amp;L975&amp;"' , COADD_ID = '"&amp;M975&amp;"' where Project_ID = '"&amp;A975&amp;"'; "</f>
        <v xml:space="preserve">Update Project Set Library_name = '' , COADD_ID = '' where Project_ID = 'P0981'; </v>
      </c>
    </row>
    <row r="976" spans="1:17">
      <c r="A976" t="s">
        <v>8007</v>
      </c>
      <c r="B976" t="s">
        <v>7880</v>
      </c>
      <c r="C976" t="s">
        <v>5633</v>
      </c>
      <c r="D976" t="s">
        <v>1725</v>
      </c>
      <c r="E976" t="s">
        <v>1896</v>
      </c>
      <c r="G976" t="s">
        <v>8965</v>
      </c>
      <c r="H976" t="s">
        <v>8152</v>
      </c>
      <c r="I976" t="s">
        <v>1256</v>
      </c>
      <c r="K976" t="s">
        <v>7896</v>
      </c>
      <c r="P976" t="str">
        <f>"Update Project Set Organisation = '"&amp;H976&amp;"' where Project_ID = '"&amp;A976&amp;"'; "</f>
        <v xml:space="preserve">Update Project Set Organisation = 'Institut Català Investigació Química (ICIQ)' where Project_ID = 'P0982'; </v>
      </c>
      <c r="Q976" t="str">
        <f>"Update Project Set Library_name = '"&amp;L976&amp;"' , COADD_ID = '"&amp;M976&amp;"' where Project_ID = '"&amp;A976&amp;"'; "</f>
        <v xml:space="preserve">Update Project Set Library_name = '' , COADD_ID = '' where Project_ID = 'P0982'; </v>
      </c>
    </row>
    <row r="977" spans="1:17">
      <c r="A977" t="s">
        <v>8008</v>
      </c>
      <c r="C977" t="s">
        <v>5633</v>
      </c>
      <c r="D977" t="s">
        <v>279</v>
      </c>
      <c r="E977" t="s">
        <v>2382</v>
      </c>
      <c r="F977" t="s">
        <v>278</v>
      </c>
      <c r="G977" t="s">
        <v>8980</v>
      </c>
      <c r="H977" t="s">
        <v>283</v>
      </c>
      <c r="I977" t="s">
        <v>211</v>
      </c>
      <c r="K977" t="s">
        <v>5837</v>
      </c>
      <c r="P977" t="str">
        <f>"Update Project Set Organisation = '"&amp;H977&amp;"' where Project_ID = '"&amp;A977&amp;"'; "</f>
        <v xml:space="preserve">Update Project Set Organisation = 'Jamia Hamdard' where Project_ID = 'P0983'; </v>
      </c>
      <c r="Q977" t="str">
        <f>"Update Project Set Library_name = '"&amp;L977&amp;"' , COADD_ID = '"&amp;M977&amp;"' where Project_ID = '"&amp;A977&amp;"'; "</f>
        <v xml:space="preserve">Update Project Set Library_name = '' , COADD_ID = '' where Project_ID = 'P0983'; </v>
      </c>
    </row>
    <row r="978" spans="1:17">
      <c r="A978" t="s">
        <v>8009</v>
      </c>
      <c r="C978" t="s">
        <v>5633</v>
      </c>
      <c r="D978" t="s">
        <v>1929</v>
      </c>
      <c r="E978" t="s">
        <v>4944</v>
      </c>
      <c r="F978" t="s">
        <v>1928</v>
      </c>
      <c r="G978" t="s">
        <v>8974</v>
      </c>
      <c r="H978" t="s">
        <v>1932</v>
      </c>
      <c r="I978" t="s">
        <v>1934</v>
      </c>
      <c r="K978" t="s">
        <v>5837</v>
      </c>
      <c r="P978" t="str">
        <f>"Update Project Set Organisation = '"&amp;H978&amp;"' where Project_ID = '"&amp;A978&amp;"'; "</f>
        <v xml:space="preserve">Update Project Set Organisation = 'IPB University' where Project_ID = 'P0984'; </v>
      </c>
      <c r="Q978" t="str">
        <f>"Update Project Set Library_name = '"&amp;L978&amp;"' , COADD_ID = '"&amp;M978&amp;"' where Project_ID = '"&amp;A978&amp;"'; "</f>
        <v xml:space="preserve">Update Project Set Library_name = '' , COADD_ID = '' where Project_ID = 'P0984'; </v>
      </c>
    </row>
    <row r="979" spans="1:17">
      <c r="A979" t="s">
        <v>8010</v>
      </c>
      <c r="C979" t="s">
        <v>5633</v>
      </c>
      <c r="D979" t="s">
        <v>761</v>
      </c>
      <c r="E979" t="s">
        <v>760</v>
      </c>
      <c r="G979" t="s">
        <v>9025</v>
      </c>
      <c r="H979" t="s">
        <v>517</v>
      </c>
      <c r="I979" t="s">
        <v>14</v>
      </c>
      <c r="K979" t="s">
        <v>7896</v>
      </c>
      <c r="P979" t="str">
        <f>"Update Project Set Organisation = '"&amp;H979&amp;"' where Project_ID = '"&amp;A979&amp;"'; "</f>
        <v xml:space="preserve">Update Project Set Organisation = 'Monash University' where Project_ID = 'P0985'; </v>
      </c>
      <c r="Q979" t="str">
        <f>"Update Project Set Library_name = '"&amp;L979&amp;"' , COADD_ID = '"&amp;M979&amp;"' where Project_ID = '"&amp;A979&amp;"'; "</f>
        <v xml:space="preserve">Update Project Set Library_name = '' , COADD_ID = '' where Project_ID = 'P0985'; </v>
      </c>
    </row>
    <row r="980" spans="1:17">
      <c r="A980" t="s">
        <v>8012</v>
      </c>
      <c r="B980" t="s">
        <v>8011</v>
      </c>
      <c r="C980" t="s">
        <v>5633</v>
      </c>
      <c r="D980" t="s">
        <v>2683</v>
      </c>
      <c r="E980" t="s">
        <v>2682</v>
      </c>
      <c r="G980" t="s">
        <v>9235</v>
      </c>
      <c r="H980" t="s">
        <v>691</v>
      </c>
      <c r="I980" t="s">
        <v>694</v>
      </c>
      <c r="K980" t="s">
        <v>7896</v>
      </c>
      <c r="P980" t="str">
        <f>"Update Project Set Organisation = '"&amp;H980&amp;"' where Project_ID = '"&amp;A980&amp;"'; "</f>
        <v xml:space="preserve">Update Project Set Organisation = 'University of Vienna' where Project_ID = 'P0986'; </v>
      </c>
      <c r="Q980" t="str">
        <f>"Update Project Set Library_name = '"&amp;L980&amp;"' , COADD_ID = '"&amp;M980&amp;"' where Project_ID = '"&amp;A980&amp;"'; "</f>
        <v xml:space="preserve">Update Project Set Library_name = '' , COADD_ID = '' where Project_ID = 'P0986'; </v>
      </c>
    </row>
    <row r="981" spans="1:17">
      <c r="A981" t="s">
        <v>8013</v>
      </c>
      <c r="C981" t="s">
        <v>5633</v>
      </c>
      <c r="D981" t="s">
        <v>1488</v>
      </c>
      <c r="E981" t="s">
        <v>2394</v>
      </c>
      <c r="G981" t="s">
        <v>9179</v>
      </c>
      <c r="H981" t="s">
        <v>1225</v>
      </c>
      <c r="I981" t="s">
        <v>14</v>
      </c>
      <c r="K981" t="s">
        <v>7896</v>
      </c>
      <c r="P981" t="str">
        <f>"Update Project Set Organisation = '"&amp;H981&amp;"' where Project_ID = '"&amp;A981&amp;"'; "</f>
        <v xml:space="preserve">Update Project Set Organisation = 'University of New South Wales, Australian Defence Force Academy (UNSW/ADFA)' where Project_ID = 'P0987'; </v>
      </c>
      <c r="Q981" t="str">
        <f>"Update Project Set Library_name = '"&amp;L981&amp;"' , COADD_ID = '"&amp;M981&amp;"' where Project_ID = '"&amp;A981&amp;"'; "</f>
        <v xml:space="preserve">Update Project Set Library_name = '' , COADD_ID = '' where Project_ID = 'P0987'; </v>
      </c>
    </row>
    <row r="982" spans="1:17">
      <c r="A982" t="s">
        <v>8014</v>
      </c>
      <c r="B982" t="s">
        <v>7855</v>
      </c>
      <c r="C982" t="s">
        <v>5633</v>
      </c>
      <c r="D982" t="s">
        <v>59</v>
      </c>
      <c r="E982" t="s">
        <v>89</v>
      </c>
      <c r="F982" t="s">
        <v>187</v>
      </c>
      <c r="G982" t="s">
        <v>9018</v>
      </c>
      <c r="H982" t="s">
        <v>5798</v>
      </c>
      <c r="I982" t="s">
        <v>55</v>
      </c>
      <c r="K982" t="s">
        <v>7896</v>
      </c>
      <c r="P982" t="str">
        <f>"Update Project Set Organisation = '"&amp;H982&amp;"' where Project_ID = '"&amp;A982&amp;"'; "</f>
        <v xml:space="preserve">Update Project Set Organisation = 'Modern University for Technology and Information' where Project_ID = 'P0988'; </v>
      </c>
      <c r="Q982" t="str">
        <f>"Update Project Set Library_name = '"&amp;L982&amp;"' , COADD_ID = '"&amp;M982&amp;"' where Project_ID = '"&amp;A982&amp;"'; "</f>
        <v xml:space="preserve">Update Project Set Library_name = '' , COADD_ID = '' where Project_ID = 'P0988'; </v>
      </c>
    </row>
    <row r="983" spans="1:17">
      <c r="A983" t="s">
        <v>8016</v>
      </c>
      <c r="B983" t="s">
        <v>8015</v>
      </c>
      <c r="C983" t="s">
        <v>5633</v>
      </c>
      <c r="D983" t="s">
        <v>1459</v>
      </c>
      <c r="E983" t="s">
        <v>1458</v>
      </c>
      <c r="F983" t="s">
        <v>1463</v>
      </c>
      <c r="G983" t="s">
        <v>9120</v>
      </c>
      <c r="H983" t="s">
        <v>1234</v>
      </c>
      <c r="I983" t="s">
        <v>1235</v>
      </c>
      <c r="K983" t="s">
        <v>7896</v>
      </c>
      <c r="P983" t="str">
        <f>"Update Project Set Organisation = '"&amp;H983&amp;"' where Project_ID = '"&amp;A983&amp;"'; "</f>
        <v xml:space="preserve">Update Project Set Organisation = 'University College Cork' where Project_ID = 'P0989'; </v>
      </c>
      <c r="Q983" t="str">
        <f>"Update Project Set Library_name = '"&amp;L983&amp;"' , COADD_ID = '"&amp;M983&amp;"' where Project_ID = '"&amp;A983&amp;"'; "</f>
        <v xml:space="preserve">Update Project Set Library_name = '' , COADD_ID = '' where Project_ID = 'P0989'; </v>
      </c>
    </row>
    <row r="984" spans="1:17">
      <c r="A984" t="s">
        <v>8018</v>
      </c>
      <c r="B984" t="s">
        <v>8017</v>
      </c>
      <c r="C984" t="s">
        <v>5633</v>
      </c>
      <c r="D984" t="s">
        <v>2743</v>
      </c>
      <c r="E984" t="s">
        <v>2742</v>
      </c>
      <c r="F984" t="s">
        <v>3724</v>
      </c>
      <c r="G984" t="s">
        <v>9229</v>
      </c>
      <c r="H984" t="s">
        <v>2746</v>
      </c>
      <c r="I984" t="s">
        <v>609</v>
      </c>
      <c r="K984" t="s">
        <v>7896</v>
      </c>
      <c r="P984" t="str">
        <f>"Update Project Set Organisation = '"&amp;H984&amp;"' where Project_ID = '"&amp;A984&amp;"'; "</f>
        <v xml:space="preserve">Update Project Set Organisation = 'University of the Witwatersrand' where Project_ID = 'P0990'; </v>
      </c>
      <c r="Q984" t="str">
        <f>"Update Project Set Library_name = '"&amp;L984&amp;"' , COADD_ID = '"&amp;M984&amp;"' where Project_ID = '"&amp;A984&amp;"'; "</f>
        <v xml:space="preserve">Update Project Set Library_name = '' , COADD_ID = '' where Project_ID = 'P0990'; </v>
      </c>
    </row>
    <row r="985" spans="1:17">
      <c r="A985" t="s">
        <v>8020</v>
      </c>
      <c r="B985" t="s">
        <v>8019</v>
      </c>
      <c r="C985" t="s">
        <v>5633</v>
      </c>
      <c r="D985" t="s">
        <v>678</v>
      </c>
      <c r="E985" t="s">
        <v>5395</v>
      </c>
      <c r="F985" t="s">
        <v>879</v>
      </c>
      <c r="G985" t="s">
        <v>8895</v>
      </c>
      <c r="H985" t="s">
        <v>682</v>
      </c>
      <c r="I985" t="s">
        <v>684</v>
      </c>
      <c r="K985" t="s">
        <v>7896</v>
      </c>
      <c r="P985" t="str">
        <f>"Update Project Set Organisation = '"&amp;H985&amp;"' where Project_ID = '"&amp;A985&amp;"'; "</f>
        <v xml:space="preserve">Update Project Set Organisation = 'Biotechnology Research Centre (C.R.B.t)' where Project_ID = 'P0991'; </v>
      </c>
      <c r="Q985" t="str">
        <f>"Update Project Set Library_name = '"&amp;L985&amp;"' , COADD_ID = '"&amp;M985&amp;"' where Project_ID = '"&amp;A985&amp;"'; "</f>
        <v xml:space="preserve">Update Project Set Library_name = '' , COADD_ID = '' where Project_ID = 'P0991'; </v>
      </c>
    </row>
    <row r="986" spans="1:17">
      <c r="A986" t="s">
        <v>8023</v>
      </c>
      <c r="B986" t="s">
        <v>8022</v>
      </c>
      <c r="C986" t="s">
        <v>5633</v>
      </c>
      <c r="D986" t="s">
        <v>1398</v>
      </c>
      <c r="E986" t="s">
        <v>1924</v>
      </c>
      <c r="G986" t="s">
        <v>9187</v>
      </c>
      <c r="H986" t="s">
        <v>1294</v>
      </c>
      <c r="I986" t="s">
        <v>223</v>
      </c>
      <c r="J986" t="s">
        <v>8021</v>
      </c>
      <c r="K986" t="s">
        <v>7896</v>
      </c>
      <c r="P986" t="str">
        <f>"Update Project Set Organisation = '"&amp;H986&amp;"' where Project_ID = '"&amp;A986&amp;"'; "</f>
        <v xml:space="preserve">Update Project Set Organisation = 'University of Otago' where Project_ID = 'P0992'; </v>
      </c>
      <c r="Q986" t="str">
        <f>"Update Project Set Library_name = '"&amp;L986&amp;"' , COADD_ID = '"&amp;M986&amp;"' where Project_ID = '"&amp;A986&amp;"'; "</f>
        <v xml:space="preserve">Update Project Set Library_name = '' , COADD_ID = '' where Project_ID = 'P0992'; </v>
      </c>
    </row>
    <row r="987" spans="1:17">
      <c r="A987" t="s">
        <v>8025</v>
      </c>
      <c r="B987" t="s">
        <v>8024</v>
      </c>
      <c r="C987" t="s">
        <v>5633</v>
      </c>
      <c r="D987" t="s">
        <v>2194</v>
      </c>
      <c r="E987" t="s">
        <v>5260</v>
      </c>
      <c r="F987" t="s">
        <v>4137</v>
      </c>
      <c r="G987" t="s">
        <v>9194</v>
      </c>
      <c r="H987" t="s">
        <v>362</v>
      </c>
      <c r="I987" t="s">
        <v>14</v>
      </c>
      <c r="K987" t="s">
        <v>7896</v>
      </c>
      <c r="P987" t="str">
        <f>"Update Project Set Organisation = '"&amp;H987&amp;"' where Project_ID = '"&amp;A987&amp;"'; "</f>
        <v xml:space="preserve">Update Project Set Organisation = 'University of Queensland' where Project_ID = 'P0993'; </v>
      </c>
      <c r="Q987" t="str">
        <f>"Update Project Set Library_name = '"&amp;L987&amp;"' , COADD_ID = '"&amp;M987&amp;"' where Project_ID = '"&amp;A987&amp;"'; "</f>
        <v xml:space="preserve">Update Project Set Library_name = '' , COADD_ID = '' where Project_ID = 'P0993'; </v>
      </c>
    </row>
    <row r="988" spans="1:17">
      <c r="A988" t="s">
        <v>8027</v>
      </c>
      <c r="B988" t="s">
        <v>8026</v>
      </c>
      <c r="C988" t="s">
        <v>5633</v>
      </c>
      <c r="D988" t="s">
        <v>4409</v>
      </c>
      <c r="E988" t="s">
        <v>4416</v>
      </c>
      <c r="G988" t="s">
        <v>9238</v>
      </c>
      <c r="H988" t="s">
        <v>1154</v>
      </c>
      <c r="I988" t="s">
        <v>269</v>
      </c>
      <c r="K988" t="s">
        <v>7896</v>
      </c>
      <c r="P988" t="str">
        <f>"Update Project Set Organisation = '"&amp;H988&amp;"' where Project_ID = '"&amp;A988&amp;"'; "</f>
        <v xml:space="preserve">Update Project Set Organisation = 'University of Warwick' where Project_ID = 'P0994'; </v>
      </c>
      <c r="Q988" t="str">
        <f>"Update Project Set Library_name = '"&amp;L988&amp;"' , COADD_ID = '"&amp;M988&amp;"' where Project_ID = '"&amp;A988&amp;"'; "</f>
        <v xml:space="preserve">Update Project Set Library_name = '' , COADD_ID = '' where Project_ID = 'P0994'; </v>
      </c>
    </row>
    <row r="989" spans="1:17">
      <c r="A989" t="s">
        <v>8029</v>
      </c>
      <c r="B989" t="s">
        <v>8028</v>
      </c>
      <c r="C989" t="s">
        <v>5633</v>
      </c>
      <c r="D989" t="s">
        <v>5026</v>
      </c>
      <c r="E989" t="s">
        <v>5025</v>
      </c>
      <c r="G989" t="s">
        <v>8885</v>
      </c>
      <c r="H989" t="s">
        <v>5029</v>
      </c>
      <c r="I989" t="s">
        <v>211</v>
      </c>
      <c r="K989" t="s">
        <v>7896</v>
      </c>
      <c r="P989" t="str">
        <f>"Update Project Set Organisation = '"&amp;H989&amp;"' where Project_ID = '"&amp;A989&amp;"'; "</f>
        <v xml:space="preserve">Update Project Set Organisation = 'Atmiya University' where Project_ID = 'P0995'; </v>
      </c>
      <c r="Q989" t="str">
        <f>"Update Project Set Library_name = '"&amp;L989&amp;"' , COADD_ID = '"&amp;M989&amp;"' where Project_ID = '"&amp;A989&amp;"'; "</f>
        <v xml:space="preserve">Update Project Set Library_name = '' , COADD_ID = '' where Project_ID = 'P0995'; </v>
      </c>
    </row>
    <row r="990" spans="1:17">
      <c r="A990" t="s">
        <v>8030</v>
      </c>
      <c r="B990" t="s">
        <v>8011</v>
      </c>
      <c r="C990" t="s">
        <v>5633</v>
      </c>
      <c r="D990" t="s">
        <v>2683</v>
      </c>
      <c r="E990" t="s">
        <v>2682</v>
      </c>
      <c r="G990" t="s">
        <v>9235</v>
      </c>
      <c r="H990" t="s">
        <v>691</v>
      </c>
      <c r="I990" t="s">
        <v>694</v>
      </c>
      <c r="K990" t="s">
        <v>7896</v>
      </c>
      <c r="P990" t="str">
        <f>"Update Project Set Organisation = '"&amp;H990&amp;"' where Project_ID = '"&amp;A990&amp;"'; "</f>
        <v xml:space="preserve">Update Project Set Organisation = 'University of Vienna' where Project_ID = 'P0996'; </v>
      </c>
      <c r="Q990" t="str">
        <f>"Update Project Set Library_name = '"&amp;L990&amp;"' , COADD_ID = '"&amp;M990&amp;"' where Project_ID = '"&amp;A990&amp;"'; "</f>
        <v xml:space="preserve">Update Project Set Library_name = '' , COADD_ID = '' where Project_ID = 'P0996'; </v>
      </c>
    </row>
    <row r="991" spans="1:17">
      <c r="A991" t="s">
        <v>8031</v>
      </c>
      <c r="B991" t="s">
        <v>7684</v>
      </c>
      <c r="C991" t="s">
        <v>5633</v>
      </c>
      <c r="D991" t="s">
        <v>2683</v>
      </c>
      <c r="E991" t="s">
        <v>3619</v>
      </c>
      <c r="G991" t="s">
        <v>9235</v>
      </c>
      <c r="H991" t="s">
        <v>691</v>
      </c>
      <c r="I991" t="s">
        <v>694</v>
      </c>
      <c r="K991" t="s">
        <v>7896</v>
      </c>
      <c r="P991" t="str">
        <f>"Update Project Set Organisation = '"&amp;H991&amp;"' where Project_ID = '"&amp;A991&amp;"'; "</f>
        <v xml:space="preserve">Update Project Set Organisation = 'University of Vienna' where Project_ID = 'P0997'; </v>
      </c>
      <c r="Q991" t="str">
        <f>"Update Project Set Library_name = '"&amp;L991&amp;"' , COADD_ID = '"&amp;M991&amp;"' where Project_ID = '"&amp;A991&amp;"'; "</f>
        <v xml:space="preserve">Update Project Set Library_name = '' , COADD_ID = '' where Project_ID = 'P0997'; </v>
      </c>
    </row>
    <row r="992" spans="1:17">
      <c r="A992" t="s">
        <v>8034</v>
      </c>
      <c r="B992" t="s">
        <v>8033</v>
      </c>
      <c r="C992" t="s">
        <v>5633</v>
      </c>
      <c r="D992" t="s">
        <v>448</v>
      </c>
      <c r="E992" t="s">
        <v>5469</v>
      </c>
      <c r="G992" t="s">
        <v>8900</v>
      </c>
      <c r="H992" t="s">
        <v>362</v>
      </c>
      <c r="I992" t="s">
        <v>14</v>
      </c>
      <c r="J992" t="s">
        <v>8032</v>
      </c>
      <c r="K992" t="s">
        <v>7896</v>
      </c>
      <c r="P992" t="str">
        <f>"Update Project Set Organisation = '"&amp;H992&amp;"' where Project_ID = '"&amp;A992&amp;"'; "</f>
        <v xml:space="preserve">Update Project Set Organisation = 'University of Queensland' where Project_ID = 'P0998'; </v>
      </c>
      <c r="Q992" t="str">
        <f>"Update Project Set Library_name = '"&amp;L992&amp;"' , COADD_ID = '"&amp;M992&amp;"' where Project_ID = '"&amp;A992&amp;"'; "</f>
        <v xml:space="preserve">Update Project Set Library_name = '' , COADD_ID = '' where Project_ID = 'P0998'; </v>
      </c>
    </row>
    <row r="993" spans="1:17">
      <c r="A993" t="s">
        <v>8035</v>
      </c>
      <c r="C993" t="s">
        <v>5633</v>
      </c>
      <c r="D993" t="s">
        <v>59</v>
      </c>
      <c r="E993" t="s">
        <v>187</v>
      </c>
      <c r="G993" t="s">
        <v>9018</v>
      </c>
      <c r="H993" t="s">
        <v>5798</v>
      </c>
      <c r="I993" t="s">
        <v>55</v>
      </c>
      <c r="K993" t="s">
        <v>7896</v>
      </c>
      <c r="P993" t="str">
        <f>"Update Project Set Organisation = '"&amp;H993&amp;"' where Project_ID = '"&amp;A993&amp;"'; "</f>
        <v xml:space="preserve">Update Project Set Organisation = 'Modern University for Technology and Information' where Project_ID = 'P0999'; </v>
      </c>
      <c r="Q993" t="str">
        <f>"Update Project Set Library_name = '"&amp;L993&amp;"' , COADD_ID = '"&amp;M993&amp;"' where Project_ID = '"&amp;A993&amp;"'; "</f>
        <v xml:space="preserve">Update Project Set Library_name = '' , COADD_ID = '' where Project_ID = 'P0999'; </v>
      </c>
    </row>
    <row r="994" spans="1:17">
      <c r="A994" t="s">
        <v>8037</v>
      </c>
      <c r="B994" t="s">
        <v>8036</v>
      </c>
      <c r="C994" t="s">
        <v>5633</v>
      </c>
      <c r="D994" t="s">
        <v>59</v>
      </c>
      <c r="E994" t="s">
        <v>4673</v>
      </c>
      <c r="G994" t="s">
        <v>9018</v>
      </c>
      <c r="H994" t="s">
        <v>5798</v>
      </c>
      <c r="I994" t="s">
        <v>55</v>
      </c>
      <c r="K994" t="s">
        <v>7896</v>
      </c>
      <c r="P994" t="str">
        <f>"Update Project Set Organisation = '"&amp;H994&amp;"' where Project_ID = '"&amp;A994&amp;"'; "</f>
        <v xml:space="preserve">Update Project Set Organisation = 'Modern University for Technology and Information' where Project_ID = 'P1000'; </v>
      </c>
      <c r="Q994" t="str">
        <f>"Update Project Set Library_name = '"&amp;L994&amp;"' , COADD_ID = '"&amp;M994&amp;"' where Project_ID = '"&amp;A994&amp;"'; "</f>
        <v xml:space="preserve">Update Project Set Library_name = '' , COADD_ID = '' where Project_ID = 'P1000'; </v>
      </c>
    </row>
    <row r="995" spans="1:17">
      <c r="A995" t="s">
        <v>8039</v>
      </c>
      <c r="B995" t="s">
        <v>8038</v>
      </c>
      <c r="C995" t="s">
        <v>5633</v>
      </c>
      <c r="D995" t="s">
        <v>59</v>
      </c>
      <c r="E995" t="s">
        <v>4673</v>
      </c>
      <c r="G995" t="s">
        <v>9018</v>
      </c>
      <c r="H995" t="s">
        <v>5798</v>
      </c>
      <c r="I995" t="s">
        <v>55</v>
      </c>
      <c r="K995" t="s">
        <v>7896</v>
      </c>
      <c r="P995" t="str">
        <f>"Update Project Set Organisation = '"&amp;H995&amp;"' where Project_ID = '"&amp;A995&amp;"'; "</f>
        <v xml:space="preserve">Update Project Set Organisation = 'Modern University for Technology and Information' where Project_ID = 'P1001'; </v>
      </c>
      <c r="Q995" t="str">
        <f>"Update Project Set Library_name = '"&amp;L995&amp;"' , COADD_ID = '"&amp;M995&amp;"' where Project_ID = '"&amp;A995&amp;"'; "</f>
        <v xml:space="preserve">Update Project Set Library_name = '' , COADD_ID = '' where Project_ID = 'P1001'; </v>
      </c>
    </row>
    <row r="996" spans="1:17">
      <c r="A996" t="s">
        <v>8041</v>
      </c>
      <c r="B996" t="s">
        <v>8040</v>
      </c>
      <c r="C996" t="s">
        <v>5633</v>
      </c>
      <c r="D996" t="s">
        <v>3586</v>
      </c>
      <c r="E996" t="s">
        <v>3585</v>
      </c>
      <c r="G996" t="s">
        <v>9116</v>
      </c>
      <c r="H996" t="s">
        <v>1234</v>
      </c>
      <c r="I996" t="s">
        <v>1235</v>
      </c>
      <c r="K996" t="s">
        <v>7896</v>
      </c>
      <c r="P996" t="str">
        <f>"Update Project Set Organisation = '"&amp;H996&amp;"' where Project_ID = '"&amp;A996&amp;"'; "</f>
        <v xml:space="preserve">Update Project Set Organisation = 'University College Cork' where Project_ID = 'P1002'; </v>
      </c>
      <c r="Q996" t="str">
        <f>"Update Project Set Library_name = '"&amp;L996&amp;"' , COADD_ID = '"&amp;M996&amp;"' where Project_ID = '"&amp;A996&amp;"'; "</f>
        <v xml:space="preserve">Update Project Set Library_name = '' , COADD_ID = '' where Project_ID = 'P1002'; </v>
      </c>
    </row>
    <row r="997" spans="1:17">
      <c r="A997" t="s">
        <v>8043</v>
      </c>
      <c r="B997" t="s">
        <v>8042</v>
      </c>
      <c r="C997" t="s">
        <v>5633</v>
      </c>
      <c r="D997" t="s">
        <v>1847</v>
      </c>
      <c r="E997" t="s">
        <v>1846</v>
      </c>
      <c r="G997" t="s">
        <v>9081</v>
      </c>
      <c r="H997" t="s">
        <v>1851</v>
      </c>
      <c r="I997" t="s">
        <v>14</v>
      </c>
      <c r="K997" t="s">
        <v>7896</v>
      </c>
      <c r="P997" t="str">
        <f>"Update Project Set Organisation = '"&amp;H997&amp;"' where Project_ID = '"&amp;A997&amp;"'; "</f>
        <v xml:space="preserve">Update Project Set Organisation = 'St John the Evangelist Catholic High School' where Project_ID = 'P1003'; </v>
      </c>
      <c r="Q997" t="str">
        <f>"Update Project Set Library_name = '"&amp;L997&amp;"' , COADD_ID = '"&amp;M997&amp;"' where Project_ID = '"&amp;A997&amp;"'; "</f>
        <v xml:space="preserve">Update Project Set Library_name = '' , COADD_ID = '' where Project_ID = 'P1003'; </v>
      </c>
    </row>
    <row r="998" spans="1:17">
      <c r="A998" t="s">
        <v>8045</v>
      </c>
      <c r="B998" t="s">
        <v>8044</v>
      </c>
      <c r="C998" t="s">
        <v>5633</v>
      </c>
      <c r="D998" t="s">
        <v>59</v>
      </c>
      <c r="E998" t="s">
        <v>133</v>
      </c>
      <c r="G998" t="s">
        <v>9018</v>
      </c>
      <c r="H998" t="s">
        <v>5798</v>
      </c>
      <c r="I998" t="s">
        <v>55</v>
      </c>
      <c r="K998" t="s">
        <v>5837</v>
      </c>
      <c r="P998" t="str">
        <f>"Update Project Set Organisation = '"&amp;H998&amp;"' where Project_ID = '"&amp;A998&amp;"'; "</f>
        <v xml:space="preserve">Update Project Set Organisation = 'Modern University for Technology and Information' where Project_ID = 'P1004'; </v>
      </c>
      <c r="Q998" t="str">
        <f>"Update Project Set Library_name = '"&amp;L998&amp;"' , COADD_ID = '"&amp;M998&amp;"' where Project_ID = '"&amp;A998&amp;"'; "</f>
        <v xml:space="preserve">Update Project Set Library_name = '' , COADD_ID = '' where Project_ID = 'P1004'; </v>
      </c>
    </row>
    <row r="999" spans="1:17">
      <c r="A999" t="s">
        <v>8047</v>
      </c>
      <c r="B999" t="s">
        <v>8046</v>
      </c>
      <c r="C999" t="s">
        <v>5633</v>
      </c>
      <c r="D999" t="s">
        <v>3684</v>
      </c>
      <c r="E999" t="s">
        <v>4054</v>
      </c>
      <c r="F999" t="s">
        <v>3683</v>
      </c>
      <c r="G999" t="s">
        <v>9107</v>
      </c>
      <c r="H999" t="s">
        <v>3687</v>
      </c>
      <c r="I999" t="s">
        <v>704</v>
      </c>
      <c r="K999" t="s">
        <v>7896</v>
      </c>
      <c r="P999" t="str">
        <f>"Update Project Set Organisation = '"&amp;H999&amp;"' where Project_ID = '"&amp;A999&amp;"'; "</f>
        <v xml:space="preserve">Update Project Set Organisation = 'Université Clermont Auvergne - ICCF UMR 6296' where Project_ID = 'P1005'; </v>
      </c>
      <c r="Q999" t="str">
        <f>"Update Project Set Library_name = '"&amp;L999&amp;"' , COADD_ID = '"&amp;M999&amp;"' where Project_ID = '"&amp;A999&amp;"'; "</f>
        <v xml:space="preserve">Update Project Set Library_name = '' , COADD_ID = '' where Project_ID = 'P1005'; </v>
      </c>
    </row>
    <row r="1000" spans="1:17">
      <c r="A1000" t="s">
        <v>8049</v>
      </c>
      <c r="B1000" t="s">
        <v>8048</v>
      </c>
      <c r="C1000" t="s">
        <v>5633</v>
      </c>
      <c r="D1000" t="s">
        <v>1398</v>
      </c>
      <c r="E1000" t="s">
        <v>1924</v>
      </c>
      <c r="G1000" t="s">
        <v>9187</v>
      </c>
      <c r="H1000" t="s">
        <v>1294</v>
      </c>
      <c r="I1000" t="s">
        <v>223</v>
      </c>
      <c r="K1000" t="s">
        <v>7896</v>
      </c>
      <c r="P1000" t="str">
        <f>"Update Project Set Organisation = '"&amp;H1000&amp;"' where Project_ID = '"&amp;A1000&amp;"'; "</f>
        <v xml:space="preserve">Update Project Set Organisation = 'University of Otago' where Project_ID = 'P1006'; </v>
      </c>
      <c r="Q1000" t="str">
        <f>"Update Project Set Library_name = '"&amp;L1000&amp;"' , COADD_ID = '"&amp;M1000&amp;"' where Project_ID = '"&amp;A1000&amp;"'; "</f>
        <v xml:space="preserve">Update Project Set Library_name = '' , COADD_ID = '' where Project_ID = 'P1006'; </v>
      </c>
    </row>
    <row r="1001" spans="1:17">
      <c r="A1001" t="s">
        <v>8051</v>
      </c>
      <c r="B1001" t="s">
        <v>8050</v>
      </c>
      <c r="C1001" t="s">
        <v>5633</v>
      </c>
      <c r="D1001" t="s">
        <v>708</v>
      </c>
      <c r="E1001" t="s">
        <v>707</v>
      </c>
      <c r="G1001" t="s">
        <v>9061</v>
      </c>
      <c r="H1001" t="s">
        <v>711</v>
      </c>
      <c r="I1001" t="s">
        <v>609</v>
      </c>
      <c r="K1001" t="s">
        <v>7896</v>
      </c>
      <c r="P1001" t="str">
        <f>"Update Project Set Organisation = '"&amp;H1001&amp;"' where Project_ID = '"&amp;A1001&amp;"'; "</f>
        <v xml:space="preserve">Update Project Set Organisation = 'Rhodes University' where Project_ID = 'P1007'; </v>
      </c>
      <c r="Q1001" t="str">
        <f>"Update Project Set Library_name = '"&amp;L1001&amp;"' , COADD_ID = '"&amp;M1001&amp;"' where Project_ID = '"&amp;A1001&amp;"'; "</f>
        <v xml:space="preserve">Update Project Set Library_name = '' , COADD_ID = '' where Project_ID = 'P1007'; </v>
      </c>
    </row>
    <row r="1002" spans="1:17">
      <c r="A1002" t="s">
        <v>8053</v>
      </c>
      <c r="B1002" t="s">
        <v>8052</v>
      </c>
      <c r="C1002" t="s">
        <v>5633</v>
      </c>
      <c r="D1002" t="s">
        <v>2194</v>
      </c>
      <c r="E1002" t="s">
        <v>4382</v>
      </c>
      <c r="G1002" t="s">
        <v>9194</v>
      </c>
      <c r="H1002" t="s">
        <v>362</v>
      </c>
      <c r="I1002" t="s">
        <v>14</v>
      </c>
      <c r="K1002" t="s">
        <v>7896</v>
      </c>
      <c r="P1002" t="str">
        <f>"Update Project Set Organisation = '"&amp;H1002&amp;"' where Project_ID = '"&amp;A1002&amp;"'; "</f>
        <v xml:space="preserve">Update Project Set Organisation = 'University of Queensland' where Project_ID = 'P1008'; </v>
      </c>
      <c r="Q1002" t="str">
        <f>"Update Project Set Library_name = '"&amp;L1002&amp;"' , COADD_ID = '"&amp;M1002&amp;"' where Project_ID = '"&amp;A1002&amp;"'; "</f>
        <v xml:space="preserve">Update Project Set Library_name = '' , COADD_ID = '' where Project_ID = 'P1008'; </v>
      </c>
    </row>
    <row r="1003" spans="1:17">
      <c r="A1003" t="s">
        <v>8055</v>
      </c>
      <c r="B1003" t="s">
        <v>8054</v>
      </c>
      <c r="C1003" t="s">
        <v>5633</v>
      </c>
      <c r="D1003" t="s">
        <v>1725</v>
      </c>
      <c r="E1003" t="s">
        <v>1896</v>
      </c>
      <c r="G1003" t="s">
        <v>8965</v>
      </c>
      <c r="H1003" t="s">
        <v>8152</v>
      </c>
      <c r="I1003" t="s">
        <v>1256</v>
      </c>
      <c r="K1003" t="s">
        <v>7896</v>
      </c>
      <c r="P1003" t="str">
        <f>"Update Project Set Organisation = '"&amp;H1003&amp;"' where Project_ID = '"&amp;A1003&amp;"'; "</f>
        <v xml:space="preserve">Update Project Set Organisation = 'Institut Català Investigació Química (ICIQ)' where Project_ID = 'P1009'; </v>
      </c>
      <c r="Q1003" t="str">
        <f>"Update Project Set Library_name = '"&amp;L1003&amp;"' , COADD_ID = '"&amp;M1003&amp;"' where Project_ID = '"&amp;A1003&amp;"'; "</f>
        <v xml:space="preserve">Update Project Set Library_name = '' , COADD_ID = '' where Project_ID = 'P1009'; </v>
      </c>
    </row>
    <row r="1004" spans="1:17">
      <c r="A1004" t="s">
        <v>8057</v>
      </c>
      <c r="B1004" t="s">
        <v>8056</v>
      </c>
      <c r="C1004" t="s">
        <v>5633</v>
      </c>
      <c r="D1004" t="s">
        <v>1963</v>
      </c>
      <c r="E1004" t="s">
        <v>1962</v>
      </c>
      <c r="G1004" t="s">
        <v>8894</v>
      </c>
      <c r="H1004" t="s">
        <v>1967</v>
      </c>
      <c r="I1004" t="s">
        <v>117</v>
      </c>
      <c r="K1004" t="s">
        <v>7896</v>
      </c>
      <c r="P1004" t="str">
        <f>"Update Project Set Organisation = '"&amp;H1004&amp;"' where Project_ID = '"&amp;A1004&amp;"'; "</f>
        <v xml:space="preserve">Update Project Set Organisation = 'BioCipher LLC' where Project_ID = 'P1010'; </v>
      </c>
      <c r="Q1004" t="str">
        <f>"Update Project Set Library_name = '"&amp;L1004&amp;"' , COADD_ID = '"&amp;M1004&amp;"' where Project_ID = '"&amp;A1004&amp;"'; "</f>
        <v xml:space="preserve">Update Project Set Library_name = '' , COADD_ID = '' where Project_ID = 'P1010'; </v>
      </c>
    </row>
    <row r="1005" spans="1:17">
      <c r="A1005" t="s">
        <v>8059</v>
      </c>
      <c r="B1005" t="s">
        <v>8058</v>
      </c>
      <c r="C1005" t="s">
        <v>5633</v>
      </c>
      <c r="D1005" t="s">
        <v>1482</v>
      </c>
      <c r="E1005" t="s">
        <v>4263</v>
      </c>
      <c r="G1005" t="s">
        <v>8946</v>
      </c>
      <c r="H1005" t="s">
        <v>1327</v>
      </c>
      <c r="I1005" t="s">
        <v>14</v>
      </c>
      <c r="K1005" t="s">
        <v>7896</v>
      </c>
      <c r="P1005" t="str">
        <f>"Update Project Set Organisation = '"&amp;H1005&amp;"' where Project_ID = '"&amp;A1005&amp;"'; "</f>
        <v xml:space="preserve">Update Project Set Organisation = 'Griffith University' where Project_ID = 'P1011'; </v>
      </c>
      <c r="Q1005" t="str">
        <f>"Update Project Set Library_name = '"&amp;L1005&amp;"' , COADD_ID = '"&amp;M1005&amp;"' where Project_ID = '"&amp;A1005&amp;"'; "</f>
        <v xml:space="preserve">Update Project Set Library_name = '' , COADD_ID = '' where Project_ID = 'P1011'; </v>
      </c>
    </row>
    <row r="1006" spans="1:17">
      <c r="A1006" t="s">
        <v>8060</v>
      </c>
      <c r="B1006" t="s">
        <v>8011</v>
      </c>
      <c r="C1006" t="s">
        <v>5633</v>
      </c>
      <c r="D1006" t="s">
        <v>2683</v>
      </c>
      <c r="E1006" t="s">
        <v>2682</v>
      </c>
      <c r="G1006" t="s">
        <v>9235</v>
      </c>
      <c r="H1006" t="s">
        <v>691</v>
      </c>
      <c r="I1006" t="s">
        <v>694</v>
      </c>
      <c r="K1006" t="s">
        <v>7896</v>
      </c>
      <c r="P1006" t="str">
        <f>"Update Project Set Organisation = '"&amp;H1006&amp;"' where Project_ID = '"&amp;A1006&amp;"'; "</f>
        <v xml:space="preserve">Update Project Set Organisation = 'University of Vienna' where Project_ID = 'P1012'; </v>
      </c>
      <c r="Q1006" t="str">
        <f>"Update Project Set Library_name = '"&amp;L1006&amp;"' , COADD_ID = '"&amp;M1006&amp;"' where Project_ID = '"&amp;A1006&amp;"'; "</f>
        <v xml:space="preserve">Update Project Set Library_name = '' , COADD_ID = '' where Project_ID = 'P1012'; </v>
      </c>
    </row>
    <row r="1007" spans="1:17">
      <c r="A1007" t="s">
        <v>8062</v>
      </c>
      <c r="B1007" t="s">
        <v>8061</v>
      </c>
      <c r="C1007" t="s">
        <v>5633</v>
      </c>
      <c r="D1007" t="s">
        <v>1398</v>
      </c>
      <c r="E1007" t="s">
        <v>2423</v>
      </c>
      <c r="G1007" t="s">
        <v>9187</v>
      </c>
      <c r="H1007" t="s">
        <v>1294</v>
      </c>
      <c r="I1007" t="s">
        <v>223</v>
      </c>
      <c r="K1007" t="s">
        <v>5837</v>
      </c>
      <c r="P1007" t="str">
        <f>"Update Project Set Organisation = '"&amp;H1007&amp;"' where Project_ID = '"&amp;A1007&amp;"'; "</f>
        <v xml:space="preserve">Update Project Set Organisation = 'University of Otago' where Project_ID = 'P1013'; </v>
      </c>
      <c r="Q1007" t="str">
        <f>"Update Project Set Library_name = '"&amp;L1007&amp;"' , COADD_ID = '"&amp;M1007&amp;"' where Project_ID = '"&amp;A1007&amp;"'; "</f>
        <v xml:space="preserve">Update Project Set Library_name = '' , COADD_ID = '' where Project_ID = 'P1013'; </v>
      </c>
    </row>
    <row r="1008" spans="1:17">
      <c r="A1008" t="s">
        <v>8064</v>
      </c>
      <c r="B1008" t="s">
        <v>8063</v>
      </c>
      <c r="C1008" t="s">
        <v>5633</v>
      </c>
      <c r="D1008" t="s">
        <v>761</v>
      </c>
      <c r="E1008" t="s">
        <v>760</v>
      </c>
      <c r="G1008" t="s">
        <v>9025</v>
      </c>
      <c r="H1008" t="s">
        <v>517</v>
      </c>
      <c r="I1008" t="s">
        <v>14</v>
      </c>
      <c r="K1008" t="s">
        <v>7896</v>
      </c>
      <c r="P1008" t="str">
        <f>"Update Project Set Organisation = '"&amp;H1008&amp;"' where Project_ID = '"&amp;A1008&amp;"'; "</f>
        <v xml:space="preserve">Update Project Set Organisation = 'Monash University' where Project_ID = 'P1014'; </v>
      </c>
      <c r="Q1008" t="str">
        <f>"Update Project Set Library_name = '"&amp;L1008&amp;"' , COADD_ID = '"&amp;M1008&amp;"' where Project_ID = '"&amp;A1008&amp;"'; "</f>
        <v xml:space="preserve">Update Project Set Library_name = '' , COADD_ID = '' where Project_ID = 'P1014'; </v>
      </c>
    </row>
    <row r="1009" spans="1:17">
      <c r="A1009" t="s">
        <v>8066</v>
      </c>
      <c r="B1009" t="s">
        <v>8065</v>
      </c>
      <c r="C1009" t="s">
        <v>5633</v>
      </c>
      <c r="D1009" t="s">
        <v>1062</v>
      </c>
      <c r="E1009" t="s">
        <v>2095</v>
      </c>
      <c r="F1009" t="s">
        <v>3400</v>
      </c>
      <c r="G1009" t="s">
        <v>8889</v>
      </c>
      <c r="H1009" t="s">
        <v>1066</v>
      </c>
      <c r="I1009" t="s">
        <v>14</v>
      </c>
      <c r="K1009" t="s">
        <v>5837</v>
      </c>
      <c r="P1009" t="str">
        <f>"Update Project Set Organisation = '"&amp;H1009&amp;"' where Project_ID = '"&amp;A1009&amp;"'; "</f>
        <v xml:space="preserve">Update Project Set Organisation = 'Australian National University (ANU)' where Project_ID = 'P1015'; </v>
      </c>
      <c r="Q1009" t="str">
        <f>"Update Project Set Library_name = '"&amp;L1009&amp;"' , COADD_ID = '"&amp;M1009&amp;"' where Project_ID = '"&amp;A1009&amp;"'; "</f>
        <v xml:space="preserve">Update Project Set Library_name = '' , COADD_ID = '' where Project_ID = 'P1015'; </v>
      </c>
    </row>
    <row r="1010" spans="1:17">
      <c r="A1010" t="s">
        <v>8068</v>
      </c>
      <c r="B1010" t="s">
        <v>8067</v>
      </c>
      <c r="C1010" t="s">
        <v>5633</v>
      </c>
      <c r="D1010" t="s">
        <v>5026</v>
      </c>
      <c r="E1010" t="s">
        <v>5025</v>
      </c>
      <c r="G1010" t="s">
        <v>8885</v>
      </c>
      <c r="H1010" t="s">
        <v>5029</v>
      </c>
      <c r="I1010" t="s">
        <v>211</v>
      </c>
      <c r="K1010" t="s">
        <v>5837</v>
      </c>
      <c r="P1010" t="str">
        <f>"Update Project Set Organisation = '"&amp;H1010&amp;"' where Project_ID = '"&amp;A1010&amp;"'; "</f>
        <v xml:space="preserve">Update Project Set Organisation = 'Atmiya University' where Project_ID = 'P1016'; </v>
      </c>
      <c r="Q1010" t="str">
        <f>"Update Project Set Library_name = '"&amp;L1010&amp;"' , COADD_ID = '"&amp;M1010&amp;"' where Project_ID = '"&amp;A1010&amp;"'; "</f>
        <v xml:space="preserve">Update Project Set Library_name = '' , COADD_ID = '' where Project_ID = 'P1016'; </v>
      </c>
    </row>
    <row r="1011" spans="1:17">
      <c r="A1011" t="s">
        <v>8069</v>
      </c>
      <c r="B1011" t="s">
        <v>7977</v>
      </c>
      <c r="C1011" t="s">
        <v>5633</v>
      </c>
      <c r="D1011" t="s">
        <v>403</v>
      </c>
      <c r="E1011" t="s">
        <v>3181</v>
      </c>
      <c r="F1011" t="s">
        <v>4843</v>
      </c>
      <c r="G1011" t="s">
        <v>9159</v>
      </c>
      <c r="H1011" t="s">
        <v>5799</v>
      </c>
      <c r="I1011" t="s">
        <v>408</v>
      </c>
      <c r="K1011" t="s">
        <v>5837</v>
      </c>
      <c r="P1011" t="str">
        <f>"Update Project Set Organisation = '"&amp;H1011&amp;"' where Project_ID = '"&amp;A1011&amp;"'; "</f>
        <v xml:space="preserve">Update Project Set Organisation = 'University of Lisbon' where Project_ID = 'P1017'; </v>
      </c>
      <c r="Q1011" t="str">
        <f>"Update Project Set Library_name = '"&amp;L1011&amp;"' , COADD_ID = '"&amp;M1011&amp;"' where Project_ID = '"&amp;A1011&amp;"'; "</f>
        <v xml:space="preserve">Update Project Set Library_name = '' , COADD_ID = '' where Project_ID = 'P1017'; </v>
      </c>
    </row>
    <row r="1012" spans="1:17">
      <c r="A1012" t="s">
        <v>8070</v>
      </c>
      <c r="C1012" t="s">
        <v>5633</v>
      </c>
      <c r="D1012" t="s">
        <v>1725</v>
      </c>
      <c r="E1012" t="s">
        <v>1896</v>
      </c>
      <c r="G1012" t="s">
        <v>8965</v>
      </c>
      <c r="H1012" t="s">
        <v>8152</v>
      </c>
      <c r="I1012" t="s">
        <v>1256</v>
      </c>
      <c r="K1012" t="s">
        <v>5837</v>
      </c>
      <c r="P1012" t="str">
        <f>"Update Project Set Organisation = '"&amp;H1012&amp;"' where Project_ID = '"&amp;A1012&amp;"'; "</f>
        <v xml:space="preserve">Update Project Set Organisation = 'Institut Català Investigació Química (ICIQ)' where Project_ID = 'P1018'; </v>
      </c>
      <c r="Q1012" t="str">
        <f>"Update Project Set Library_name = '"&amp;L1012&amp;"' , COADD_ID = '"&amp;M1012&amp;"' where Project_ID = '"&amp;A1012&amp;"'; "</f>
        <v xml:space="preserve">Update Project Set Library_name = '' , COADD_ID = '' where Project_ID = 'P1018'; </v>
      </c>
    </row>
    <row r="1013" spans="1:17">
      <c r="A1013" t="s">
        <v>8072</v>
      </c>
      <c r="B1013" t="s">
        <v>8071</v>
      </c>
      <c r="C1013" t="s">
        <v>5633</v>
      </c>
      <c r="D1013" t="s">
        <v>1482</v>
      </c>
      <c r="E1013" t="s">
        <v>4263</v>
      </c>
      <c r="G1013" t="s">
        <v>8946</v>
      </c>
      <c r="H1013" t="s">
        <v>1327</v>
      </c>
      <c r="I1013" t="s">
        <v>14</v>
      </c>
      <c r="P1013" t="str">
        <f>"Update Project Set Organisation = '"&amp;H1013&amp;"' where Project_ID = '"&amp;A1013&amp;"'; "</f>
        <v xml:space="preserve">Update Project Set Organisation = 'Griffith University' where Project_ID = 'P1019'; </v>
      </c>
      <c r="Q1013" t="str">
        <f>"Update Project Set Library_name = '"&amp;L1013&amp;"' , COADD_ID = '"&amp;M1013&amp;"' where Project_ID = '"&amp;A1013&amp;"'; "</f>
        <v xml:space="preserve">Update Project Set Library_name = '' , COADD_ID = '' where Project_ID = 'P1019'; </v>
      </c>
    </row>
    <row r="1014" spans="1:17">
      <c r="A1014" t="s">
        <v>8074</v>
      </c>
      <c r="B1014" t="s">
        <v>8073</v>
      </c>
      <c r="C1014" t="s">
        <v>5633</v>
      </c>
      <c r="D1014" t="s">
        <v>3773</v>
      </c>
      <c r="E1014" t="s">
        <v>3772</v>
      </c>
      <c r="G1014" t="s">
        <v>8973</v>
      </c>
      <c r="H1014" t="s">
        <v>3774</v>
      </c>
      <c r="I1014" t="s">
        <v>211</v>
      </c>
      <c r="P1014" t="str">
        <f>"Update Project Set Organisation = '"&amp;H1014&amp;"' where Project_ID = '"&amp;A1014&amp;"'; "</f>
        <v xml:space="preserve">Update Project Set Organisation = 'Integral University' where Project_ID = 'P1020'; </v>
      </c>
      <c r="Q1014" t="str">
        <f>"Update Project Set Library_name = '"&amp;L1014&amp;"' , COADD_ID = '"&amp;M1014&amp;"' where Project_ID = '"&amp;A1014&amp;"'; "</f>
        <v xml:space="preserve">Update Project Set Library_name = '' , COADD_ID = '' where Project_ID = 'P1020'; </v>
      </c>
    </row>
    <row r="1015" spans="1:17">
      <c r="A1015" t="s">
        <v>8075</v>
      </c>
      <c r="B1015" t="s">
        <v>7843</v>
      </c>
      <c r="C1015" t="s">
        <v>5633</v>
      </c>
      <c r="D1015" t="s">
        <v>1020</v>
      </c>
      <c r="E1015" t="s">
        <v>1312</v>
      </c>
      <c r="F1015" t="s">
        <v>1019</v>
      </c>
      <c r="G1015" t="s">
        <v>9131</v>
      </c>
      <c r="H1015" t="s">
        <v>596</v>
      </c>
      <c r="I1015" t="s">
        <v>223</v>
      </c>
      <c r="P1015" t="str">
        <f>"Update Project Set Organisation = '"&amp;H1015&amp;"' where Project_ID = '"&amp;A1015&amp;"'; "</f>
        <v xml:space="preserve">Update Project Set Organisation = 'University of Auckland' where Project_ID = 'P1021'; </v>
      </c>
      <c r="Q1015" t="str">
        <f>"Update Project Set Library_name = '"&amp;L1015&amp;"' , COADD_ID = '"&amp;M1015&amp;"' where Project_ID = '"&amp;A1015&amp;"'; "</f>
        <v xml:space="preserve">Update Project Set Library_name = '' , COADD_ID = '' where Project_ID = 'P1021'; </v>
      </c>
    </row>
    <row r="1016" spans="1:17">
      <c r="A1016" t="s">
        <v>8081</v>
      </c>
      <c r="B1016" t="s">
        <v>8080</v>
      </c>
      <c r="C1016" t="s">
        <v>8079</v>
      </c>
      <c r="D1016" t="s">
        <v>2002</v>
      </c>
      <c r="E1016" t="s">
        <v>5469</v>
      </c>
      <c r="F1016" t="s">
        <v>1811</v>
      </c>
      <c r="G1016" t="s">
        <v>9204</v>
      </c>
      <c r="H1016" t="s">
        <v>362</v>
      </c>
      <c r="I1016" t="s">
        <v>14</v>
      </c>
      <c r="J1016" t="s">
        <v>8078</v>
      </c>
      <c r="K1016" t="s">
        <v>5828</v>
      </c>
      <c r="L1016" t="s">
        <v>8077</v>
      </c>
      <c r="M1016" t="s">
        <v>8076</v>
      </c>
      <c r="N1016" s="2">
        <v>45657</v>
      </c>
      <c r="P1016" t="str">
        <f>"Update Project Set Organisation = '"&amp;H1016&amp;"' where Project_ID = '"&amp;A1016&amp;"'; "</f>
        <v xml:space="preserve">Update Project Set Organisation = 'University of Queensland' where Project_ID = 'PC001'; </v>
      </c>
      <c r="Q1016" t="str">
        <f>"Update Project Set Library_name = '"&amp;L1016&amp;"' , COADD_ID = '"&amp;M1016&amp;"' where Project_ID = '"&amp;A1016&amp;"'; "</f>
        <v xml:space="preserve">Update Project Set Library_name = 'Antibacterial Drugs' , COADD_ID = 'CO-ADD:PL0001' where Project_ID = 'PC001'; </v>
      </c>
    </row>
    <row r="1017" spans="1:17">
      <c r="A1017" t="s">
        <v>8085</v>
      </c>
      <c r="B1017" t="s">
        <v>8084</v>
      </c>
      <c r="C1017" t="s">
        <v>8079</v>
      </c>
      <c r="D1017" t="s">
        <v>2002</v>
      </c>
      <c r="E1017" t="s">
        <v>5469</v>
      </c>
      <c r="F1017" t="s">
        <v>1811</v>
      </c>
      <c r="G1017" t="s">
        <v>9204</v>
      </c>
      <c r="H1017" t="s">
        <v>362</v>
      </c>
      <c r="I1017" t="s">
        <v>14</v>
      </c>
      <c r="J1017" t="s">
        <v>8078</v>
      </c>
      <c r="K1017" t="s">
        <v>5828</v>
      </c>
      <c r="L1017" t="s">
        <v>8083</v>
      </c>
      <c r="M1017" t="s">
        <v>8082</v>
      </c>
      <c r="N1017" s="2">
        <v>45657</v>
      </c>
      <c r="P1017" t="str">
        <f>"Update Project Set Organisation = '"&amp;H1017&amp;"' where Project_ID = '"&amp;A1017&amp;"'; "</f>
        <v xml:space="preserve">Update Project Set Organisation = 'University of Queensland' where Project_ID = 'PC002'; </v>
      </c>
      <c r="Q1017" t="str">
        <f>"Update Project Set Library_name = '"&amp;L1017&amp;"' , COADD_ID = '"&amp;M1017&amp;"' where Project_ID = '"&amp;A1017&amp;"'; "</f>
        <v xml:space="preserve">Update Project Set Library_name = 'Antifungal Drugs' , COADD_ID = 'CO-ADD:PL0002' where Project_ID = 'PC002'; </v>
      </c>
    </row>
    <row r="1018" spans="1:17">
      <c r="A1018" t="s">
        <v>8087</v>
      </c>
      <c r="B1018" t="s">
        <v>8086</v>
      </c>
      <c r="C1018" t="s">
        <v>8079</v>
      </c>
      <c r="D1018" t="s">
        <v>2002</v>
      </c>
      <c r="E1018" t="s">
        <v>1811</v>
      </c>
      <c r="G1018" t="s">
        <v>9204</v>
      </c>
      <c r="H1018" t="s">
        <v>362</v>
      </c>
      <c r="I1018" t="s">
        <v>14</v>
      </c>
      <c r="K1018" t="s">
        <v>5828</v>
      </c>
      <c r="L1018" t="s">
        <v>5922</v>
      </c>
      <c r="M1018" t="s">
        <v>8434</v>
      </c>
      <c r="N1018" s="2">
        <v>45657</v>
      </c>
      <c r="P1018" t="str">
        <f>"Update Project Set Organisation = '"&amp;H1018&amp;"' where Project_ID = '"&amp;A1018&amp;"'; "</f>
        <v xml:space="preserve">Update Project Set Organisation = 'University of Queensland' where Project_ID = 'PC003'; </v>
      </c>
      <c r="Q1018" t="str">
        <f>"Update Project Set Library_name = '"&amp;L1018&amp;"' , COADD_ID = '"&amp;M1018&amp;"' where Project_ID = '"&amp;A1018&amp;"'; "</f>
        <v xml:space="preserve">Update Project Set Library_name = 'University of Queensland (Australia)' , COADD_ID = 'CO-ADD:PCC003' where Project_ID = 'PC003'; </v>
      </c>
    </row>
    <row r="1019" spans="1:17">
      <c r="A1019" t="s">
        <v>8090</v>
      </c>
      <c r="B1019" t="s">
        <v>8089</v>
      </c>
      <c r="C1019" t="s">
        <v>8088</v>
      </c>
      <c r="D1019" t="s">
        <v>448</v>
      </c>
      <c r="E1019" t="s">
        <v>1811</v>
      </c>
      <c r="G1019" t="s">
        <v>8900</v>
      </c>
      <c r="H1019" t="s">
        <v>362</v>
      </c>
      <c r="I1019" t="s">
        <v>14</v>
      </c>
      <c r="K1019" t="s">
        <v>5806</v>
      </c>
      <c r="P1019" t="str">
        <f>"Update Project Set Organisation = '"&amp;H1019&amp;"' where Project_ID = '"&amp;A1019&amp;"'; "</f>
        <v xml:space="preserve">Update Project Set Organisation = 'University of Queensland' where Project_ID = 'PMC002'; </v>
      </c>
      <c r="Q1019" t="str">
        <f>"Update Project Set Library_name = '"&amp;L1019&amp;"' , COADD_ID = '"&amp;M1019&amp;"' where Project_ID = '"&amp;A1019&amp;"'; "</f>
        <v xml:space="preserve">Update Project Set Library_name = '' , COADD_ID = '' where Project_ID = 'PMC002'; </v>
      </c>
    </row>
    <row r="1020" spans="1:17">
      <c r="A1020" t="s">
        <v>8092</v>
      </c>
      <c r="B1020" t="s">
        <v>8091</v>
      </c>
      <c r="C1020" t="s">
        <v>8088</v>
      </c>
      <c r="D1020" t="s">
        <v>448</v>
      </c>
      <c r="E1020" t="s">
        <v>4916</v>
      </c>
      <c r="G1020" t="s">
        <v>8900</v>
      </c>
      <c r="H1020" t="s">
        <v>362</v>
      </c>
      <c r="I1020" t="s">
        <v>14</v>
      </c>
      <c r="K1020" t="s">
        <v>5806</v>
      </c>
      <c r="P1020" t="str">
        <f>"Update Project Set Organisation = '"&amp;H1020&amp;"' where Project_ID = '"&amp;A1020&amp;"'; "</f>
        <v xml:space="preserve">Update Project Set Organisation = 'University of Queensland' where Project_ID = 'PMC027'; </v>
      </c>
      <c r="Q1020" t="str">
        <f>"Update Project Set Library_name = '"&amp;L1020&amp;"' , COADD_ID = '"&amp;M1020&amp;"' where Project_ID = '"&amp;A1020&amp;"'; "</f>
        <v xml:space="preserve">Update Project Set Library_name = '' , COADD_ID = '' where Project_ID = 'PMC027'; </v>
      </c>
    </row>
    <row r="1021" spans="1:17">
      <c r="A1021" t="s">
        <v>8094</v>
      </c>
      <c r="B1021" t="s">
        <v>8093</v>
      </c>
      <c r="C1021" t="s">
        <v>8088</v>
      </c>
      <c r="D1021" t="s">
        <v>448</v>
      </c>
      <c r="E1021" t="s">
        <v>447</v>
      </c>
      <c r="G1021" t="s">
        <v>8900</v>
      </c>
      <c r="H1021" t="s">
        <v>362</v>
      </c>
      <c r="I1021" t="s">
        <v>14</v>
      </c>
      <c r="K1021" t="s">
        <v>5806</v>
      </c>
      <c r="P1021" t="str">
        <f>"Update Project Set Organisation = '"&amp;H1021&amp;"' where Project_ID = '"&amp;A1021&amp;"'; "</f>
        <v xml:space="preserve">Update Project Set Organisation = 'University of Queensland' where Project_ID = 'PMC029'; </v>
      </c>
      <c r="Q1021" t="str">
        <f>"Update Project Set Library_name = '"&amp;L1021&amp;"' , COADD_ID = '"&amp;M1021&amp;"' where Project_ID = '"&amp;A1021&amp;"'; "</f>
        <v xml:space="preserve">Update Project Set Library_name = '' , COADD_ID = '' where Project_ID = 'PMC029'; </v>
      </c>
    </row>
    <row r="1022" spans="1:17">
      <c r="A1022" t="s">
        <v>8096</v>
      </c>
      <c r="B1022" t="s">
        <v>8095</v>
      </c>
      <c r="C1022" t="s">
        <v>8088</v>
      </c>
      <c r="D1022" t="s">
        <v>448</v>
      </c>
      <c r="E1022" t="s">
        <v>447</v>
      </c>
      <c r="G1022" t="s">
        <v>8900</v>
      </c>
      <c r="H1022" t="s">
        <v>362</v>
      </c>
      <c r="I1022" t="s">
        <v>14</v>
      </c>
      <c r="K1022" t="s">
        <v>5806</v>
      </c>
      <c r="P1022" t="str">
        <f>"Update Project Set Organisation = '"&amp;H1022&amp;"' where Project_ID = '"&amp;A1022&amp;"'; "</f>
        <v xml:space="preserve">Update Project Set Organisation = 'University of Queensland' where Project_ID = 'PMC033'; </v>
      </c>
      <c r="Q1022" t="str">
        <f>"Update Project Set Library_name = '"&amp;L1022&amp;"' , COADD_ID = '"&amp;M1022&amp;"' where Project_ID = '"&amp;A1022&amp;"'; "</f>
        <v xml:space="preserve">Update Project Set Library_name = '' , COADD_ID = '' where Project_ID = 'PMC033'; </v>
      </c>
    </row>
    <row r="1023" spans="1:17">
      <c r="A1023" t="s">
        <v>8098</v>
      </c>
      <c r="B1023" t="s">
        <v>8097</v>
      </c>
      <c r="C1023" t="s">
        <v>8088</v>
      </c>
      <c r="D1023" t="s">
        <v>2002</v>
      </c>
      <c r="E1023" t="s">
        <v>1811</v>
      </c>
      <c r="G1023" t="s">
        <v>9204</v>
      </c>
      <c r="H1023" t="s">
        <v>362</v>
      </c>
      <c r="I1023" t="s">
        <v>14</v>
      </c>
      <c r="K1023" t="s">
        <v>5843</v>
      </c>
      <c r="P1023" t="str">
        <f>"Update Project Set Organisation = '"&amp;H1023&amp;"' where Project_ID = '"&amp;A1023&amp;"'; "</f>
        <v xml:space="preserve">Update Project Set Organisation = 'University of Queensland' where Project_ID = 'PMC036'; </v>
      </c>
      <c r="Q1023" t="str">
        <f>"Update Project Set Library_name = '"&amp;L1023&amp;"' , COADD_ID = '"&amp;M1023&amp;"' where Project_ID = '"&amp;A1023&amp;"'; "</f>
        <v xml:space="preserve">Update Project Set Library_name = '' , COADD_ID = '' where Project_ID = 'PMC036'; </v>
      </c>
    </row>
    <row r="1024" spans="1:17">
      <c r="A1024" t="s">
        <v>8100</v>
      </c>
      <c r="B1024" t="s">
        <v>8099</v>
      </c>
      <c r="C1024" t="s">
        <v>8088</v>
      </c>
      <c r="D1024" t="s">
        <v>448</v>
      </c>
      <c r="E1024" t="s">
        <v>1811</v>
      </c>
      <c r="G1024" t="s">
        <v>8900</v>
      </c>
      <c r="H1024" t="s">
        <v>362</v>
      </c>
      <c r="I1024" t="s">
        <v>14</v>
      </c>
      <c r="K1024" t="s">
        <v>5806</v>
      </c>
      <c r="P1024" t="str">
        <f>"Update Project Set Organisation = '"&amp;H1024&amp;"' where Project_ID = '"&amp;A1024&amp;"'; "</f>
        <v xml:space="preserve">Update Project Set Organisation = 'University of Queensland' where Project_ID = 'PMC037'; </v>
      </c>
      <c r="Q1024" t="str">
        <f>"Update Project Set Library_name = '"&amp;L1024&amp;"' , COADD_ID = '"&amp;M1024&amp;"' where Project_ID = '"&amp;A1024&amp;"'; "</f>
        <v xml:space="preserve">Update Project Set Library_name = '' , COADD_ID = '' where Project_ID = 'PMC037'; </v>
      </c>
    </row>
    <row r="1025" spans="1:17">
      <c r="A1025" t="s">
        <v>8102</v>
      </c>
      <c r="B1025" t="s">
        <v>8101</v>
      </c>
      <c r="C1025" t="s">
        <v>8088</v>
      </c>
      <c r="D1025" t="s">
        <v>448</v>
      </c>
      <c r="E1025" t="s">
        <v>1811</v>
      </c>
      <c r="G1025" t="s">
        <v>8900</v>
      </c>
      <c r="H1025" t="s">
        <v>362</v>
      </c>
      <c r="I1025" t="s">
        <v>14</v>
      </c>
      <c r="K1025" t="s">
        <v>5806</v>
      </c>
      <c r="P1025" t="str">
        <f>"Update Project Set Organisation = '"&amp;H1025&amp;"' where Project_ID = '"&amp;A1025&amp;"'; "</f>
        <v xml:space="preserve">Update Project Set Organisation = 'University of Queensland' where Project_ID = 'PMC043'; </v>
      </c>
      <c r="Q1025" t="str">
        <f>"Update Project Set Library_name = '"&amp;L1025&amp;"' , COADD_ID = '"&amp;M1025&amp;"' where Project_ID = '"&amp;A1025&amp;"'; "</f>
        <v xml:space="preserve">Update Project Set Library_name = '' , COADD_ID = '' where Project_ID = 'PMC043'; </v>
      </c>
    </row>
    <row r="1026" spans="1:17">
      <c r="A1026" t="s">
        <v>8104</v>
      </c>
      <c r="B1026" t="s">
        <v>8103</v>
      </c>
      <c r="C1026" t="s">
        <v>8088</v>
      </c>
      <c r="D1026" t="s">
        <v>2002</v>
      </c>
      <c r="E1026" t="s">
        <v>5469</v>
      </c>
      <c r="G1026" t="s">
        <v>9204</v>
      </c>
      <c r="H1026" t="s">
        <v>362</v>
      </c>
      <c r="I1026" t="s">
        <v>14</v>
      </c>
      <c r="K1026" t="s">
        <v>5837</v>
      </c>
      <c r="P1026" t="str">
        <f>"Update Project Set Organisation = '"&amp;H1026&amp;"' where Project_ID = '"&amp;A1026&amp;"'; "</f>
        <v xml:space="preserve">Update Project Set Organisation = 'University of Queensland' where Project_ID = 'PMC045'; </v>
      </c>
      <c r="Q1026" t="str">
        <f>"Update Project Set Library_name = '"&amp;L1026&amp;"' , COADD_ID = '"&amp;M1026&amp;"' where Project_ID = '"&amp;A1026&amp;"'; "</f>
        <v xml:space="preserve">Update Project Set Library_name = '' , COADD_ID = '' where Project_ID = 'PMC045'; </v>
      </c>
    </row>
    <row r="1027" spans="1:17">
      <c r="A1027" t="s">
        <v>8106</v>
      </c>
      <c r="B1027" t="s">
        <v>8105</v>
      </c>
      <c r="C1027" t="s">
        <v>8088</v>
      </c>
      <c r="D1027" t="s">
        <v>2002</v>
      </c>
      <c r="E1027" t="s">
        <v>2001</v>
      </c>
      <c r="F1027" t="s">
        <v>807</v>
      </c>
      <c r="G1027" t="s">
        <v>9204</v>
      </c>
      <c r="H1027" t="s">
        <v>362</v>
      </c>
      <c r="I1027" t="s">
        <v>14</v>
      </c>
      <c r="K1027" t="s">
        <v>5806</v>
      </c>
      <c r="P1027" t="str">
        <f>"Update Project Set Organisation = '"&amp;H1027&amp;"' where Project_ID = '"&amp;A1027&amp;"'; "</f>
        <v xml:space="preserve">Update Project Set Organisation = 'University of Queensland' where Project_ID = 'PMC046'; </v>
      </c>
      <c r="Q1027" t="str">
        <f>"Update Project Set Library_name = '"&amp;L1027&amp;"' , COADD_ID = '"&amp;M1027&amp;"' where Project_ID = '"&amp;A1027&amp;"'; "</f>
        <v xml:space="preserve">Update Project Set Library_name = '' , COADD_ID = '' where Project_ID = 'PMC046'; </v>
      </c>
    </row>
    <row r="1028" spans="1:17">
      <c r="A1028" t="s">
        <v>8108</v>
      </c>
      <c r="B1028" t="s">
        <v>8107</v>
      </c>
      <c r="C1028" t="s">
        <v>8088</v>
      </c>
      <c r="D1028" t="s">
        <v>448</v>
      </c>
      <c r="E1028" t="s">
        <v>3801</v>
      </c>
      <c r="F1028" t="s">
        <v>5463</v>
      </c>
      <c r="G1028" t="s">
        <v>8900</v>
      </c>
      <c r="H1028" t="s">
        <v>362</v>
      </c>
      <c r="I1028" t="s">
        <v>14</v>
      </c>
      <c r="K1028" t="s">
        <v>5806</v>
      </c>
      <c r="P1028" t="str">
        <f>"Update Project Set Organisation = '"&amp;H1028&amp;"' where Project_ID = '"&amp;A1028&amp;"'; "</f>
        <v xml:space="preserve">Update Project Set Organisation = 'University of Queensland' where Project_ID = 'PMC047'; </v>
      </c>
      <c r="Q1028" t="str">
        <f>"Update Project Set Library_name = '"&amp;L1028&amp;"' , COADD_ID = '"&amp;M1028&amp;"' where Project_ID = '"&amp;A1028&amp;"'; "</f>
        <v xml:space="preserve">Update Project Set Library_name = '' , COADD_ID = '' where Project_ID = 'PMC047'; </v>
      </c>
    </row>
    <row r="1029" spans="1:17">
      <c r="A1029" t="s">
        <v>8110</v>
      </c>
      <c r="B1029" t="s">
        <v>8109</v>
      </c>
      <c r="C1029" t="s">
        <v>8088</v>
      </c>
      <c r="D1029" t="s">
        <v>448</v>
      </c>
      <c r="E1029" t="s">
        <v>2398</v>
      </c>
      <c r="G1029" t="s">
        <v>8900</v>
      </c>
      <c r="H1029" t="s">
        <v>362</v>
      </c>
      <c r="I1029" t="s">
        <v>14</v>
      </c>
      <c r="K1029" t="s">
        <v>5806</v>
      </c>
      <c r="P1029" t="str">
        <f>"Update Project Set Organisation = '"&amp;H1029&amp;"' where Project_ID = '"&amp;A1029&amp;"'; "</f>
        <v xml:space="preserve">Update Project Set Organisation = 'University of Queensland' where Project_ID = 'PMC048'; </v>
      </c>
      <c r="Q1029" t="str">
        <f>"Update Project Set Library_name = '"&amp;L1029&amp;"' , COADD_ID = '"&amp;M1029&amp;"' where Project_ID = '"&amp;A1029&amp;"'; "</f>
        <v xml:space="preserve">Update Project Set Library_name = '' , COADD_ID = '' where Project_ID = 'PMC048'; </v>
      </c>
    </row>
    <row r="1030" spans="1:17">
      <c r="A1030" t="s">
        <v>8112</v>
      </c>
      <c r="B1030" t="s">
        <v>8111</v>
      </c>
      <c r="C1030" t="s">
        <v>8088</v>
      </c>
      <c r="D1030" t="s">
        <v>448</v>
      </c>
      <c r="E1030" t="s">
        <v>2398</v>
      </c>
      <c r="G1030" t="s">
        <v>8900</v>
      </c>
      <c r="H1030" t="s">
        <v>362</v>
      </c>
      <c r="I1030" t="s">
        <v>14</v>
      </c>
      <c r="K1030" t="s">
        <v>5806</v>
      </c>
      <c r="P1030" t="str">
        <f>"Update Project Set Organisation = '"&amp;H1030&amp;"' where Project_ID = '"&amp;A1030&amp;"'; "</f>
        <v xml:space="preserve">Update Project Set Organisation = 'University of Queensland' where Project_ID = 'PMC050'; </v>
      </c>
      <c r="Q1030" t="str">
        <f>"Update Project Set Library_name = '"&amp;L1030&amp;"' , COADD_ID = '"&amp;M1030&amp;"' where Project_ID = '"&amp;A1030&amp;"'; "</f>
        <v xml:space="preserve">Update Project Set Library_name = '' , COADD_ID = '' where Project_ID = 'PMC050'; </v>
      </c>
    </row>
    <row r="1031" spans="1:17">
      <c r="A1031" t="s">
        <v>8114</v>
      </c>
      <c r="B1031" t="s">
        <v>8113</v>
      </c>
      <c r="C1031" t="s">
        <v>8088</v>
      </c>
      <c r="D1031" t="s">
        <v>448</v>
      </c>
      <c r="E1031" t="s">
        <v>2398</v>
      </c>
      <c r="G1031" t="s">
        <v>8900</v>
      </c>
      <c r="H1031" t="s">
        <v>362</v>
      </c>
      <c r="I1031" t="s">
        <v>14</v>
      </c>
      <c r="K1031" t="s">
        <v>5806</v>
      </c>
      <c r="P1031" t="str">
        <f>"Update Project Set Organisation = '"&amp;H1031&amp;"' where Project_ID = '"&amp;A1031&amp;"'; "</f>
        <v xml:space="preserve">Update Project Set Organisation = 'University of Queensland' where Project_ID = 'PMC051'; </v>
      </c>
      <c r="Q1031" t="str">
        <f>"Update Project Set Library_name = '"&amp;L1031&amp;"' , COADD_ID = '"&amp;M1031&amp;"' where Project_ID = '"&amp;A1031&amp;"'; "</f>
        <v xml:space="preserve">Update Project Set Library_name = '' , COADD_ID = '' where Project_ID = 'PMC051'; </v>
      </c>
    </row>
    <row r="1032" spans="1:17">
      <c r="A1032" t="s">
        <v>8116</v>
      </c>
      <c r="B1032" t="s">
        <v>8115</v>
      </c>
      <c r="C1032" t="s">
        <v>8088</v>
      </c>
      <c r="D1032" t="s">
        <v>448</v>
      </c>
      <c r="E1032" t="s">
        <v>2398</v>
      </c>
      <c r="G1032" t="s">
        <v>8900</v>
      </c>
      <c r="H1032" t="s">
        <v>362</v>
      </c>
      <c r="I1032" t="s">
        <v>14</v>
      </c>
      <c r="K1032" t="s">
        <v>5806</v>
      </c>
      <c r="P1032" t="str">
        <f>"Update Project Set Organisation = '"&amp;H1032&amp;"' where Project_ID = '"&amp;A1032&amp;"'; "</f>
        <v xml:space="preserve">Update Project Set Organisation = 'University of Queensland' where Project_ID = 'PMC052'; </v>
      </c>
      <c r="Q1032" t="str">
        <f>"Update Project Set Library_name = '"&amp;L1032&amp;"' , COADD_ID = '"&amp;M1032&amp;"' where Project_ID = '"&amp;A1032&amp;"'; "</f>
        <v xml:space="preserve">Update Project Set Library_name = '' , COADD_ID = '' where Project_ID = 'PMC052'; </v>
      </c>
    </row>
    <row r="1033" spans="1:17">
      <c r="A1033" t="s">
        <v>8118</v>
      </c>
      <c r="B1033" t="s">
        <v>8117</v>
      </c>
      <c r="C1033" t="s">
        <v>5833</v>
      </c>
      <c r="D1033" t="s">
        <v>448</v>
      </c>
      <c r="E1033" t="s">
        <v>1811</v>
      </c>
      <c r="G1033" t="s">
        <v>8900</v>
      </c>
      <c r="H1033" t="s">
        <v>517</v>
      </c>
      <c r="I1033" t="s">
        <v>14</v>
      </c>
      <c r="K1033" t="s">
        <v>5806</v>
      </c>
      <c r="P1033" t="str">
        <f>"Update Project Set Organisation = '"&amp;H1033&amp;"' where Project_ID = '"&amp;A1033&amp;"'; "</f>
        <v xml:space="preserve">Update Project Set Organisation = 'Monash University' where Project_ID = 'PMC99949'; </v>
      </c>
      <c r="Q1033" t="str">
        <f>"Update Project Set Library_name = '"&amp;L1033&amp;"' , COADD_ID = '"&amp;M1033&amp;"' where Project_ID = '"&amp;A1033&amp;"'; "</f>
        <v xml:space="preserve">Update Project Set Library_name = '' , COADD_ID = '' where Project_ID = 'PMC99949'; </v>
      </c>
    </row>
    <row r="1034" spans="1:17">
      <c r="A1034" t="s">
        <v>8120</v>
      </c>
      <c r="B1034" t="s">
        <v>8119</v>
      </c>
      <c r="C1034" t="s">
        <v>5762</v>
      </c>
      <c r="D1034" t="s">
        <v>448</v>
      </c>
      <c r="E1034" t="s">
        <v>807</v>
      </c>
      <c r="G1034" t="s">
        <v>8900</v>
      </c>
      <c r="H1034" t="s">
        <v>8119</v>
      </c>
      <c r="I1034" t="s">
        <v>14</v>
      </c>
      <c r="K1034" t="s">
        <v>5806</v>
      </c>
      <c r="P1034" t="str">
        <f>"Update Project Set Organisation = '"&amp;H1034&amp;"' where Project_ID = '"&amp;A1034&amp;"'; "</f>
        <v xml:space="preserve">Update Project Set Organisation = 'Botanix' where Project_ID = 'PMC99962'; </v>
      </c>
      <c r="Q1034" t="str">
        <f>"Update Project Set Library_name = '"&amp;L1034&amp;"' , COADD_ID = '"&amp;M1034&amp;"' where Project_ID = '"&amp;A1034&amp;"'; "</f>
        <v xml:space="preserve">Update Project Set Library_name = '' , COADD_ID = '' where Project_ID = 'PMC99962'; </v>
      </c>
    </row>
    <row r="1035" spans="1:17">
      <c r="A1035" t="s">
        <v>8122</v>
      </c>
      <c r="B1035" t="s">
        <v>8121</v>
      </c>
      <c r="C1035" t="s">
        <v>5633</v>
      </c>
      <c r="D1035" t="s">
        <v>2080</v>
      </c>
      <c r="E1035" t="s">
        <v>4637</v>
      </c>
      <c r="F1035" t="s">
        <v>2398</v>
      </c>
      <c r="G1035" t="s">
        <v>8963</v>
      </c>
      <c r="H1035" t="s">
        <v>8148</v>
      </c>
      <c r="I1035" t="s">
        <v>14</v>
      </c>
      <c r="K1035" t="s">
        <v>5828</v>
      </c>
      <c r="L1035" t="s">
        <v>8331</v>
      </c>
      <c r="M1035" t="s">
        <v>8351</v>
      </c>
      <c r="N1035" s="2">
        <v>45657</v>
      </c>
      <c r="P1035" t="str">
        <f>"Update Project Set Organisation = '"&amp;H1035&amp;"' where Project_ID = '"&amp;A1035&amp;"'; "</f>
        <v xml:space="preserve">Update Project Set Organisation = 'Indiana University' where Project_ID = 'PMC99964'; </v>
      </c>
      <c r="Q1035" t="str">
        <f>"Update Project Set Library_name = '"&amp;L1035&amp;"' , COADD_ID = '"&amp;M1035&amp;"' where Project_ID = '"&amp;A1035&amp;"'; "</f>
        <v xml:space="preserve">Update Project Set Library_name = 'Indiana University (Australia)' , COADD_ID = 'CO-ADD:PC9964' where Project_ID = 'PMC99964'; </v>
      </c>
    </row>
    <row r="1036" spans="1:17">
      <c r="A1036" t="s">
        <v>8124</v>
      </c>
      <c r="B1036" t="s">
        <v>8123</v>
      </c>
      <c r="C1036" t="s">
        <v>5833</v>
      </c>
      <c r="D1036" t="s">
        <v>448</v>
      </c>
      <c r="E1036" t="s">
        <v>5469</v>
      </c>
      <c r="G1036" t="s">
        <v>8900</v>
      </c>
      <c r="H1036" t="s">
        <v>389</v>
      </c>
      <c r="K1036" t="s">
        <v>5806</v>
      </c>
      <c r="P1036" t="str">
        <f>"Update Project Set Organisation = '"&amp;H1036&amp;"' where Project_ID = '"&amp;A1036&amp;"'; "</f>
        <v xml:space="preserve">Update Project Set Organisation = 'University of Sydney' where Project_ID = 'PMC99967'; </v>
      </c>
      <c r="Q1036" t="str">
        <f>"Update Project Set Library_name = '"&amp;L1036&amp;"' , COADD_ID = '"&amp;M1036&amp;"' where Project_ID = '"&amp;A1036&amp;"'; "</f>
        <v xml:space="preserve">Update Project Set Library_name = '' , COADD_ID = '' where Project_ID = 'PMC99967'; </v>
      </c>
    </row>
    <row r="1037" spans="1:17">
      <c r="A1037" t="s">
        <v>8126</v>
      </c>
      <c r="B1037" t="s">
        <v>8125</v>
      </c>
      <c r="C1037" t="s">
        <v>5833</v>
      </c>
      <c r="D1037" t="s">
        <v>1142</v>
      </c>
      <c r="E1037" t="s">
        <v>1141</v>
      </c>
      <c r="F1037" t="s">
        <v>1141</v>
      </c>
      <c r="G1037" t="s">
        <v>8886</v>
      </c>
      <c r="H1037" t="s">
        <v>1146</v>
      </c>
      <c r="K1037" t="s">
        <v>5806</v>
      </c>
      <c r="P1037" t="str">
        <f>"Update Project Set Organisation = '"&amp;H1037&amp;"' where Project_ID = '"&amp;A1037&amp;"'; "</f>
        <v xml:space="preserve">Update Project Set Organisation = 'Auckland University of Technology' where Project_ID = 'PMC99969'; </v>
      </c>
      <c r="Q1037" t="str">
        <f>"Update Project Set Library_name = '"&amp;L1037&amp;"' , COADD_ID = '"&amp;M1037&amp;"' where Project_ID = '"&amp;A1037&amp;"'; "</f>
        <v xml:space="preserve">Update Project Set Library_name = '' , COADD_ID = '' where Project_ID = 'PMC99969'; </v>
      </c>
    </row>
    <row r="1038" spans="1:17">
      <c r="A1038" t="s">
        <v>8128</v>
      </c>
      <c r="B1038" t="s">
        <v>8127</v>
      </c>
      <c r="C1038" t="s">
        <v>5833</v>
      </c>
      <c r="D1038" t="s">
        <v>2071</v>
      </c>
      <c r="E1038" t="s">
        <v>2219</v>
      </c>
      <c r="F1038" t="s">
        <v>2070</v>
      </c>
      <c r="G1038" t="s">
        <v>9113</v>
      </c>
      <c r="H1038" t="s">
        <v>2074</v>
      </c>
      <c r="I1038" t="s">
        <v>1510</v>
      </c>
      <c r="K1038" t="s">
        <v>5806</v>
      </c>
      <c r="P1038" t="str">
        <f>"Update Project Set Organisation = '"&amp;H1038&amp;"' where Project_ID = '"&amp;A1038&amp;"'; "</f>
        <v xml:space="preserve">Update Project Set Organisation = 'Universite Libre de Bruxelles' where Project_ID = 'PMC99974'; </v>
      </c>
      <c r="Q1038" t="str">
        <f>"Update Project Set Library_name = '"&amp;L1038&amp;"' , COADD_ID = '"&amp;M1038&amp;"' where Project_ID = '"&amp;A1038&amp;"'; "</f>
        <v xml:space="preserve">Update Project Set Library_name = '' , COADD_ID = '' where Project_ID = 'PMC99974'; </v>
      </c>
    </row>
    <row r="1039" spans="1:17">
      <c r="A1039" t="s">
        <v>8130</v>
      </c>
      <c r="B1039" t="s">
        <v>8129</v>
      </c>
      <c r="C1039" t="s">
        <v>5633</v>
      </c>
      <c r="D1039" t="s">
        <v>448</v>
      </c>
      <c r="E1039" t="s">
        <v>2008</v>
      </c>
      <c r="G1039" t="s">
        <v>8900</v>
      </c>
      <c r="H1039" t="s">
        <v>362</v>
      </c>
      <c r="I1039" t="s">
        <v>14</v>
      </c>
      <c r="K1039" t="s">
        <v>5806</v>
      </c>
      <c r="P1039" t="str">
        <f>"Update Project Set Organisation = '"&amp;H1039&amp;"' where Project_ID = '"&amp;A1039&amp;"'; "</f>
        <v xml:space="preserve">Update Project Set Organisation = 'University of Queensland' where Project_ID = 'PMC99975'; </v>
      </c>
      <c r="Q1039" t="str">
        <f>"Update Project Set Library_name = '"&amp;L1039&amp;"' , COADD_ID = '"&amp;M1039&amp;"' where Project_ID = '"&amp;A1039&amp;"'; "</f>
        <v xml:space="preserve">Update Project Set Library_name = '' , COADD_ID = '' where Project_ID = 'PMC99975'; </v>
      </c>
    </row>
    <row r="1040" spans="1:17">
      <c r="A1040" t="s">
        <v>7897</v>
      </c>
      <c r="B1040" t="s">
        <v>8131</v>
      </c>
      <c r="C1040" t="s">
        <v>5633</v>
      </c>
      <c r="D1040" t="s">
        <v>3550</v>
      </c>
      <c r="E1040" t="s">
        <v>3549</v>
      </c>
      <c r="G1040" t="s">
        <v>8916</v>
      </c>
      <c r="H1040" t="s">
        <v>731</v>
      </c>
      <c r="I1040" t="s">
        <v>14</v>
      </c>
      <c r="K1040" t="s">
        <v>5806</v>
      </c>
      <c r="P1040" t="str">
        <f>"Update Project Set Organisation = '"&amp;H1040&amp;"' where Project_ID = '"&amp;A1040&amp;"'; "</f>
        <v xml:space="preserve">Update Project Set Organisation = 'Commonwealth Scientific and Industrial Research (CSIRO)' where Project_ID = 'PMC99976'; </v>
      </c>
      <c r="Q1040" t="str">
        <f>"Update Project Set Library_name = '"&amp;L1040&amp;"' , COADD_ID = '"&amp;M1040&amp;"' where Project_ID = '"&amp;A1040&amp;"'; "</f>
        <v xml:space="preserve">Update Project Set Library_name = '' , COADD_ID = '' where Project_ID = 'PMC99976'; </v>
      </c>
    </row>
    <row r="1041" spans="1:17">
      <c r="A1041" t="s">
        <v>8135</v>
      </c>
      <c r="B1041" t="s">
        <v>8134</v>
      </c>
      <c r="C1041" t="s">
        <v>8088</v>
      </c>
      <c r="D1041" t="s">
        <v>448</v>
      </c>
      <c r="E1041" t="s">
        <v>5469</v>
      </c>
      <c r="F1041" t="s">
        <v>2837</v>
      </c>
      <c r="G1041" t="s">
        <v>8900</v>
      </c>
      <c r="H1041" t="s">
        <v>362</v>
      </c>
      <c r="I1041" t="s">
        <v>1600</v>
      </c>
      <c r="K1041" t="s">
        <v>5837</v>
      </c>
      <c r="L1041" t="s">
        <v>8133</v>
      </c>
      <c r="M1041" t="s">
        <v>8132</v>
      </c>
      <c r="P1041" t="str">
        <f>"Update Project Set Organisation = '"&amp;H1041&amp;"' where Project_ID = '"&amp;A1041&amp;"'; "</f>
        <v xml:space="preserve">Update Project Set Organisation = 'University of Queensland' where Project_ID = 'PX002'; </v>
      </c>
      <c r="Q1041" t="str">
        <f>"Update Project Set Library_name = '"&amp;L1041&amp;"' , COADD_ID = '"&amp;M1041&amp;"' where Project_ID = '"&amp;A1041&amp;"'; "</f>
        <v xml:space="preserve">Update Project Set Library_name = 'Enamine (Russia) - Antibacterial Set' , COADD_ID = 'CO-ADD:PL0041' where Project_ID = 'PX002'; </v>
      </c>
    </row>
    <row r="1042" spans="1:17">
      <c r="A1042" t="s">
        <v>8137</v>
      </c>
      <c r="B1042" t="s">
        <v>8136</v>
      </c>
      <c r="C1042" t="s">
        <v>5762</v>
      </c>
      <c r="D1042" t="s">
        <v>1164</v>
      </c>
      <c r="E1042" t="s">
        <v>1163</v>
      </c>
      <c r="G1042" t="s">
        <v>9076</v>
      </c>
      <c r="H1042" t="s">
        <v>582</v>
      </c>
      <c r="I1042" t="s">
        <v>117</v>
      </c>
      <c r="K1042" t="s">
        <v>5843</v>
      </c>
      <c r="P1042" t="str">
        <f>"Update Project Set Organisation = '"&amp;H1042&amp;"' where Project_ID = '"&amp;A1042&amp;"'; "</f>
        <v xml:space="preserve">Update Project Set Organisation = 'Scripps Research Institute' where Project_ID = 'ReFrame_01'; </v>
      </c>
      <c r="Q1042" t="str">
        <f>"Update Project Set Library_name = '"&amp;L1042&amp;"' , COADD_ID = '"&amp;M1042&amp;"' where Project_ID = '"&amp;A1042&amp;"'; "</f>
        <v xml:space="preserve">Update Project Set Library_name = '' , COADD_ID = '' where Project_ID = 'ReFrame_01'; </v>
      </c>
    </row>
    <row r="1043" spans="1:17">
      <c r="A1043" t="s">
        <v>10743</v>
      </c>
      <c r="B1043" t="s">
        <v>10744</v>
      </c>
      <c r="C1043" t="s">
        <v>5633</v>
      </c>
      <c r="D1043" t="s">
        <v>10585</v>
      </c>
      <c r="E1043" t="s">
        <v>10563</v>
      </c>
      <c r="G1043" t="str">
        <f>VLOOKUP(D1043,Group!$A$2:$D$500,2,FALSE)</f>
        <v>CGRP00405</v>
      </c>
      <c r="H1043" t="s">
        <v>362</v>
      </c>
    </row>
    <row r="1044" spans="1:17">
      <c r="A1044" t="s">
        <v>10745</v>
      </c>
      <c r="B1044" t="s">
        <v>10746</v>
      </c>
      <c r="C1044" t="s">
        <v>5633</v>
      </c>
      <c r="D1044" t="s">
        <v>2683</v>
      </c>
      <c r="E1044" t="s">
        <v>2682</v>
      </c>
      <c r="F1044" t="s">
        <v>3619</v>
      </c>
      <c r="G1044" t="str">
        <f>VLOOKUP(D1044,Group!$A$2:$D$500,2,FALSE)</f>
        <v>CGRP00381</v>
      </c>
      <c r="H1044" t="s">
        <v>691</v>
      </c>
    </row>
    <row r="1045" spans="1:17">
      <c r="A1045" t="s">
        <v>10747</v>
      </c>
      <c r="B1045" t="s">
        <v>10748</v>
      </c>
      <c r="C1045" t="s">
        <v>5633</v>
      </c>
      <c r="D1045" t="s">
        <v>669</v>
      </c>
      <c r="E1045" t="s">
        <v>10565</v>
      </c>
      <c r="F1045" t="s">
        <v>2474</v>
      </c>
      <c r="G1045" t="str">
        <f>VLOOKUP(D1045,Group!$A$2:$D$500,2,FALSE)</f>
        <v>CGRP00138</v>
      </c>
      <c r="H1045" t="s">
        <v>169</v>
      </c>
    </row>
    <row r="1046" spans="1:17">
      <c r="A1046" t="s">
        <v>10749</v>
      </c>
      <c r="B1046" t="s">
        <v>10750</v>
      </c>
      <c r="C1046" t="s">
        <v>5633</v>
      </c>
      <c r="D1046" t="s">
        <v>10581</v>
      </c>
      <c r="E1046" t="s">
        <v>10558</v>
      </c>
      <c r="G1046" t="str">
        <f>VLOOKUP(D1046,Group!$A$2:$D$500,2,FALSE)</f>
        <v>CGRP00408</v>
      </c>
      <c r="H1046" t="s">
        <v>137</v>
      </c>
    </row>
    <row r="1047" spans="1:17">
      <c r="A1047" t="s">
        <v>10751</v>
      </c>
      <c r="B1047" t="s">
        <v>10746</v>
      </c>
      <c r="C1047" t="s">
        <v>5633</v>
      </c>
      <c r="D1047" t="s">
        <v>2683</v>
      </c>
      <c r="E1047" t="s">
        <v>10564</v>
      </c>
      <c r="G1047" t="str">
        <f>VLOOKUP(D1047,Group!$A$2:$D$500,2,FALSE)</f>
        <v>CGRP00381</v>
      </c>
      <c r="H1047" t="s">
        <v>362</v>
      </c>
    </row>
    <row r="1048" spans="1:17">
      <c r="A1048" t="s">
        <v>10752</v>
      </c>
      <c r="B1048" t="s">
        <v>10753</v>
      </c>
      <c r="C1048" t="s">
        <v>5633</v>
      </c>
      <c r="D1048" t="s">
        <v>10579</v>
      </c>
      <c r="E1048" t="s">
        <v>10556</v>
      </c>
      <c r="G1048" t="str">
        <f>VLOOKUP(D1048,Group!$A$2:$D$500,2,FALSE)</f>
        <v>CGRP00406</v>
      </c>
      <c r="H1048" t="s">
        <v>371</v>
      </c>
    </row>
    <row r="1049" spans="1:17">
      <c r="A1049" t="s">
        <v>10754</v>
      </c>
      <c r="B1049" t="s">
        <v>10755</v>
      </c>
      <c r="C1049" t="s">
        <v>5633</v>
      </c>
      <c r="D1049" t="s">
        <v>10582</v>
      </c>
      <c r="E1049" t="s">
        <v>10559</v>
      </c>
      <c r="G1049" t="str">
        <f>VLOOKUP(D1049,Group!$A$2:$D$500,2,FALSE)</f>
        <v>CGRP00407</v>
      </c>
      <c r="H1049" t="s">
        <v>137</v>
      </c>
    </row>
    <row r="1050" spans="1:17">
      <c r="A1050" t="s">
        <v>10756</v>
      </c>
      <c r="B1050" t="s">
        <v>10757</v>
      </c>
      <c r="C1050" t="s">
        <v>5633</v>
      </c>
      <c r="D1050" t="s">
        <v>10583</v>
      </c>
      <c r="E1050" t="s">
        <v>10560</v>
      </c>
      <c r="G1050" t="str">
        <f>VLOOKUP(D1050,Group!$A$2:$D$500,2,FALSE)</f>
        <v>CGRP00410</v>
      </c>
      <c r="H1050" t="s">
        <v>10629</v>
      </c>
    </row>
    <row r="1051" spans="1:17">
      <c r="A1051" t="s">
        <v>10758</v>
      </c>
      <c r="B1051" t="s">
        <v>10759</v>
      </c>
      <c r="C1051" t="s">
        <v>5633</v>
      </c>
      <c r="D1051" t="s">
        <v>10584</v>
      </c>
      <c r="E1051" t="s">
        <v>10562</v>
      </c>
      <c r="F1051" t="s">
        <v>10561</v>
      </c>
      <c r="G1051" t="str">
        <f>VLOOKUP(D1051,Group!$A$2:$D$500,2,FALSE)</f>
        <v>CGRP00411</v>
      </c>
      <c r="H1051" t="s">
        <v>10630</v>
      </c>
    </row>
    <row r="1052" spans="1:17">
      <c r="A1052" t="s">
        <v>10760</v>
      </c>
      <c r="B1052" t="s">
        <v>10761</v>
      </c>
      <c r="C1052" t="s">
        <v>5633</v>
      </c>
      <c r="G1052" t="e">
        <f>VLOOKUP(D1052,Group!$A$2:$D$500,2,FALSE)</f>
        <v>#N/A</v>
      </c>
    </row>
    <row r="1053" spans="1:17">
      <c r="A1053" t="s">
        <v>10762</v>
      </c>
      <c r="B1053" t="s">
        <v>10763</v>
      </c>
      <c r="C1053" t="s">
        <v>5833</v>
      </c>
      <c r="D1053" t="s">
        <v>10586</v>
      </c>
      <c r="E1053" t="s">
        <v>10567</v>
      </c>
      <c r="G1053" t="str">
        <f>VLOOKUP(D1053,Group!$A$2:$D$500,2,FALSE)</f>
        <v>CGRP00412</v>
      </c>
      <c r="H1053" t="s">
        <v>362</v>
      </c>
    </row>
    <row r="1054" spans="1:17">
      <c r="A1054" t="s">
        <v>10764</v>
      </c>
      <c r="B1054" t="s">
        <v>10765</v>
      </c>
      <c r="C1054" t="s">
        <v>5633</v>
      </c>
      <c r="D1054" t="s">
        <v>1963</v>
      </c>
      <c r="E1054" t="s">
        <v>1962</v>
      </c>
      <c r="G1054" t="str">
        <f>VLOOKUP(D1054,Group!$A$2:$D$500,2,FALSE)</f>
        <v>CGRP00383</v>
      </c>
      <c r="H1054" t="s">
        <v>1967</v>
      </c>
    </row>
    <row r="1055" spans="1:17">
      <c r="A1055" t="s">
        <v>10766</v>
      </c>
      <c r="B1055" t="s">
        <v>10767</v>
      </c>
      <c r="C1055" t="s">
        <v>5633</v>
      </c>
      <c r="D1055" t="s">
        <v>10580</v>
      </c>
      <c r="E1055" t="s">
        <v>10557</v>
      </c>
      <c r="G1055" t="str">
        <f>VLOOKUP(D1055,Group!$A$2:$D$500,2,FALSE)</f>
        <v>CGRP00409</v>
      </c>
      <c r="H1055" t="s">
        <v>10628</v>
      </c>
    </row>
    <row r="1056" spans="1:17">
      <c r="A1056" t="s">
        <v>10768</v>
      </c>
      <c r="B1056" t="s">
        <v>10769</v>
      </c>
      <c r="C1056" t="s">
        <v>5633</v>
      </c>
      <c r="D1056" t="s">
        <v>59</v>
      </c>
      <c r="E1056" t="s">
        <v>58</v>
      </c>
      <c r="G1056" t="str">
        <f>VLOOKUP(D1056,Group!$A$2:$D$500,2,FALSE)</f>
        <v>CGRP00242</v>
      </c>
      <c r="H1056" t="s">
        <v>5798</v>
      </c>
    </row>
    <row r="1057" spans="1:8">
      <c r="A1057" t="s">
        <v>10770</v>
      </c>
      <c r="B1057" t="s">
        <v>10771</v>
      </c>
      <c r="C1057" t="s">
        <v>5633</v>
      </c>
      <c r="D1057" t="s">
        <v>862</v>
      </c>
      <c r="E1057" t="s">
        <v>2100</v>
      </c>
      <c r="G1057" t="str">
        <f>VLOOKUP(D1057,Group!$A$2:$D$500,2,FALSE)</f>
        <v>CGRP00237</v>
      </c>
      <c r="H1057" t="s">
        <v>865</v>
      </c>
    </row>
    <row r="1058" spans="1:8">
      <c r="A1058" t="s">
        <v>10772</v>
      </c>
      <c r="C1058" t="s">
        <v>5633</v>
      </c>
      <c r="D1058" t="s">
        <v>17</v>
      </c>
      <c r="E1058" t="s">
        <v>10569</v>
      </c>
      <c r="G1058" t="str">
        <f>VLOOKUP(D1058,Group!$A$2:$D$500,2,FALSE)</f>
        <v>CGRP00105</v>
      </c>
      <c r="H1058" t="s">
        <v>22</v>
      </c>
    </row>
    <row r="1059" spans="1:8">
      <c r="A1059" t="s">
        <v>10773</v>
      </c>
      <c r="B1059" t="s">
        <v>10774</v>
      </c>
      <c r="C1059" t="s">
        <v>5633</v>
      </c>
      <c r="D1059" t="s">
        <v>10587</v>
      </c>
      <c r="E1059" t="s">
        <v>10571</v>
      </c>
      <c r="F1059" t="s">
        <v>10570</v>
      </c>
      <c r="G1059" t="str">
        <f>VLOOKUP(D1059,Group!$A$2:$D$500,2,FALSE)</f>
        <v>CGRP00413</v>
      </c>
      <c r="H1059" t="s">
        <v>616</v>
      </c>
    </row>
    <row r="1060" spans="1:8">
      <c r="A1060" t="s">
        <v>10775</v>
      </c>
      <c r="B1060" t="s">
        <v>10776</v>
      </c>
      <c r="C1060" t="s">
        <v>5633</v>
      </c>
      <c r="D1060" t="s">
        <v>968</v>
      </c>
      <c r="E1060" t="s">
        <v>10573</v>
      </c>
      <c r="F1060" t="s">
        <v>10573</v>
      </c>
      <c r="G1060" t="str">
        <f>VLOOKUP(D1060,Group!$A$2:$D$500,2,FALSE)</f>
        <v>CGRP00112</v>
      </c>
    </row>
    <row r="1061" spans="1:8">
      <c r="A1061" t="s">
        <v>10777</v>
      </c>
      <c r="B1061" t="s">
        <v>10778</v>
      </c>
      <c r="C1061" t="s">
        <v>5633</v>
      </c>
      <c r="D1061" t="s">
        <v>238</v>
      </c>
      <c r="E1061" t="s">
        <v>10575</v>
      </c>
      <c r="F1061" t="s">
        <v>10574</v>
      </c>
      <c r="G1061" t="str">
        <f>VLOOKUP(D1061,Group!$A$2:$D$500,2,FALSE)</f>
        <v>CGRP00368</v>
      </c>
      <c r="H1061" t="s">
        <v>242</v>
      </c>
    </row>
    <row r="1062" spans="1:8">
      <c r="A1062" t="s">
        <v>10779</v>
      </c>
      <c r="B1062" t="s">
        <v>10780</v>
      </c>
      <c r="C1062" t="s">
        <v>5633</v>
      </c>
      <c r="D1062" t="s">
        <v>2660</v>
      </c>
      <c r="E1062" t="s">
        <v>2659</v>
      </c>
      <c r="F1062" t="s">
        <v>5425</v>
      </c>
      <c r="G1062" t="str">
        <f>VLOOKUP(D1062,Group!$A$2:$D$500,2,FALSE)</f>
        <v>CGRP00329</v>
      </c>
      <c r="H1062" t="s">
        <v>2663</v>
      </c>
    </row>
    <row r="1063" spans="1:8">
      <c r="A1063" t="s">
        <v>10781</v>
      </c>
      <c r="B1063" t="s">
        <v>10782</v>
      </c>
      <c r="C1063" t="s">
        <v>5633</v>
      </c>
      <c r="D1063" t="s">
        <v>10588</v>
      </c>
      <c r="E1063" t="s">
        <v>10577</v>
      </c>
      <c r="F1063" t="s">
        <v>10576</v>
      </c>
      <c r="G1063" t="str">
        <f>VLOOKUP(D1063,Group!$A$2:$D$500,2,FALSE)</f>
        <v>CGRP00414</v>
      </c>
      <c r="H1063" t="s">
        <v>10632</v>
      </c>
    </row>
    <row r="1064" spans="1:8">
      <c r="A1064" t="s">
        <v>10783</v>
      </c>
      <c r="B1064" t="s">
        <v>10784</v>
      </c>
      <c r="C1064" t="s">
        <v>5633</v>
      </c>
      <c r="D1064" t="s">
        <v>2194</v>
      </c>
      <c r="E1064" t="s">
        <v>10578</v>
      </c>
      <c r="G1064" t="str">
        <f>VLOOKUP(D1064,Group!$A$2:$D$500,2,FALSE)</f>
        <v>CGRP00016</v>
      </c>
      <c r="H1064" t="s">
        <v>362</v>
      </c>
    </row>
  </sheetData>
  <autoFilter ref="A1:N1042" xr:uid="{DEFF4946-0C57-4A0B-BB0E-480B7A32C981}"/>
  <sortState xmlns:xlrd2="http://schemas.microsoft.com/office/spreadsheetml/2017/richdata2" ref="A2:Q1042">
    <sortCondition ref="A2:A104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</vt:lpstr>
      <vt:lpstr>Group</vt:lpstr>
      <vt:lpstr>Organisation</vt:lpstr>
      <vt:lpstr>oraPROJECT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Johannes Zuegg</cp:lastModifiedBy>
  <dcterms:created xsi:type="dcterms:W3CDTF">2024-12-22T04:59:10Z</dcterms:created>
  <dcterms:modified xsi:type="dcterms:W3CDTF">2025-07-30T04:34:43Z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2024-12-22T04:59:56Z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a2810ba6-9ede-4cf4-a026-12028c364076</vt:lpwstr>
  </property>
  <property fmtid="{D5CDD505-2E9C-101B-9397-08002B2CF9AE}" pid="8" name="MSIP_Label_0f488380-630a-4f55-a077-a19445e3f360_ContentBits">
    <vt:lpwstr>0</vt:lpwstr>
  </property>
</Properties>
</file>